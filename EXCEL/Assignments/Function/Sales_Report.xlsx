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E:\FUTURE\EXCEL\"/>
    </mc:Choice>
  </mc:AlternateContent>
  <xr:revisionPtr revIDLastSave="0" documentId="13_ncr:1_{C797044B-6E19-434B-B04F-C89B5E85B377}" xr6:coauthVersionLast="47" xr6:coauthVersionMax="47" xr10:uidLastSave="{00000000-0000-0000-0000-000000000000}"/>
  <bookViews>
    <workbookView xWindow="-110" yWindow="-110" windowWidth="19420" windowHeight="11020" firstSheet="7" activeTab="14" xr2:uid="{1EF08739-3415-46F4-9D8B-6EEF54626148}"/>
  </bookViews>
  <sheets>
    <sheet name="Sales_Dataset" sheetId="1" r:id="rId1"/>
    <sheet name="Q1" sheetId="2" r:id="rId2"/>
    <sheet name="Q2" sheetId="3" r:id="rId3"/>
    <sheet name="Q3" sheetId="5" r:id="rId4"/>
    <sheet name="Q4" sheetId="6" r:id="rId5"/>
    <sheet name="Q5" sheetId="7" r:id="rId6"/>
    <sheet name="Q6" sheetId="8" r:id="rId7"/>
    <sheet name="Q7" sheetId="9" r:id="rId8"/>
    <sheet name="Q8" sheetId="10" r:id="rId9"/>
    <sheet name="Q9" sheetId="11" r:id="rId10"/>
    <sheet name="Q10" sheetId="12" r:id="rId11"/>
    <sheet name="Q11" sheetId="13" r:id="rId12"/>
    <sheet name="Q12" sheetId="14" r:id="rId13"/>
    <sheet name="Q13" sheetId="15" r:id="rId14"/>
    <sheet name="Q14" sheetId="16" r:id="rId15"/>
  </sheets>
  <definedNames>
    <definedName name="_xlnm._FilterDatabase" localSheetId="14" hidden="1">'Q14'!$L$1:$L$401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warnBelowVersion="2" setVersion="2"/>
    </ext>
  </extLst>
</workbook>
</file>

<file path=xl/calcChain.xml><?xml version="1.0" encoding="utf-8"?>
<calcChain xmlns="http://schemas.openxmlformats.org/spreadsheetml/2006/main">
  <c r="N6" i="16" l="1"/>
  <c r="L28" i="16"/>
  <c r="L32" i="16"/>
  <c r="L162" i="16"/>
  <c r="L299" i="16"/>
  <c r="L333" i="16"/>
  <c r="L335" i="16"/>
  <c r="L343" i="16"/>
  <c r="L150" i="16"/>
  <c r="L250" i="16"/>
  <c r="L174" i="16"/>
  <c r="L325" i="16"/>
  <c r="L243" i="16"/>
  <c r="L226" i="16"/>
  <c r="L316" i="16"/>
  <c r="L231" i="16"/>
  <c r="L234" i="16"/>
  <c r="L389" i="16"/>
  <c r="L127" i="16"/>
  <c r="L171" i="16"/>
  <c r="L146" i="16"/>
  <c r="L360" i="16"/>
  <c r="L353" i="16"/>
  <c r="L399" i="16"/>
  <c r="L122" i="16"/>
  <c r="L4" i="16"/>
  <c r="L367" i="16"/>
  <c r="L164" i="16"/>
  <c r="L379" i="16"/>
  <c r="L114" i="16"/>
  <c r="L38" i="16"/>
  <c r="L220" i="16"/>
  <c r="L235" i="16"/>
  <c r="L294" i="16"/>
  <c r="L11" i="16"/>
  <c r="L166" i="16"/>
  <c r="L9" i="16"/>
  <c r="L91" i="16"/>
  <c r="L192" i="16"/>
  <c r="L216" i="16"/>
  <c r="L384" i="16"/>
  <c r="L279" i="16"/>
  <c r="L138" i="16"/>
  <c r="L123" i="16"/>
  <c r="L85" i="16"/>
  <c r="L229" i="16"/>
  <c r="L108" i="16"/>
  <c r="L50" i="16"/>
  <c r="L87" i="16"/>
  <c r="L180" i="16"/>
  <c r="L380" i="16"/>
  <c r="L271" i="16"/>
  <c r="L22" i="16"/>
  <c r="L61" i="16"/>
  <c r="L233" i="16"/>
  <c r="L31" i="16"/>
  <c r="L30" i="16"/>
  <c r="L143" i="16"/>
  <c r="L329" i="16"/>
  <c r="L106" i="16"/>
  <c r="L238" i="16"/>
  <c r="L242" i="16"/>
  <c r="L327" i="16"/>
  <c r="L142" i="16"/>
  <c r="L6" i="16"/>
  <c r="L219" i="16"/>
  <c r="L170" i="16"/>
  <c r="L317" i="16"/>
  <c r="L104" i="16"/>
  <c r="L314" i="16"/>
  <c r="L112" i="16"/>
  <c r="L269" i="16"/>
  <c r="L332" i="16"/>
  <c r="L350" i="16"/>
  <c r="L94" i="16"/>
  <c r="L354" i="16"/>
  <c r="L371" i="16"/>
  <c r="L275" i="16"/>
  <c r="L19" i="16"/>
  <c r="L132" i="16"/>
  <c r="L293" i="16"/>
  <c r="L10" i="16"/>
  <c r="L218" i="16"/>
  <c r="L147" i="16"/>
  <c r="L76" i="16"/>
  <c r="L304" i="16"/>
  <c r="L125" i="16"/>
  <c r="L152" i="16"/>
  <c r="L149" i="16"/>
  <c r="L284" i="16"/>
  <c r="L24" i="16"/>
  <c r="L358" i="16"/>
  <c r="L47" i="16"/>
  <c r="L266" i="16"/>
  <c r="L120" i="16"/>
  <c r="L344" i="16"/>
  <c r="L390" i="16"/>
  <c r="L249" i="16"/>
  <c r="L20" i="16"/>
  <c r="L206" i="16"/>
  <c r="L117" i="16"/>
  <c r="L345" i="16"/>
  <c r="L324" i="16"/>
  <c r="L245" i="16"/>
  <c r="L195" i="16"/>
  <c r="L17" i="16"/>
  <c r="L37" i="16"/>
  <c r="L82" i="16"/>
  <c r="L203" i="16"/>
  <c r="L297" i="16"/>
  <c r="L336" i="16"/>
  <c r="L372" i="16"/>
  <c r="L56" i="16"/>
  <c r="L197" i="16"/>
  <c r="L177" i="16"/>
  <c r="L172" i="16"/>
  <c r="L338" i="16"/>
  <c r="L383" i="16"/>
  <c r="L160" i="16"/>
  <c r="L265" i="16"/>
  <c r="L328" i="16"/>
  <c r="L42" i="16"/>
  <c r="L186" i="16"/>
  <c r="L236" i="16"/>
  <c r="L5" i="16"/>
  <c r="L124" i="16"/>
  <c r="L40" i="16"/>
  <c r="L310" i="16"/>
  <c r="L378" i="16"/>
  <c r="L224" i="16"/>
  <c r="L118" i="16"/>
  <c r="L212" i="16"/>
  <c r="L282" i="16"/>
  <c r="L357" i="16"/>
  <c r="L34" i="16"/>
  <c r="L69" i="16"/>
  <c r="L98" i="16"/>
  <c r="L175" i="16"/>
  <c r="L385" i="16"/>
  <c r="L115" i="16"/>
  <c r="L196" i="16"/>
  <c r="L309" i="16"/>
  <c r="L3" i="16"/>
  <c r="L109" i="16"/>
  <c r="L90" i="16"/>
  <c r="L222" i="16"/>
  <c r="L286" i="16"/>
  <c r="L392" i="16"/>
  <c r="L361" i="16"/>
  <c r="L373" i="16"/>
  <c r="L36" i="16"/>
  <c r="L257" i="16"/>
  <c r="L18" i="16"/>
  <c r="L339" i="16"/>
  <c r="L213" i="16"/>
  <c r="L270" i="16"/>
  <c r="L388" i="16"/>
  <c r="L60" i="16"/>
  <c r="L208" i="16"/>
  <c r="L13" i="16"/>
  <c r="L141" i="16"/>
  <c r="L260" i="16"/>
  <c r="L43" i="16"/>
  <c r="L277" i="16"/>
  <c r="L72" i="16"/>
  <c r="L285" i="16"/>
  <c r="L370" i="16"/>
  <c r="L258" i="16"/>
  <c r="L305" i="16"/>
  <c r="L79" i="16"/>
  <c r="L204" i="16"/>
  <c r="L278" i="16"/>
  <c r="L228" i="16"/>
  <c r="L35" i="16"/>
  <c r="L165" i="16"/>
  <c r="L190" i="16"/>
  <c r="L102" i="16"/>
  <c r="L71" i="16"/>
  <c r="L107" i="16"/>
  <c r="L252" i="16"/>
  <c r="L347" i="16"/>
  <c r="L29" i="16"/>
  <c r="L289" i="16"/>
  <c r="L355" i="16"/>
  <c r="L86" i="16"/>
  <c r="L215" i="16"/>
  <c r="L240" i="16"/>
  <c r="L54" i="16"/>
  <c r="L375" i="16"/>
  <c r="L382" i="16"/>
  <c r="L113" i="16"/>
  <c r="L209" i="16"/>
  <c r="L232" i="16"/>
  <c r="L303" i="16"/>
  <c r="L394" i="16"/>
  <c r="L14" i="16"/>
  <c r="L199" i="16"/>
  <c r="L244" i="16"/>
  <c r="L398" i="16"/>
  <c r="L342" i="16"/>
  <c r="L253" i="16"/>
  <c r="L313" i="16"/>
  <c r="L67" i="16"/>
  <c r="L291" i="16"/>
  <c r="L311" i="16"/>
  <c r="L116" i="16"/>
  <c r="L369" i="16"/>
  <c r="L111" i="16"/>
  <c r="L110" i="16"/>
  <c r="L254" i="16"/>
  <c r="L145" i="16"/>
  <c r="L322" i="16"/>
  <c r="L48" i="16"/>
  <c r="L137" i="16"/>
  <c r="L78" i="16"/>
  <c r="L53" i="16"/>
  <c r="L237" i="16"/>
  <c r="L211" i="16"/>
  <c r="L179" i="16"/>
  <c r="L295" i="16"/>
  <c r="L8" i="16"/>
  <c r="L83" i="16"/>
  <c r="L181" i="16"/>
  <c r="L57" i="16"/>
  <c r="L377" i="16"/>
  <c r="L263" i="16"/>
  <c r="L290" i="16"/>
  <c r="L308" i="16"/>
  <c r="L210" i="16"/>
  <c r="L301" i="16"/>
  <c r="L359" i="16"/>
  <c r="L27" i="16"/>
  <c r="L16" i="16"/>
  <c r="L41" i="16"/>
  <c r="L136" i="16"/>
  <c r="L167" i="16"/>
  <c r="L401" i="16"/>
  <c r="L66" i="16"/>
  <c r="L251" i="16"/>
  <c r="L292" i="16"/>
  <c r="L272" i="16"/>
  <c r="L33" i="16"/>
  <c r="L45" i="16"/>
  <c r="L39" i="16"/>
  <c r="L101" i="16"/>
  <c r="L230" i="16"/>
  <c r="L341" i="16"/>
  <c r="L395" i="16"/>
  <c r="L15" i="16"/>
  <c r="L12" i="16"/>
  <c r="L51" i="16"/>
  <c r="L374" i="16"/>
  <c r="L64" i="16"/>
  <c r="L156" i="16"/>
  <c r="L262" i="16"/>
  <c r="L193" i="16"/>
  <c r="L281" i="16"/>
  <c r="L320" i="16"/>
  <c r="L89" i="16"/>
  <c r="L157" i="16"/>
  <c r="L81" i="16"/>
  <c r="L148" i="16"/>
  <c r="L318" i="16"/>
  <c r="L280" i="16"/>
  <c r="L73" i="16"/>
  <c r="L259" i="16"/>
  <c r="L348" i="16"/>
  <c r="L205" i="16"/>
  <c r="L397" i="16"/>
  <c r="L352" i="16"/>
  <c r="L46" i="16"/>
  <c r="L274" i="16"/>
  <c r="L26" i="16"/>
  <c r="L44" i="16"/>
  <c r="L140" i="16"/>
  <c r="L49" i="16"/>
  <c r="L62" i="16"/>
  <c r="L92" i="16"/>
  <c r="L185" i="16"/>
  <c r="L176" i="16"/>
  <c r="L334" i="16"/>
  <c r="L283" i="16"/>
  <c r="L200" i="16"/>
  <c r="L93" i="16"/>
  <c r="L187" i="16"/>
  <c r="L239" i="16"/>
  <c r="L323" i="16"/>
  <c r="L189" i="16"/>
  <c r="L191" i="16"/>
  <c r="L365" i="16"/>
  <c r="L306" i="16"/>
  <c r="L337" i="16"/>
  <c r="L119" i="16"/>
  <c r="L391" i="16"/>
  <c r="L59" i="16"/>
  <c r="L331" i="16"/>
  <c r="L288" i="16"/>
  <c r="L296" i="16"/>
  <c r="L366" i="16"/>
  <c r="L75" i="16"/>
  <c r="L168" i="16"/>
  <c r="L241" i="16"/>
  <c r="L346" i="16"/>
  <c r="L362" i="16"/>
  <c r="L184" i="16"/>
  <c r="L330" i="16"/>
  <c r="L100" i="16"/>
  <c r="L183" i="16"/>
  <c r="L153" i="16"/>
  <c r="L349" i="16"/>
  <c r="L340" i="16"/>
  <c r="L227" i="16"/>
  <c r="L312" i="16"/>
  <c r="L381" i="16"/>
  <c r="L261" i="16"/>
  <c r="L221" i="16"/>
  <c r="L255" i="16"/>
  <c r="L256" i="16"/>
  <c r="L154" i="16"/>
  <c r="L396" i="16"/>
  <c r="L21" i="16"/>
  <c r="L130" i="16"/>
  <c r="L139" i="16"/>
  <c r="L246" i="16"/>
  <c r="L173" i="16"/>
  <c r="L298" i="16"/>
  <c r="L356" i="16"/>
  <c r="L363" i="16"/>
  <c r="L74" i="16"/>
  <c r="L103" i="16"/>
  <c r="L319" i="16"/>
  <c r="L194" i="16"/>
  <c r="L321" i="16"/>
  <c r="L386" i="16"/>
  <c r="L68" i="16"/>
  <c r="L201" i="16"/>
  <c r="L247" i="16"/>
  <c r="L128" i="16"/>
  <c r="L214" i="16"/>
  <c r="L135" i="16"/>
  <c r="L248" i="16"/>
  <c r="L2" i="16"/>
  <c r="N2" i="16" s="1"/>
  <c r="L225" i="16"/>
  <c r="L126" i="16"/>
  <c r="L7" i="16"/>
  <c r="L80" i="16"/>
  <c r="L144" i="16"/>
  <c r="L129" i="16"/>
  <c r="L158" i="16"/>
  <c r="L268" i="16"/>
  <c r="L267" i="16"/>
  <c r="L63" i="16"/>
  <c r="L58" i="16"/>
  <c r="L169" i="16"/>
  <c r="L131" i="16"/>
  <c r="L151" i="16"/>
  <c r="L95" i="16"/>
  <c r="L207" i="16"/>
  <c r="L70" i="16"/>
  <c r="L223" i="16"/>
  <c r="L368" i="16"/>
  <c r="L96" i="16"/>
  <c r="L159" i="16"/>
  <c r="L276" i="16"/>
  <c r="L302" i="16"/>
  <c r="L307" i="16"/>
  <c r="L99" i="16"/>
  <c r="L121" i="16"/>
  <c r="L351" i="16"/>
  <c r="L315" i="16"/>
  <c r="L376" i="16"/>
  <c r="L23" i="16"/>
  <c r="L88" i="16"/>
  <c r="L134" i="16"/>
  <c r="L52" i="16"/>
  <c r="L163" i="16"/>
  <c r="L182" i="16"/>
  <c r="L55" i="16"/>
  <c r="L393" i="16"/>
  <c r="L364" i="16"/>
  <c r="L273" i="16"/>
  <c r="L202" i="16"/>
  <c r="L77" i="16"/>
  <c r="L264" i="16"/>
  <c r="L326" i="16"/>
  <c r="L133" i="16"/>
  <c r="L105" i="16"/>
  <c r="L188" i="16"/>
  <c r="L217" i="16"/>
  <c r="L300" i="16"/>
  <c r="L400" i="16"/>
  <c r="L97" i="16"/>
  <c r="L287" i="16"/>
  <c r="L65" i="16"/>
  <c r="L155" i="16"/>
  <c r="L178" i="16"/>
  <c r="L161" i="16"/>
  <c r="L198" i="16"/>
  <c r="L25" i="16"/>
  <c r="L84" i="16"/>
  <c r="L387" i="16"/>
  <c r="L2" i="10"/>
  <c r="L3" i="15"/>
  <c r="L4" i="15"/>
  <c r="L5" i="15"/>
  <c r="L6" i="15"/>
  <c r="L7" i="15"/>
  <c r="L8" i="15"/>
  <c r="L9" i="15"/>
  <c r="L10" i="15"/>
  <c r="L11" i="15"/>
  <c r="L12" i="15"/>
  <c r="L13" i="15"/>
  <c r="L14" i="15"/>
  <c r="L15" i="15"/>
  <c r="L16" i="15"/>
  <c r="L17" i="15"/>
  <c r="L18" i="15"/>
  <c r="L19" i="15"/>
  <c r="L20" i="15"/>
  <c r="L21" i="15"/>
  <c r="L22" i="15"/>
  <c r="L23" i="15"/>
  <c r="L24" i="15"/>
  <c r="L25" i="15"/>
  <c r="L26" i="15"/>
  <c r="L27" i="15"/>
  <c r="L28" i="15"/>
  <c r="L29" i="15"/>
  <c r="L30" i="15"/>
  <c r="L31" i="15"/>
  <c r="L32" i="15"/>
  <c r="L33" i="15"/>
  <c r="L34" i="15"/>
  <c r="L35" i="15"/>
  <c r="L36" i="15"/>
  <c r="L37" i="15"/>
  <c r="L38" i="15"/>
  <c r="L39" i="15"/>
  <c r="L40" i="15"/>
  <c r="L41" i="15"/>
  <c r="L42" i="15"/>
  <c r="L43" i="15"/>
  <c r="L44" i="15"/>
  <c r="L45" i="15"/>
  <c r="L46" i="15"/>
  <c r="L47" i="15"/>
  <c r="L48" i="15"/>
  <c r="L49" i="15"/>
  <c r="L50" i="15"/>
  <c r="L51" i="15"/>
  <c r="L52" i="15"/>
  <c r="L53" i="15"/>
  <c r="L54" i="15"/>
  <c r="L55" i="15"/>
  <c r="L56" i="15"/>
  <c r="L57" i="15"/>
  <c r="L58" i="15"/>
  <c r="L59" i="15"/>
  <c r="L60" i="15"/>
  <c r="L61" i="15"/>
  <c r="L62" i="15"/>
  <c r="L63" i="15"/>
  <c r="L64" i="15"/>
  <c r="L65" i="15"/>
  <c r="L66" i="15"/>
  <c r="L67" i="15"/>
  <c r="L68" i="15"/>
  <c r="L69" i="15"/>
  <c r="L70" i="15"/>
  <c r="L71" i="15"/>
  <c r="L72" i="15"/>
  <c r="L73" i="15"/>
  <c r="L74" i="15"/>
  <c r="L75" i="15"/>
  <c r="L76" i="15"/>
  <c r="L77" i="15"/>
  <c r="L78" i="15"/>
  <c r="L79" i="15"/>
  <c r="L80" i="15"/>
  <c r="L81" i="15"/>
  <c r="L82" i="15"/>
  <c r="L83" i="15"/>
  <c r="L84" i="15"/>
  <c r="L85" i="15"/>
  <c r="L86" i="15"/>
  <c r="L87" i="15"/>
  <c r="L88" i="15"/>
  <c r="L89" i="15"/>
  <c r="L90" i="15"/>
  <c r="L91" i="15"/>
  <c r="L92" i="15"/>
  <c r="L93" i="15"/>
  <c r="L94" i="15"/>
  <c r="L95" i="15"/>
  <c r="L96" i="15"/>
  <c r="L97" i="15"/>
  <c r="L98" i="15"/>
  <c r="L99" i="15"/>
  <c r="L100" i="15"/>
  <c r="L101" i="15"/>
  <c r="L102" i="15"/>
  <c r="L103" i="15"/>
  <c r="L104" i="15"/>
  <c r="L105" i="15"/>
  <c r="L106" i="15"/>
  <c r="L107" i="15"/>
  <c r="L108" i="15"/>
  <c r="L109" i="15"/>
  <c r="L110" i="15"/>
  <c r="L111" i="15"/>
  <c r="L112" i="15"/>
  <c r="L113" i="15"/>
  <c r="L114" i="15"/>
  <c r="L115" i="15"/>
  <c r="L116" i="15"/>
  <c r="L117" i="15"/>
  <c r="L118" i="15"/>
  <c r="L119" i="15"/>
  <c r="L120" i="15"/>
  <c r="L121" i="15"/>
  <c r="L122" i="15"/>
  <c r="L123" i="15"/>
  <c r="L124" i="15"/>
  <c r="L125" i="15"/>
  <c r="L126" i="15"/>
  <c r="L127" i="15"/>
  <c r="L128" i="15"/>
  <c r="L129" i="15"/>
  <c r="L130" i="15"/>
  <c r="L131" i="15"/>
  <c r="L132" i="15"/>
  <c r="L133" i="15"/>
  <c r="L134" i="15"/>
  <c r="L135" i="15"/>
  <c r="L136" i="15"/>
  <c r="L137" i="15"/>
  <c r="L138" i="15"/>
  <c r="L139" i="15"/>
  <c r="L140" i="15"/>
  <c r="L141" i="15"/>
  <c r="L142" i="15"/>
  <c r="L143" i="15"/>
  <c r="L144" i="15"/>
  <c r="L145" i="15"/>
  <c r="L146" i="15"/>
  <c r="L147" i="15"/>
  <c r="L148" i="15"/>
  <c r="L149" i="15"/>
  <c r="L150" i="15"/>
  <c r="L151" i="15"/>
  <c r="L152" i="15"/>
  <c r="L153" i="15"/>
  <c r="L154" i="15"/>
  <c r="L155" i="15"/>
  <c r="L156" i="15"/>
  <c r="L157" i="15"/>
  <c r="L158" i="15"/>
  <c r="L159" i="15"/>
  <c r="L160" i="15"/>
  <c r="L161" i="15"/>
  <c r="L162" i="15"/>
  <c r="L163" i="15"/>
  <c r="L164" i="15"/>
  <c r="L165" i="15"/>
  <c r="L166" i="15"/>
  <c r="L167" i="15"/>
  <c r="L168" i="15"/>
  <c r="L169" i="15"/>
  <c r="L170" i="15"/>
  <c r="L171" i="15"/>
  <c r="L172" i="15"/>
  <c r="L173" i="15"/>
  <c r="L174" i="15"/>
  <c r="L175" i="15"/>
  <c r="L176" i="15"/>
  <c r="L177" i="15"/>
  <c r="L178" i="15"/>
  <c r="L179" i="15"/>
  <c r="L180" i="15"/>
  <c r="L181" i="15"/>
  <c r="L182" i="15"/>
  <c r="L183" i="15"/>
  <c r="L184" i="15"/>
  <c r="L185" i="15"/>
  <c r="L186" i="15"/>
  <c r="L187" i="15"/>
  <c r="L188" i="15"/>
  <c r="L189" i="15"/>
  <c r="L190" i="15"/>
  <c r="L191" i="15"/>
  <c r="L192" i="15"/>
  <c r="L193" i="15"/>
  <c r="L194" i="15"/>
  <c r="L195" i="15"/>
  <c r="L196" i="15"/>
  <c r="L197" i="15"/>
  <c r="L198" i="15"/>
  <c r="L199" i="15"/>
  <c r="L200" i="15"/>
  <c r="L201" i="15"/>
  <c r="L202" i="15"/>
  <c r="L203" i="15"/>
  <c r="L204" i="15"/>
  <c r="L205" i="15"/>
  <c r="L206" i="15"/>
  <c r="L207" i="15"/>
  <c r="L208" i="15"/>
  <c r="L209" i="15"/>
  <c r="L210" i="15"/>
  <c r="L211" i="15"/>
  <c r="L212" i="15"/>
  <c r="L213" i="15"/>
  <c r="L214" i="15"/>
  <c r="L215" i="15"/>
  <c r="L216" i="15"/>
  <c r="L217" i="15"/>
  <c r="L218" i="15"/>
  <c r="L219" i="15"/>
  <c r="L220" i="15"/>
  <c r="L221" i="15"/>
  <c r="L222" i="15"/>
  <c r="L223" i="15"/>
  <c r="L224" i="15"/>
  <c r="L225" i="15"/>
  <c r="L226" i="15"/>
  <c r="L227" i="15"/>
  <c r="L228" i="15"/>
  <c r="L229" i="15"/>
  <c r="L230" i="15"/>
  <c r="L231" i="15"/>
  <c r="L232" i="15"/>
  <c r="L233" i="15"/>
  <c r="L234" i="15"/>
  <c r="L235" i="15"/>
  <c r="L236" i="15"/>
  <c r="L237" i="15"/>
  <c r="L238" i="15"/>
  <c r="L239" i="15"/>
  <c r="L240" i="15"/>
  <c r="L241" i="15"/>
  <c r="L242" i="15"/>
  <c r="L243" i="15"/>
  <c r="L244" i="15"/>
  <c r="L245" i="15"/>
  <c r="L246" i="15"/>
  <c r="L247" i="15"/>
  <c r="L248" i="15"/>
  <c r="L249" i="15"/>
  <c r="L250" i="15"/>
  <c r="L251" i="15"/>
  <c r="L252" i="15"/>
  <c r="L253" i="15"/>
  <c r="L254" i="15"/>
  <c r="L255" i="15"/>
  <c r="L256" i="15"/>
  <c r="L257" i="15"/>
  <c r="L258" i="15"/>
  <c r="L259" i="15"/>
  <c r="L260" i="15"/>
  <c r="L261" i="15"/>
  <c r="L262" i="15"/>
  <c r="L263" i="15"/>
  <c r="L264" i="15"/>
  <c r="L265" i="15"/>
  <c r="L266" i="15"/>
  <c r="L267" i="15"/>
  <c r="L268" i="15"/>
  <c r="L269" i="15"/>
  <c r="L270" i="15"/>
  <c r="L271" i="15"/>
  <c r="L272" i="15"/>
  <c r="L273" i="15"/>
  <c r="L274" i="15"/>
  <c r="L275" i="15"/>
  <c r="L276" i="15"/>
  <c r="L277" i="15"/>
  <c r="L278" i="15"/>
  <c r="L279" i="15"/>
  <c r="L280" i="15"/>
  <c r="L281" i="15"/>
  <c r="L282" i="15"/>
  <c r="L283" i="15"/>
  <c r="L284" i="15"/>
  <c r="L285" i="15"/>
  <c r="L286" i="15"/>
  <c r="L287" i="15"/>
  <c r="L288" i="15"/>
  <c r="L289" i="15"/>
  <c r="L290" i="15"/>
  <c r="L291" i="15"/>
  <c r="L292" i="15"/>
  <c r="L293" i="15"/>
  <c r="L294" i="15"/>
  <c r="L295" i="15"/>
  <c r="L296" i="15"/>
  <c r="L297" i="15"/>
  <c r="L298" i="15"/>
  <c r="L299" i="15"/>
  <c r="L300" i="15"/>
  <c r="L301" i="15"/>
  <c r="L302" i="15"/>
  <c r="L303" i="15"/>
  <c r="L304" i="15"/>
  <c r="L305" i="15"/>
  <c r="L306" i="15"/>
  <c r="L307" i="15"/>
  <c r="L308" i="15"/>
  <c r="L309" i="15"/>
  <c r="L310" i="15"/>
  <c r="L311" i="15"/>
  <c r="L312" i="15"/>
  <c r="L313" i="15"/>
  <c r="L314" i="15"/>
  <c r="L315" i="15"/>
  <c r="L316" i="15"/>
  <c r="L317" i="15"/>
  <c r="L318" i="15"/>
  <c r="L319" i="15"/>
  <c r="L320" i="15"/>
  <c r="L321" i="15"/>
  <c r="L322" i="15"/>
  <c r="L323" i="15"/>
  <c r="L324" i="15"/>
  <c r="L325" i="15"/>
  <c r="L326" i="15"/>
  <c r="L327" i="15"/>
  <c r="L328" i="15"/>
  <c r="L329" i="15"/>
  <c r="L330" i="15"/>
  <c r="L331" i="15"/>
  <c r="L332" i="15"/>
  <c r="L333" i="15"/>
  <c r="L334" i="15"/>
  <c r="L335" i="15"/>
  <c r="L336" i="15"/>
  <c r="L337" i="15"/>
  <c r="L338" i="15"/>
  <c r="L339" i="15"/>
  <c r="L340" i="15"/>
  <c r="L341" i="15"/>
  <c r="L342" i="15"/>
  <c r="L343" i="15"/>
  <c r="L344" i="15"/>
  <c r="L345" i="15"/>
  <c r="L346" i="15"/>
  <c r="L347" i="15"/>
  <c r="L348" i="15"/>
  <c r="L349" i="15"/>
  <c r="L350" i="15"/>
  <c r="L351" i="15"/>
  <c r="L352" i="15"/>
  <c r="L353" i="15"/>
  <c r="L354" i="15"/>
  <c r="L355" i="15"/>
  <c r="L356" i="15"/>
  <c r="L357" i="15"/>
  <c r="L358" i="15"/>
  <c r="L359" i="15"/>
  <c r="L360" i="15"/>
  <c r="L361" i="15"/>
  <c r="L362" i="15"/>
  <c r="L363" i="15"/>
  <c r="L364" i="15"/>
  <c r="L365" i="15"/>
  <c r="L366" i="15"/>
  <c r="L367" i="15"/>
  <c r="L368" i="15"/>
  <c r="L369" i="15"/>
  <c r="L370" i="15"/>
  <c r="L371" i="15"/>
  <c r="L372" i="15"/>
  <c r="L373" i="15"/>
  <c r="L374" i="15"/>
  <c r="L375" i="15"/>
  <c r="L376" i="15"/>
  <c r="L377" i="15"/>
  <c r="L378" i="15"/>
  <c r="L379" i="15"/>
  <c r="L380" i="15"/>
  <c r="L381" i="15"/>
  <c r="L382" i="15"/>
  <c r="L383" i="15"/>
  <c r="L384" i="15"/>
  <c r="L385" i="15"/>
  <c r="L386" i="15"/>
  <c r="L387" i="15"/>
  <c r="L388" i="15"/>
  <c r="L389" i="15"/>
  <c r="L390" i="15"/>
  <c r="L391" i="15"/>
  <c r="L392" i="15"/>
  <c r="L393" i="15"/>
  <c r="L394" i="15"/>
  <c r="L395" i="15"/>
  <c r="L396" i="15"/>
  <c r="L397" i="15"/>
  <c r="L398" i="15"/>
  <c r="L399" i="15"/>
  <c r="L400" i="15"/>
  <c r="L401" i="15"/>
  <c r="L2" i="15"/>
  <c r="L3" i="14"/>
  <c r="L4" i="14"/>
  <c r="L5" i="14"/>
  <c r="L6" i="14"/>
  <c r="L7" i="14"/>
  <c r="L8" i="14"/>
  <c r="L9" i="14"/>
  <c r="L10" i="14"/>
  <c r="L11" i="14"/>
  <c r="L12" i="14"/>
  <c r="L13" i="14"/>
  <c r="L14" i="14"/>
  <c r="L15" i="14"/>
  <c r="L16" i="14"/>
  <c r="L17" i="14"/>
  <c r="L18" i="14"/>
  <c r="L19" i="14"/>
  <c r="L20" i="14"/>
  <c r="L21" i="14"/>
  <c r="L22" i="14"/>
  <c r="L23" i="14"/>
  <c r="L24" i="14"/>
  <c r="L25" i="14"/>
  <c r="L26" i="14"/>
  <c r="L27" i="14"/>
  <c r="L28" i="14"/>
  <c r="L29" i="14"/>
  <c r="L30" i="14"/>
  <c r="L31" i="14"/>
  <c r="L32" i="14"/>
  <c r="L33" i="14"/>
  <c r="L34" i="14"/>
  <c r="L35" i="14"/>
  <c r="L36" i="14"/>
  <c r="L37" i="14"/>
  <c r="L38" i="14"/>
  <c r="L39" i="14"/>
  <c r="L40" i="14"/>
  <c r="L41" i="14"/>
  <c r="L42" i="14"/>
  <c r="L43" i="14"/>
  <c r="L44" i="14"/>
  <c r="L45" i="14"/>
  <c r="L46" i="14"/>
  <c r="L47" i="14"/>
  <c r="L48" i="14"/>
  <c r="L49" i="14"/>
  <c r="L50" i="14"/>
  <c r="L51" i="14"/>
  <c r="L52" i="14"/>
  <c r="L53" i="14"/>
  <c r="L54" i="14"/>
  <c r="L55" i="14"/>
  <c r="L56" i="14"/>
  <c r="L57" i="14"/>
  <c r="L58" i="14"/>
  <c r="L59" i="14"/>
  <c r="L60" i="14"/>
  <c r="L61" i="14"/>
  <c r="L62" i="14"/>
  <c r="L63" i="14"/>
  <c r="L64" i="14"/>
  <c r="L65" i="14"/>
  <c r="L66" i="14"/>
  <c r="L67" i="14"/>
  <c r="L68" i="14"/>
  <c r="L69" i="14"/>
  <c r="L70" i="14"/>
  <c r="L71" i="14"/>
  <c r="L72" i="14"/>
  <c r="L73" i="14"/>
  <c r="L74" i="14"/>
  <c r="L75" i="14"/>
  <c r="L76" i="14"/>
  <c r="L77" i="14"/>
  <c r="L78" i="14"/>
  <c r="L79" i="14"/>
  <c r="L80" i="14"/>
  <c r="L81" i="14"/>
  <c r="L82" i="14"/>
  <c r="L83" i="14"/>
  <c r="L84" i="14"/>
  <c r="L85" i="14"/>
  <c r="L86" i="14"/>
  <c r="L87" i="14"/>
  <c r="L88" i="14"/>
  <c r="L89" i="14"/>
  <c r="L90" i="14"/>
  <c r="L91" i="14"/>
  <c r="L92" i="14"/>
  <c r="L93" i="14"/>
  <c r="L94" i="14"/>
  <c r="L95" i="14"/>
  <c r="L96" i="14"/>
  <c r="L97" i="14"/>
  <c r="L98" i="14"/>
  <c r="L99" i="14"/>
  <c r="L100" i="14"/>
  <c r="L101" i="14"/>
  <c r="L102" i="14"/>
  <c r="L103" i="14"/>
  <c r="L104" i="14"/>
  <c r="L105" i="14"/>
  <c r="L106" i="14"/>
  <c r="L107" i="14"/>
  <c r="L108" i="14"/>
  <c r="L109" i="14"/>
  <c r="L110" i="14"/>
  <c r="L111" i="14"/>
  <c r="L112" i="14"/>
  <c r="L113" i="14"/>
  <c r="L114" i="14"/>
  <c r="L115" i="14"/>
  <c r="L116" i="14"/>
  <c r="L117" i="14"/>
  <c r="L118" i="14"/>
  <c r="L119" i="14"/>
  <c r="L120" i="14"/>
  <c r="L121" i="14"/>
  <c r="L122" i="14"/>
  <c r="L123" i="14"/>
  <c r="L124" i="14"/>
  <c r="L125" i="14"/>
  <c r="L126" i="14"/>
  <c r="L127" i="14"/>
  <c r="L128" i="14"/>
  <c r="L129" i="14"/>
  <c r="L130" i="14"/>
  <c r="L131" i="14"/>
  <c r="L132" i="14"/>
  <c r="L133" i="14"/>
  <c r="L134" i="14"/>
  <c r="L135" i="14"/>
  <c r="L136" i="14"/>
  <c r="L137" i="14"/>
  <c r="L138" i="14"/>
  <c r="L139" i="14"/>
  <c r="L140" i="14"/>
  <c r="L141" i="14"/>
  <c r="L142" i="14"/>
  <c r="L143" i="14"/>
  <c r="L144" i="14"/>
  <c r="L145" i="14"/>
  <c r="L146" i="14"/>
  <c r="L147" i="14"/>
  <c r="L148" i="14"/>
  <c r="L149" i="14"/>
  <c r="L150" i="14"/>
  <c r="L151" i="14"/>
  <c r="L152" i="14"/>
  <c r="L153" i="14"/>
  <c r="L154" i="14"/>
  <c r="L155" i="14"/>
  <c r="L156" i="14"/>
  <c r="L157" i="14"/>
  <c r="L158" i="14"/>
  <c r="L159" i="14"/>
  <c r="L160" i="14"/>
  <c r="L161" i="14"/>
  <c r="L162" i="14"/>
  <c r="L163" i="14"/>
  <c r="L164" i="14"/>
  <c r="L165" i="14"/>
  <c r="L166" i="14"/>
  <c r="L167" i="14"/>
  <c r="L168" i="14"/>
  <c r="L169" i="14"/>
  <c r="L170" i="14"/>
  <c r="L171" i="14"/>
  <c r="L172" i="14"/>
  <c r="L173" i="14"/>
  <c r="L174" i="14"/>
  <c r="L175" i="14"/>
  <c r="L176" i="14"/>
  <c r="L177" i="14"/>
  <c r="L178" i="14"/>
  <c r="L179" i="14"/>
  <c r="L180" i="14"/>
  <c r="L181" i="14"/>
  <c r="L182" i="14"/>
  <c r="L183" i="14"/>
  <c r="L184" i="14"/>
  <c r="L185" i="14"/>
  <c r="L186" i="14"/>
  <c r="L187" i="14"/>
  <c r="L188" i="14"/>
  <c r="L189" i="14"/>
  <c r="L190" i="14"/>
  <c r="L191" i="14"/>
  <c r="L192" i="14"/>
  <c r="L193" i="14"/>
  <c r="L194" i="14"/>
  <c r="L195" i="14"/>
  <c r="L196" i="14"/>
  <c r="L197" i="14"/>
  <c r="L198" i="14"/>
  <c r="L199" i="14"/>
  <c r="L200" i="14"/>
  <c r="L201" i="14"/>
  <c r="L202" i="14"/>
  <c r="L203" i="14"/>
  <c r="L204" i="14"/>
  <c r="L205" i="14"/>
  <c r="L206" i="14"/>
  <c r="L207" i="14"/>
  <c r="L208" i="14"/>
  <c r="L209" i="14"/>
  <c r="L210" i="14"/>
  <c r="L211" i="14"/>
  <c r="L212" i="14"/>
  <c r="L213" i="14"/>
  <c r="L214" i="14"/>
  <c r="L215" i="14"/>
  <c r="L216" i="14"/>
  <c r="L217" i="14"/>
  <c r="L218" i="14"/>
  <c r="L219" i="14"/>
  <c r="L220" i="14"/>
  <c r="L221" i="14"/>
  <c r="L222" i="14"/>
  <c r="L223" i="14"/>
  <c r="L224" i="14"/>
  <c r="L225" i="14"/>
  <c r="L226" i="14"/>
  <c r="L227" i="14"/>
  <c r="L228" i="14"/>
  <c r="L229" i="14"/>
  <c r="L230" i="14"/>
  <c r="L231" i="14"/>
  <c r="L232" i="14"/>
  <c r="L233" i="14"/>
  <c r="L234" i="14"/>
  <c r="L235" i="14"/>
  <c r="L236" i="14"/>
  <c r="L237" i="14"/>
  <c r="L238" i="14"/>
  <c r="L239" i="14"/>
  <c r="L240" i="14"/>
  <c r="L241" i="14"/>
  <c r="L242" i="14"/>
  <c r="L243" i="14"/>
  <c r="L244" i="14"/>
  <c r="L245" i="14"/>
  <c r="L246" i="14"/>
  <c r="L247" i="14"/>
  <c r="L248" i="14"/>
  <c r="L249" i="14"/>
  <c r="L250" i="14"/>
  <c r="L251" i="14"/>
  <c r="L252" i="14"/>
  <c r="L253" i="14"/>
  <c r="L254" i="14"/>
  <c r="L255" i="14"/>
  <c r="L256" i="14"/>
  <c r="L257" i="14"/>
  <c r="L258" i="14"/>
  <c r="L259" i="14"/>
  <c r="L260" i="14"/>
  <c r="L261" i="14"/>
  <c r="L262" i="14"/>
  <c r="L263" i="14"/>
  <c r="L264" i="14"/>
  <c r="L265" i="14"/>
  <c r="L266" i="14"/>
  <c r="L267" i="14"/>
  <c r="L268" i="14"/>
  <c r="L269" i="14"/>
  <c r="L270" i="14"/>
  <c r="L271" i="14"/>
  <c r="L272" i="14"/>
  <c r="L273" i="14"/>
  <c r="L274" i="14"/>
  <c r="L275" i="14"/>
  <c r="L276" i="14"/>
  <c r="L277" i="14"/>
  <c r="L278" i="14"/>
  <c r="L279" i="14"/>
  <c r="L280" i="14"/>
  <c r="L281" i="14"/>
  <c r="L282" i="14"/>
  <c r="L283" i="14"/>
  <c r="L284" i="14"/>
  <c r="L285" i="14"/>
  <c r="L286" i="14"/>
  <c r="L287" i="14"/>
  <c r="L288" i="14"/>
  <c r="L289" i="14"/>
  <c r="L290" i="14"/>
  <c r="L291" i="14"/>
  <c r="L292" i="14"/>
  <c r="L293" i="14"/>
  <c r="L294" i="14"/>
  <c r="L295" i="14"/>
  <c r="L296" i="14"/>
  <c r="L297" i="14"/>
  <c r="L298" i="14"/>
  <c r="L299" i="14"/>
  <c r="L300" i="14"/>
  <c r="L301" i="14"/>
  <c r="L302" i="14"/>
  <c r="L303" i="14"/>
  <c r="L304" i="14"/>
  <c r="L305" i="14"/>
  <c r="L306" i="14"/>
  <c r="L307" i="14"/>
  <c r="L308" i="14"/>
  <c r="L309" i="14"/>
  <c r="L310" i="14"/>
  <c r="L311" i="14"/>
  <c r="L312" i="14"/>
  <c r="L313" i="14"/>
  <c r="L314" i="14"/>
  <c r="L315" i="14"/>
  <c r="L316" i="14"/>
  <c r="L317" i="14"/>
  <c r="L318" i="14"/>
  <c r="L319" i="14"/>
  <c r="L320" i="14"/>
  <c r="L321" i="14"/>
  <c r="L322" i="14"/>
  <c r="L323" i="14"/>
  <c r="L324" i="14"/>
  <c r="L325" i="14"/>
  <c r="L326" i="14"/>
  <c r="L327" i="14"/>
  <c r="L328" i="14"/>
  <c r="L329" i="14"/>
  <c r="L330" i="14"/>
  <c r="L331" i="14"/>
  <c r="L332" i="14"/>
  <c r="L333" i="14"/>
  <c r="L334" i="14"/>
  <c r="L335" i="14"/>
  <c r="L336" i="14"/>
  <c r="L337" i="14"/>
  <c r="L338" i="14"/>
  <c r="L339" i="14"/>
  <c r="L340" i="14"/>
  <c r="L341" i="14"/>
  <c r="L342" i="14"/>
  <c r="L343" i="14"/>
  <c r="L344" i="14"/>
  <c r="L345" i="14"/>
  <c r="L346" i="14"/>
  <c r="L347" i="14"/>
  <c r="L348" i="14"/>
  <c r="L349" i="14"/>
  <c r="L350" i="14"/>
  <c r="L351" i="14"/>
  <c r="L352" i="14"/>
  <c r="L353" i="14"/>
  <c r="L354" i="14"/>
  <c r="L355" i="14"/>
  <c r="L356" i="14"/>
  <c r="L357" i="14"/>
  <c r="L358" i="14"/>
  <c r="L359" i="14"/>
  <c r="L360" i="14"/>
  <c r="L361" i="14"/>
  <c r="L362" i="14"/>
  <c r="L363" i="14"/>
  <c r="L364" i="14"/>
  <c r="L365" i="14"/>
  <c r="L366" i="14"/>
  <c r="L367" i="14"/>
  <c r="L368" i="14"/>
  <c r="L369" i="14"/>
  <c r="L370" i="14"/>
  <c r="L371" i="14"/>
  <c r="L372" i="14"/>
  <c r="L373" i="14"/>
  <c r="L374" i="14"/>
  <c r="L375" i="14"/>
  <c r="L376" i="14"/>
  <c r="L377" i="14"/>
  <c r="L378" i="14"/>
  <c r="L379" i="14"/>
  <c r="L380" i="14"/>
  <c r="L381" i="14"/>
  <c r="L382" i="14"/>
  <c r="L383" i="14"/>
  <c r="L384" i="14"/>
  <c r="L385" i="14"/>
  <c r="L386" i="14"/>
  <c r="L387" i="14"/>
  <c r="L388" i="14"/>
  <c r="L389" i="14"/>
  <c r="L390" i="14"/>
  <c r="L391" i="14"/>
  <c r="L392" i="14"/>
  <c r="L393" i="14"/>
  <c r="L394" i="14"/>
  <c r="L395" i="14"/>
  <c r="L396" i="14"/>
  <c r="L397" i="14"/>
  <c r="L398" i="14"/>
  <c r="L399" i="14"/>
  <c r="L400" i="14"/>
  <c r="L401" i="14"/>
  <c r="L2" i="14"/>
  <c r="O2" i="14"/>
  <c r="N2" i="14"/>
  <c r="N3" i="13"/>
  <c r="N4" i="13"/>
  <c r="N5" i="13"/>
  <c r="N6" i="13"/>
  <c r="N7" i="13"/>
  <c r="N8" i="13"/>
  <c r="N9" i="13"/>
  <c r="N10" i="13"/>
  <c r="N11" i="13"/>
  <c r="N12" i="13"/>
  <c r="N13" i="13"/>
  <c r="N14" i="13"/>
  <c r="N15" i="13"/>
  <c r="N16" i="13"/>
  <c r="N17" i="13"/>
  <c r="N18" i="13"/>
  <c r="N19" i="13"/>
  <c r="N20" i="13"/>
  <c r="N21" i="13"/>
  <c r="N22" i="13"/>
  <c r="N23" i="13"/>
  <c r="N24" i="13"/>
  <c r="N25" i="13"/>
  <c r="N26" i="13"/>
  <c r="N27" i="13"/>
  <c r="N28" i="13"/>
  <c r="N29" i="13"/>
  <c r="N30" i="13"/>
  <c r="N31" i="13"/>
  <c r="N32" i="13"/>
  <c r="N33" i="13"/>
  <c r="N34" i="13"/>
  <c r="N35" i="13"/>
  <c r="N36" i="13"/>
  <c r="N37" i="13"/>
  <c r="N38" i="13"/>
  <c r="N39" i="13"/>
  <c r="N40" i="13"/>
  <c r="N41" i="13"/>
  <c r="N42" i="13"/>
  <c r="N43" i="13"/>
  <c r="N44" i="13"/>
  <c r="N45" i="13"/>
  <c r="N46" i="13"/>
  <c r="N47" i="13"/>
  <c r="N48" i="13"/>
  <c r="N49" i="13"/>
  <c r="N50" i="13"/>
  <c r="N51" i="13"/>
  <c r="N52" i="13"/>
  <c r="N53" i="13"/>
  <c r="N54" i="13"/>
  <c r="N55" i="13"/>
  <c r="N56" i="13"/>
  <c r="N57" i="13"/>
  <c r="N58" i="13"/>
  <c r="N59" i="13"/>
  <c r="N60" i="13"/>
  <c r="N61" i="13"/>
  <c r="N62" i="13"/>
  <c r="N63" i="13"/>
  <c r="N64" i="13"/>
  <c r="N65" i="13"/>
  <c r="N66" i="13"/>
  <c r="N67" i="13"/>
  <c r="N68" i="13"/>
  <c r="N69" i="13"/>
  <c r="N70" i="13"/>
  <c r="N71" i="13"/>
  <c r="N72" i="13"/>
  <c r="N73" i="13"/>
  <c r="N74" i="13"/>
  <c r="N75" i="13"/>
  <c r="N76" i="13"/>
  <c r="N77" i="13"/>
  <c r="N78" i="13"/>
  <c r="N79" i="13"/>
  <c r="N80" i="13"/>
  <c r="N81" i="13"/>
  <c r="N82" i="13"/>
  <c r="N83" i="13"/>
  <c r="N84" i="13"/>
  <c r="N85" i="13"/>
  <c r="N86" i="13"/>
  <c r="N87" i="13"/>
  <c r="N88" i="13"/>
  <c r="N89" i="13"/>
  <c r="N90" i="13"/>
  <c r="N91" i="13"/>
  <c r="N92" i="13"/>
  <c r="N93" i="13"/>
  <c r="N94" i="13"/>
  <c r="N95" i="13"/>
  <c r="N96" i="13"/>
  <c r="N97" i="13"/>
  <c r="N98" i="13"/>
  <c r="N99" i="13"/>
  <c r="N100" i="13"/>
  <c r="N101" i="13"/>
  <c r="N102" i="13"/>
  <c r="N103" i="13"/>
  <c r="N104" i="13"/>
  <c r="N105" i="13"/>
  <c r="N106" i="13"/>
  <c r="N107" i="13"/>
  <c r="N108" i="13"/>
  <c r="N109" i="13"/>
  <c r="N110" i="13"/>
  <c r="N111" i="13"/>
  <c r="N112" i="13"/>
  <c r="N113" i="13"/>
  <c r="N114" i="13"/>
  <c r="N115" i="13"/>
  <c r="N116" i="13"/>
  <c r="N117" i="13"/>
  <c r="N118" i="13"/>
  <c r="N119" i="13"/>
  <c r="N120" i="13"/>
  <c r="N121" i="13"/>
  <c r="N122" i="13"/>
  <c r="N123" i="13"/>
  <c r="N124" i="13"/>
  <c r="N125" i="13"/>
  <c r="N126" i="13"/>
  <c r="N127" i="13"/>
  <c r="N128" i="13"/>
  <c r="N129" i="13"/>
  <c r="N130" i="13"/>
  <c r="N131" i="13"/>
  <c r="N132" i="13"/>
  <c r="N133" i="13"/>
  <c r="N134" i="13"/>
  <c r="N135" i="13"/>
  <c r="N136" i="13"/>
  <c r="N137" i="13"/>
  <c r="N138" i="13"/>
  <c r="N139" i="13"/>
  <c r="N140" i="13"/>
  <c r="N141" i="13"/>
  <c r="N142" i="13"/>
  <c r="N143" i="13"/>
  <c r="N144" i="13"/>
  <c r="N145" i="13"/>
  <c r="N146" i="13"/>
  <c r="N147" i="13"/>
  <c r="N148" i="13"/>
  <c r="N149" i="13"/>
  <c r="N150" i="13"/>
  <c r="N151" i="13"/>
  <c r="N152" i="13"/>
  <c r="N153" i="13"/>
  <c r="N154" i="13"/>
  <c r="N155" i="13"/>
  <c r="N156" i="13"/>
  <c r="N157" i="13"/>
  <c r="N158" i="13"/>
  <c r="N159" i="13"/>
  <c r="N160" i="13"/>
  <c r="N161" i="13"/>
  <c r="N162" i="13"/>
  <c r="N163" i="13"/>
  <c r="N164" i="13"/>
  <c r="N165" i="13"/>
  <c r="N166" i="13"/>
  <c r="N167" i="13"/>
  <c r="N168" i="13"/>
  <c r="N169" i="13"/>
  <c r="N170" i="13"/>
  <c r="N171" i="13"/>
  <c r="N172" i="13"/>
  <c r="N173" i="13"/>
  <c r="N174" i="13"/>
  <c r="N175" i="13"/>
  <c r="N176" i="13"/>
  <c r="N177" i="13"/>
  <c r="N178" i="13"/>
  <c r="N179" i="13"/>
  <c r="N180" i="13"/>
  <c r="N181" i="13"/>
  <c r="N182" i="13"/>
  <c r="N183" i="13"/>
  <c r="N184" i="13"/>
  <c r="N185" i="13"/>
  <c r="N186" i="13"/>
  <c r="N187" i="13"/>
  <c r="N188" i="13"/>
  <c r="N189" i="13"/>
  <c r="N190" i="13"/>
  <c r="N191" i="13"/>
  <c r="N192" i="13"/>
  <c r="N193" i="13"/>
  <c r="N194" i="13"/>
  <c r="N195" i="13"/>
  <c r="N196" i="13"/>
  <c r="N197" i="13"/>
  <c r="N198" i="13"/>
  <c r="N199" i="13"/>
  <c r="N200" i="13"/>
  <c r="N201" i="13"/>
  <c r="N202" i="13"/>
  <c r="N203" i="13"/>
  <c r="N204" i="13"/>
  <c r="N205" i="13"/>
  <c r="N206" i="13"/>
  <c r="N207" i="13"/>
  <c r="N208" i="13"/>
  <c r="N209" i="13"/>
  <c r="N210" i="13"/>
  <c r="N211" i="13"/>
  <c r="N212" i="13"/>
  <c r="N213" i="13"/>
  <c r="N214" i="13"/>
  <c r="N215" i="13"/>
  <c r="N216" i="13"/>
  <c r="N217" i="13"/>
  <c r="N218" i="13"/>
  <c r="N219" i="13"/>
  <c r="N220" i="13"/>
  <c r="N221" i="13"/>
  <c r="N222" i="13"/>
  <c r="N223" i="13"/>
  <c r="N224" i="13"/>
  <c r="N225" i="13"/>
  <c r="N226" i="13"/>
  <c r="N227" i="13"/>
  <c r="N228" i="13"/>
  <c r="N229" i="13"/>
  <c r="N230" i="13"/>
  <c r="N231" i="13"/>
  <c r="N232" i="13"/>
  <c r="N233" i="13"/>
  <c r="N234" i="13"/>
  <c r="N235" i="13"/>
  <c r="N236" i="13"/>
  <c r="N237" i="13"/>
  <c r="N238" i="13"/>
  <c r="N239" i="13"/>
  <c r="N240" i="13"/>
  <c r="N241" i="13"/>
  <c r="N242" i="13"/>
  <c r="N243" i="13"/>
  <c r="N244" i="13"/>
  <c r="N245" i="13"/>
  <c r="N246" i="13"/>
  <c r="N247" i="13"/>
  <c r="N248" i="13"/>
  <c r="N249" i="13"/>
  <c r="N250" i="13"/>
  <c r="N251" i="13"/>
  <c r="N252" i="13"/>
  <c r="N253" i="13"/>
  <c r="N254" i="13"/>
  <c r="N255" i="13"/>
  <c r="N256" i="13"/>
  <c r="N257" i="13"/>
  <c r="N258" i="13"/>
  <c r="N259" i="13"/>
  <c r="N260" i="13"/>
  <c r="N261" i="13"/>
  <c r="N262" i="13"/>
  <c r="N263" i="13"/>
  <c r="N264" i="13"/>
  <c r="N265" i="13"/>
  <c r="N266" i="13"/>
  <c r="N267" i="13"/>
  <c r="N268" i="13"/>
  <c r="N269" i="13"/>
  <c r="N270" i="13"/>
  <c r="N271" i="13"/>
  <c r="N272" i="13"/>
  <c r="N273" i="13"/>
  <c r="N274" i="13"/>
  <c r="N275" i="13"/>
  <c r="N276" i="13"/>
  <c r="N277" i="13"/>
  <c r="N278" i="13"/>
  <c r="N279" i="13"/>
  <c r="N280" i="13"/>
  <c r="N281" i="13"/>
  <c r="N282" i="13"/>
  <c r="N283" i="13"/>
  <c r="N284" i="13"/>
  <c r="N285" i="13"/>
  <c r="N286" i="13"/>
  <c r="N287" i="13"/>
  <c r="N288" i="13"/>
  <c r="N289" i="13"/>
  <c r="N290" i="13"/>
  <c r="N291" i="13"/>
  <c r="N292" i="13"/>
  <c r="N293" i="13"/>
  <c r="N294" i="13"/>
  <c r="N295" i="13"/>
  <c r="N296" i="13"/>
  <c r="N297" i="13"/>
  <c r="N298" i="13"/>
  <c r="N299" i="13"/>
  <c r="N300" i="13"/>
  <c r="N301" i="13"/>
  <c r="N302" i="13"/>
  <c r="N303" i="13"/>
  <c r="N304" i="13"/>
  <c r="N305" i="13"/>
  <c r="N306" i="13"/>
  <c r="N307" i="13"/>
  <c r="N308" i="13"/>
  <c r="N309" i="13"/>
  <c r="N310" i="13"/>
  <c r="N311" i="13"/>
  <c r="N312" i="13"/>
  <c r="N313" i="13"/>
  <c r="N314" i="13"/>
  <c r="N315" i="13"/>
  <c r="N316" i="13"/>
  <c r="N317" i="13"/>
  <c r="N318" i="13"/>
  <c r="N319" i="13"/>
  <c r="N320" i="13"/>
  <c r="N321" i="13"/>
  <c r="N322" i="13"/>
  <c r="N323" i="13"/>
  <c r="N324" i="13"/>
  <c r="N325" i="13"/>
  <c r="N326" i="13"/>
  <c r="N327" i="13"/>
  <c r="N328" i="13"/>
  <c r="N329" i="13"/>
  <c r="N330" i="13"/>
  <c r="N331" i="13"/>
  <c r="N332" i="13"/>
  <c r="N333" i="13"/>
  <c r="N334" i="13"/>
  <c r="N335" i="13"/>
  <c r="N336" i="13"/>
  <c r="N337" i="13"/>
  <c r="N338" i="13"/>
  <c r="N339" i="13"/>
  <c r="N340" i="13"/>
  <c r="N341" i="13"/>
  <c r="N342" i="13"/>
  <c r="N343" i="13"/>
  <c r="N344" i="13"/>
  <c r="N345" i="13"/>
  <c r="N346" i="13"/>
  <c r="N347" i="13"/>
  <c r="N348" i="13"/>
  <c r="N349" i="13"/>
  <c r="N350" i="13"/>
  <c r="N351" i="13"/>
  <c r="N352" i="13"/>
  <c r="N353" i="13"/>
  <c r="N354" i="13"/>
  <c r="N355" i="13"/>
  <c r="N356" i="13"/>
  <c r="N357" i="13"/>
  <c r="N358" i="13"/>
  <c r="N359" i="13"/>
  <c r="N360" i="13"/>
  <c r="N361" i="13"/>
  <c r="N362" i="13"/>
  <c r="N363" i="13"/>
  <c r="N364" i="13"/>
  <c r="N365" i="13"/>
  <c r="N366" i="13"/>
  <c r="N367" i="13"/>
  <c r="N368" i="13"/>
  <c r="N369" i="13"/>
  <c r="N370" i="13"/>
  <c r="N371" i="13"/>
  <c r="N372" i="13"/>
  <c r="N373" i="13"/>
  <c r="N374" i="13"/>
  <c r="N375" i="13"/>
  <c r="N376" i="13"/>
  <c r="N377" i="13"/>
  <c r="N378" i="13"/>
  <c r="N379" i="13"/>
  <c r="N380" i="13"/>
  <c r="N381" i="13"/>
  <c r="N382" i="13"/>
  <c r="N383" i="13"/>
  <c r="N384" i="13"/>
  <c r="N385" i="13"/>
  <c r="N386" i="13"/>
  <c r="N387" i="13"/>
  <c r="N388" i="13"/>
  <c r="N389" i="13"/>
  <c r="N390" i="13"/>
  <c r="N391" i="13"/>
  <c r="N392" i="13"/>
  <c r="N393" i="13"/>
  <c r="N394" i="13"/>
  <c r="N395" i="13"/>
  <c r="N396" i="13"/>
  <c r="N397" i="13"/>
  <c r="N398" i="13"/>
  <c r="N399" i="13"/>
  <c r="N400" i="13"/>
  <c r="N401" i="13"/>
  <c r="N2" i="13"/>
  <c r="M3" i="13"/>
  <c r="M4" i="13"/>
  <c r="M5" i="13"/>
  <c r="M6" i="13"/>
  <c r="M7" i="13"/>
  <c r="M8" i="13"/>
  <c r="M9" i="13"/>
  <c r="M10" i="13"/>
  <c r="M11" i="13"/>
  <c r="M12" i="13"/>
  <c r="M13" i="13"/>
  <c r="M14" i="13"/>
  <c r="M15" i="13"/>
  <c r="M16" i="13"/>
  <c r="M17" i="13"/>
  <c r="M18" i="13"/>
  <c r="M19" i="13"/>
  <c r="M20" i="13"/>
  <c r="M21" i="13"/>
  <c r="M22" i="13"/>
  <c r="M23" i="13"/>
  <c r="M24" i="13"/>
  <c r="M25" i="13"/>
  <c r="M26" i="13"/>
  <c r="M27" i="13"/>
  <c r="M28" i="13"/>
  <c r="M29" i="13"/>
  <c r="M30" i="13"/>
  <c r="M31" i="13"/>
  <c r="M32" i="13"/>
  <c r="M33" i="13"/>
  <c r="M34" i="13"/>
  <c r="M35" i="13"/>
  <c r="M36" i="13"/>
  <c r="M37" i="13"/>
  <c r="M38" i="13"/>
  <c r="M39" i="13"/>
  <c r="M40" i="13"/>
  <c r="M41" i="13"/>
  <c r="M42" i="13"/>
  <c r="M43" i="13"/>
  <c r="M44" i="13"/>
  <c r="M45" i="13"/>
  <c r="M46" i="13"/>
  <c r="M47" i="13"/>
  <c r="M48" i="13"/>
  <c r="M49" i="13"/>
  <c r="M50" i="13"/>
  <c r="M51" i="13"/>
  <c r="M52" i="13"/>
  <c r="M53" i="13"/>
  <c r="M54" i="13"/>
  <c r="M55" i="13"/>
  <c r="M56" i="13"/>
  <c r="M57" i="13"/>
  <c r="M58" i="13"/>
  <c r="M59" i="13"/>
  <c r="M60" i="13"/>
  <c r="M61" i="13"/>
  <c r="M62" i="13"/>
  <c r="M63" i="13"/>
  <c r="M64" i="13"/>
  <c r="M65" i="13"/>
  <c r="M66" i="13"/>
  <c r="M67" i="13"/>
  <c r="M68" i="13"/>
  <c r="M69" i="13"/>
  <c r="M70" i="13"/>
  <c r="M71" i="13"/>
  <c r="M72" i="13"/>
  <c r="M73" i="13"/>
  <c r="M74" i="13"/>
  <c r="M75" i="13"/>
  <c r="M76" i="13"/>
  <c r="M77" i="13"/>
  <c r="M78" i="13"/>
  <c r="M79" i="13"/>
  <c r="M80" i="13"/>
  <c r="M81" i="13"/>
  <c r="M82" i="13"/>
  <c r="M83" i="13"/>
  <c r="M84" i="13"/>
  <c r="M85" i="13"/>
  <c r="M86" i="13"/>
  <c r="M87" i="13"/>
  <c r="M88" i="13"/>
  <c r="M89" i="13"/>
  <c r="M90" i="13"/>
  <c r="M91" i="13"/>
  <c r="M92" i="13"/>
  <c r="M93" i="13"/>
  <c r="M94" i="13"/>
  <c r="M95" i="13"/>
  <c r="M96" i="13"/>
  <c r="M97" i="13"/>
  <c r="M98" i="13"/>
  <c r="M99" i="13"/>
  <c r="M100" i="13"/>
  <c r="M101" i="13"/>
  <c r="M102" i="13"/>
  <c r="M103" i="13"/>
  <c r="M104" i="13"/>
  <c r="M105" i="13"/>
  <c r="M106" i="13"/>
  <c r="M107" i="13"/>
  <c r="M108" i="13"/>
  <c r="M109" i="13"/>
  <c r="M110" i="13"/>
  <c r="M111" i="13"/>
  <c r="M112" i="13"/>
  <c r="M113" i="13"/>
  <c r="M114" i="13"/>
  <c r="M115" i="13"/>
  <c r="M116" i="13"/>
  <c r="M117" i="13"/>
  <c r="M118" i="13"/>
  <c r="M119" i="13"/>
  <c r="M120" i="13"/>
  <c r="M121" i="13"/>
  <c r="M122" i="13"/>
  <c r="M123" i="13"/>
  <c r="M124" i="13"/>
  <c r="M125" i="13"/>
  <c r="M126" i="13"/>
  <c r="M127" i="13"/>
  <c r="M128" i="13"/>
  <c r="M129" i="13"/>
  <c r="M130" i="13"/>
  <c r="M131" i="13"/>
  <c r="M132" i="13"/>
  <c r="M133" i="13"/>
  <c r="M134" i="13"/>
  <c r="M135" i="13"/>
  <c r="M136" i="13"/>
  <c r="M137" i="13"/>
  <c r="M138" i="13"/>
  <c r="M139" i="13"/>
  <c r="M140" i="13"/>
  <c r="M141" i="13"/>
  <c r="M142" i="13"/>
  <c r="M143" i="13"/>
  <c r="M144" i="13"/>
  <c r="M145" i="13"/>
  <c r="M146" i="13"/>
  <c r="M147" i="13"/>
  <c r="M148" i="13"/>
  <c r="M149" i="13"/>
  <c r="M150" i="13"/>
  <c r="M151" i="13"/>
  <c r="M152" i="13"/>
  <c r="M153" i="13"/>
  <c r="M154" i="13"/>
  <c r="M155" i="13"/>
  <c r="M156" i="13"/>
  <c r="M157" i="13"/>
  <c r="M158" i="13"/>
  <c r="M159" i="13"/>
  <c r="M160" i="13"/>
  <c r="M161" i="13"/>
  <c r="M162" i="13"/>
  <c r="M163" i="13"/>
  <c r="M164" i="13"/>
  <c r="M165" i="13"/>
  <c r="M166" i="13"/>
  <c r="M167" i="13"/>
  <c r="M168" i="13"/>
  <c r="M169" i="13"/>
  <c r="M170" i="13"/>
  <c r="M171" i="13"/>
  <c r="M172" i="13"/>
  <c r="M173" i="13"/>
  <c r="M174" i="13"/>
  <c r="M175" i="13"/>
  <c r="M176" i="13"/>
  <c r="M177" i="13"/>
  <c r="M178" i="13"/>
  <c r="M179" i="13"/>
  <c r="M180" i="13"/>
  <c r="M181" i="13"/>
  <c r="M182" i="13"/>
  <c r="M183" i="13"/>
  <c r="M184" i="13"/>
  <c r="M185" i="13"/>
  <c r="M186" i="13"/>
  <c r="M187" i="13"/>
  <c r="M188" i="13"/>
  <c r="M189" i="13"/>
  <c r="M190" i="13"/>
  <c r="M191" i="13"/>
  <c r="M192" i="13"/>
  <c r="M193" i="13"/>
  <c r="M194" i="13"/>
  <c r="M195" i="13"/>
  <c r="M196" i="13"/>
  <c r="M197" i="13"/>
  <c r="M198" i="13"/>
  <c r="M199" i="13"/>
  <c r="M200" i="13"/>
  <c r="M201" i="13"/>
  <c r="M202" i="13"/>
  <c r="M203" i="13"/>
  <c r="M204" i="13"/>
  <c r="M205" i="13"/>
  <c r="M206" i="13"/>
  <c r="M207" i="13"/>
  <c r="M208" i="13"/>
  <c r="M209" i="13"/>
  <c r="M210" i="13"/>
  <c r="M211" i="13"/>
  <c r="M212" i="13"/>
  <c r="M213" i="13"/>
  <c r="M214" i="13"/>
  <c r="M215" i="13"/>
  <c r="M216" i="13"/>
  <c r="M217" i="13"/>
  <c r="M218" i="13"/>
  <c r="M219" i="13"/>
  <c r="M220" i="13"/>
  <c r="M221" i="13"/>
  <c r="M222" i="13"/>
  <c r="M223" i="13"/>
  <c r="M224" i="13"/>
  <c r="M225" i="13"/>
  <c r="M226" i="13"/>
  <c r="M227" i="13"/>
  <c r="M228" i="13"/>
  <c r="M229" i="13"/>
  <c r="M230" i="13"/>
  <c r="M231" i="13"/>
  <c r="M232" i="13"/>
  <c r="M233" i="13"/>
  <c r="M234" i="13"/>
  <c r="M235" i="13"/>
  <c r="M236" i="13"/>
  <c r="M237" i="13"/>
  <c r="M238" i="13"/>
  <c r="M239" i="13"/>
  <c r="M240" i="13"/>
  <c r="M241" i="13"/>
  <c r="M242" i="13"/>
  <c r="M243" i="13"/>
  <c r="M244" i="13"/>
  <c r="M245" i="13"/>
  <c r="M246" i="13"/>
  <c r="M247" i="13"/>
  <c r="M248" i="13"/>
  <c r="M249" i="13"/>
  <c r="M250" i="13"/>
  <c r="M251" i="13"/>
  <c r="M252" i="13"/>
  <c r="M253" i="13"/>
  <c r="M254" i="13"/>
  <c r="M255" i="13"/>
  <c r="M256" i="13"/>
  <c r="M257" i="13"/>
  <c r="M258" i="13"/>
  <c r="M259" i="13"/>
  <c r="M260" i="13"/>
  <c r="M261" i="13"/>
  <c r="M262" i="13"/>
  <c r="M263" i="13"/>
  <c r="M264" i="13"/>
  <c r="M265" i="13"/>
  <c r="M266" i="13"/>
  <c r="M267" i="13"/>
  <c r="M268" i="13"/>
  <c r="M269" i="13"/>
  <c r="M270" i="13"/>
  <c r="M271" i="13"/>
  <c r="M272" i="13"/>
  <c r="M273" i="13"/>
  <c r="M274" i="13"/>
  <c r="M275" i="13"/>
  <c r="M276" i="13"/>
  <c r="M277" i="13"/>
  <c r="M278" i="13"/>
  <c r="M279" i="13"/>
  <c r="M280" i="13"/>
  <c r="M281" i="13"/>
  <c r="M282" i="13"/>
  <c r="M283" i="13"/>
  <c r="M284" i="13"/>
  <c r="M285" i="13"/>
  <c r="M286" i="13"/>
  <c r="M287" i="13"/>
  <c r="M288" i="13"/>
  <c r="M289" i="13"/>
  <c r="M290" i="13"/>
  <c r="M291" i="13"/>
  <c r="M292" i="13"/>
  <c r="M293" i="13"/>
  <c r="M294" i="13"/>
  <c r="M295" i="13"/>
  <c r="M296" i="13"/>
  <c r="M297" i="13"/>
  <c r="M298" i="13"/>
  <c r="M299" i="13"/>
  <c r="M300" i="13"/>
  <c r="M301" i="13"/>
  <c r="M302" i="13"/>
  <c r="M303" i="13"/>
  <c r="M304" i="13"/>
  <c r="M305" i="13"/>
  <c r="M306" i="13"/>
  <c r="M307" i="13"/>
  <c r="M308" i="13"/>
  <c r="M309" i="13"/>
  <c r="M310" i="13"/>
  <c r="M311" i="13"/>
  <c r="M312" i="13"/>
  <c r="M313" i="13"/>
  <c r="M314" i="13"/>
  <c r="M315" i="13"/>
  <c r="M316" i="13"/>
  <c r="M317" i="13"/>
  <c r="M318" i="13"/>
  <c r="M319" i="13"/>
  <c r="M320" i="13"/>
  <c r="M321" i="13"/>
  <c r="M322" i="13"/>
  <c r="M323" i="13"/>
  <c r="M324" i="13"/>
  <c r="M325" i="13"/>
  <c r="M326" i="13"/>
  <c r="M327" i="13"/>
  <c r="M328" i="13"/>
  <c r="M329" i="13"/>
  <c r="M330" i="13"/>
  <c r="M331" i="13"/>
  <c r="M332" i="13"/>
  <c r="M333" i="13"/>
  <c r="M334" i="13"/>
  <c r="M335" i="13"/>
  <c r="M336" i="13"/>
  <c r="M337" i="13"/>
  <c r="M338" i="13"/>
  <c r="M339" i="13"/>
  <c r="M340" i="13"/>
  <c r="M341" i="13"/>
  <c r="M342" i="13"/>
  <c r="M343" i="13"/>
  <c r="M344" i="13"/>
  <c r="M345" i="13"/>
  <c r="M346" i="13"/>
  <c r="M347" i="13"/>
  <c r="M348" i="13"/>
  <c r="M349" i="13"/>
  <c r="M350" i="13"/>
  <c r="M351" i="13"/>
  <c r="M352" i="13"/>
  <c r="M353" i="13"/>
  <c r="M354" i="13"/>
  <c r="M355" i="13"/>
  <c r="M356" i="13"/>
  <c r="M357" i="13"/>
  <c r="M358" i="13"/>
  <c r="M359" i="13"/>
  <c r="M360" i="13"/>
  <c r="M361" i="13"/>
  <c r="M362" i="13"/>
  <c r="M363" i="13"/>
  <c r="M364" i="13"/>
  <c r="M365" i="13"/>
  <c r="M366" i="13"/>
  <c r="M367" i="13"/>
  <c r="M368" i="13"/>
  <c r="M369" i="13"/>
  <c r="M370" i="13"/>
  <c r="M371" i="13"/>
  <c r="M372" i="13"/>
  <c r="M373" i="13"/>
  <c r="M374" i="13"/>
  <c r="M375" i="13"/>
  <c r="M376" i="13"/>
  <c r="M377" i="13"/>
  <c r="M378" i="13"/>
  <c r="M379" i="13"/>
  <c r="M380" i="13"/>
  <c r="M381" i="13"/>
  <c r="M382" i="13"/>
  <c r="M383" i="13"/>
  <c r="M384" i="13"/>
  <c r="M385" i="13"/>
  <c r="M386" i="13"/>
  <c r="M387" i="13"/>
  <c r="M388" i="13"/>
  <c r="M389" i="13"/>
  <c r="M390" i="13"/>
  <c r="M391" i="13"/>
  <c r="M392" i="13"/>
  <c r="M393" i="13"/>
  <c r="M394" i="13"/>
  <c r="M395" i="13"/>
  <c r="M396" i="13"/>
  <c r="M397" i="13"/>
  <c r="M398" i="13"/>
  <c r="M399" i="13"/>
  <c r="M400" i="13"/>
  <c r="M401" i="13"/>
  <c r="M2" i="13"/>
  <c r="L3" i="13"/>
  <c r="L4" i="13"/>
  <c r="L5" i="13"/>
  <c r="L6" i="13"/>
  <c r="L7" i="13"/>
  <c r="L8" i="13"/>
  <c r="L9" i="13"/>
  <c r="L10" i="13"/>
  <c r="L11" i="13"/>
  <c r="L12" i="13"/>
  <c r="L13" i="13"/>
  <c r="L14" i="13"/>
  <c r="L15" i="13"/>
  <c r="L16" i="13"/>
  <c r="L17" i="13"/>
  <c r="L18" i="13"/>
  <c r="L19" i="13"/>
  <c r="L20" i="13"/>
  <c r="L21" i="13"/>
  <c r="L22" i="13"/>
  <c r="L23" i="13"/>
  <c r="L24" i="13"/>
  <c r="L25" i="13"/>
  <c r="L26" i="13"/>
  <c r="L27" i="13"/>
  <c r="L28" i="13"/>
  <c r="L29" i="13"/>
  <c r="L30" i="13"/>
  <c r="L31" i="13"/>
  <c r="L32" i="13"/>
  <c r="L33" i="13"/>
  <c r="L34" i="13"/>
  <c r="L35" i="13"/>
  <c r="L36" i="13"/>
  <c r="L37" i="13"/>
  <c r="L38" i="13"/>
  <c r="L39" i="13"/>
  <c r="L40" i="13"/>
  <c r="L41" i="13"/>
  <c r="L42" i="13"/>
  <c r="L43" i="13"/>
  <c r="L44" i="13"/>
  <c r="L45" i="13"/>
  <c r="L46" i="13"/>
  <c r="L47" i="13"/>
  <c r="L48" i="13"/>
  <c r="L49" i="13"/>
  <c r="L50" i="13"/>
  <c r="L51" i="13"/>
  <c r="L52" i="13"/>
  <c r="L53" i="13"/>
  <c r="L54" i="13"/>
  <c r="L55" i="13"/>
  <c r="L56" i="13"/>
  <c r="L57" i="13"/>
  <c r="L58" i="13"/>
  <c r="L59" i="13"/>
  <c r="L60" i="13"/>
  <c r="L61" i="13"/>
  <c r="L62" i="13"/>
  <c r="L63" i="13"/>
  <c r="L64" i="13"/>
  <c r="L65" i="13"/>
  <c r="L66" i="13"/>
  <c r="L67" i="13"/>
  <c r="L68" i="13"/>
  <c r="L69" i="13"/>
  <c r="L70" i="13"/>
  <c r="L71" i="13"/>
  <c r="L72" i="13"/>
  <c r="L73" i="13"/>
  <c r="L74" i="13"/>
  <c r="L75" i="13"/>
  <c r="L76" i="13"/>
  <c r="L77" i="13"/>
  <c r="L78" i="13"/>
  <c r="L79" i="13"/>
  <c r="L80" i="13"/>
  <c r="L81" i="13"/>
  <c r="L82" i="13"/>
  <c r="L83" i="13"/>
  <c r="L84" i="13"/>
  <c r="L85" i="13"/>
  <c r="L86" i="13"/>
  <c r="L87" i="13"/>
  <c r="L88" i="13"/>
  <c r="L89" i="13"/>
  <c r="L90" i="13"/>
  <c r="L91" i="13"/>
  <c r="L92" i="13"/>
  <c r="L93" i="13"/>
  <c r="L94" i="13"/>
  <c r="L95" i="13"/>
  <c r="L96" i="13"/>
  <c r="L97" i="13"/>
  <c r="L98" i="13"/>
  <c r="L99" i="13"/>
  <c r="L100" i="13"/>
  <c r="L101" i="13"/>
  <c r="L102" i="13"/>
  <c r="L103" i="13"/>
  <c r="L104" i="13"/>
  <c r="L105" i="13"/>
  <c r="L106" i="13"/>
  <c r="L107" i="13"/>
  <c r="L108" i="13"/>
  <c r="L109" i="13"/>
  <c r="L110" i="13"/>
  <c r="L111" i="13"/>
  <c r="L112" i="13"/>
  <c r="L113" i="13"/>
  <c r="L114" i="13"/>
  <c r="L115" i="13"/>
  <c r="L116" i="13"/>
  <c r="L117" i="13"/>
  <c r="L118" i="13"/>
  <c r="L119" i="13"/>
  <c r="L120" i="13"/>
  <c r="L121" i="13"/>
  <c r="L122" i="13"/>
  <c r="L123" i="13"/>
  <c r="L124" i="13"/>
  <c r="L125" i="13"/>
  <c r="L126" i="13"/>
  <c r="L127" i="13"/>
  <c r="L128" i="13"/>
  <c r="L129" i="13"/>
  <c r="L130" i="13"/>
  <c r="L131" i="13"/>
  <c r="L132" i="13"/>
  <c r="L133" i="13"/>
  <c r="L134" i="13"/>
  <c r="L135" i="13"/>
  <c r="L136" i="13"/>
  <c r="L137" i="13"/>
  <c r="L138" i="13"/>
  <c r="L139" i="13"/>
  <c r="L140" i="13"/>
  <c r="L141" i="13"/>
  <c r="L142" i="13"/>
  <c r="L143" i="13"/>
  <c r="L144" i="13"/>
  <c r="L145" i="13"/>
  <c r="L146" i="13"/>
  <c r="L147" i="13"/>
  <c r="L148" i="13"/>
  <c r="L149" i="13"/>
  <c r="L150" i="13"/>
  <c r="L151" i="13"/>
  <c r="L152" i="13"/>
  <c r="L153" i="13"/>
  <c r="L154" i="13"/>
  <c r="L155" i="13"/>
  <c r="L156" i="13"/>
  <c r="L157" i="13"/>
  <c r="L158" i="13"/>
  <c r="L159" i="13"/>
  <c r="L160" i="13"/>
  <c r="L161" i="13"/>
  <c r="L162" i="13"/>
  <c r="L163" i="13"/>
  <c r="L164" i="13"/>
  <c r="L165" i="13"/>
  <c r="L166" i="13"/>
  <c r="L167" i="13"/>
  <c r="L168" i="13"/>
  <c r="L169" i="13"/>
  <c r="L170" i="13"/>
  <c r="L171" i="13"/>
  <c r="L172" i="13"/>
  <c r="L173" i="13"/>
  <c r="L174" i="13"/>
  <c r="L175" i="13"/>
  <c r="L176" i="13"/>
  <c r="L177" i="13"/>
  <c r="L178" i="13"/>
  <c r="L179" i="13"/>
  <c r="L180" i="13"/>
  <c r="L181" i="13"/>
  <c r="L182" i="13"/>
  <c r="L183" i="13"/>
  <c r="L184" i="13"/>
  <c r="L185" i="13"/>
  <c r="L186" i="13"/>
  <c r="L187" i="13"/>
  <c r="L188" i="13"/>
  <c r="L189" i="13"/>
  <c r="L190" i="13"/>
  <c r="L191" i="13"/>
  <c r="L192" i="13"/>
  <c r="L193" i="13"/>
  <c r="L194" i="13"/>
  <c r="L195" i="13"/>
  <c r="L196" i="13"/>
  <c r="L197" i="13"/>
  <c r="L198" i="13"/>
  <c r="L199" i="13"/>
  <c r="L200" i="13"/>
  <c r="L201" i="13"/>
  <c r="L202" i="13"/>
  <c r="L203" i="13"/>
  <c r="L204" i="13"/>
  <c r="L205" i="13"/>
  <c r="L206" i="13"/>
  <c r="L207" i="13"/>
  <c r="L208" i="13"/>
  <c r="L209" i="13"/>
  <c r="L210" i="13"/>
  <c r="L211" i="13"/>
  <c r="L212" i="13"/>
  <c r="L213" i="13"/>
  <c r="L214" i="13"/>
  <c r="L215" i="13"/>
  <c r="L216" i="13"/>
  <c r="L217" i="13"/>
  <c r="L218" i="13"/>
  <c r="L219" i="13"/>
  <c r="L220" i="13"/>
  <c r="L221" i="13"/>
  <c r="L222" i="13"/>
  <c r="L223" i="13"/>
  <c r="L224" i="13"/>
  <c r="L225" i="13"/>
  <c r="L226" i="13"/>
  <c r="L227" i="13"/>
  <c r="L228" i="13"/>
  <c r="L229" i="13"/>
  <c r="L230" i="13"/>
  <c r="L231" i="13"/>
  <c r="L232" i="13"/>
  <c r="L233" i="13"/>
  <c r="L234" i="13"/>
  <c r="L235" i="13"/>
  <c r="L236" i="13"/>
  <c r="L237" i="13"/>
  <c r="L238" i="13"/>
  <c r="L239" i="13"/>
  <c r="L240" i="13"/>
  <c r="L241" i="13"/>
  <c r="L242" i="13"/>
  <c r="L243" i="13"/>
  <c r="L244" i="13"/>
  <c r="L245" i="13"/>
  <c r="L246" i="13"/>
  <c r="L247" i="13"/>
  <c r="L248" i="13"/>
  <c r="L249" i="13"/>
  <c r="L250" i="13"/>
  <c r="L251" i="13"/>
  <c r="L252" i="13"/>
  <c r="L253" i="13"/>
  <c r="L254" i="13"/>
  <c r="L255" i="13"/>
  <c r="L256" i="13"/>
  <c r="L257" i="13"/>
  <c r="L258" i="13"/>
  <c r="L259" i="13"/>
  <c r="L260" i="13"/>
  <c r="L261" i="13"/>
  <c r="L262" i="13"/>
  <c r="L263" i="13"/>
  <c r="L264" i="13"/>
  <c r="L265" i="13"/>
  <c r="L266" i="13"/>
  <c r="L267" i="13"/>
  <c r="L268" i="13"/>
  <c r="L269" i="13"/>
  <c r="L270" i="13"/>
  <c r="L271" i="13"/>
  <c r="L272" i="13"/>
  <c r="L273" i="13"/>
  <c r="L274" i="13"/>
  <c r="L275" i="13"/>
  <c r="L276" i="13"/>
  <c r="L277" i="13"/>
  <c r="L278" i="13"/>
  <c r="L279" i="13"/>
  <c r="L280" i="13"/>
  <c r="L281" i="13"/>
  <c r="L282" i="13"/>
  <c r="L283" i="13"/>
  <c r="L284" i="13"/>
  <c r="L285" i="13"/>
  <c r="L286" i="13"/>
  <c r="L287" i="13"/>
  <c r="L288" i="13"/>
  <c r="L289" i="13"/>
  <c r="L290" i="13"/>
  <c r="L291" i="13"/>
  <c r="L292" i="13"/>
  <c r="L293" i="13"/>
  <c r="L294" i="13"/>
  <c r="L295" i="13"/>
  <c r="L296" i="13"/>
  <c r="L297" i="13"/>
  <c r="L298" i="13"/>
  <c r="L299" i="13"/>
  <c r="L300" i="13"/>
  <c r="L301" i="13"/>
  <c r="L302" i="13"/>
  <c r="L303" i="13"/>
  <c r="L304" i="13"/>
  <c r="L305" i="13"/>
  <c r="L306" i="13"/>
  <c r="L307" i="13"/>
  <c r="L308" i="13"/>
  <c r="L309" i="13"/>
  <c r="L310" i="13"/>
  <c r="L311" i="13"/>
  <c r="L312" i="13"/>
  <c r="L313" i="13"/>
  <c r="L314" i="13"/>
  <c r="L315" i="13"/>
  <c r="L316" i="13"/>
  <c r="L317" i="13"/>
  <c r="L318" i="13"/>
  <c r="L319" i="13"/>
  <c r="L320" i="13"/>
  <c r="L321" i="13"/>
  <c r="L322" i="13"/>
  <c r="L323" i="13"/>
  <c r="L324" i="13"/>
  <c r="L325" i="13"/>
  <c r="L326" i="13"/>
  <c r="L327" i="13"/>
  <c r="L328" i="13"/>
  <c r="L329" i="13"/>
  <c r="L330" i="13"/>
  <c r="L331" i="13"/>
  <c r="L332" i="13"/>
  <c r="L333" i="13"/>
  <c r="L334" i="13"/>
  <c r="L335" i="13"/>
  <c r="L336" i="13"/>
  <c r="L337" i="13"/>
  <c r="L338" i="13"/>
  <c r="L339" i="13"/>
  <c r="L340" i="13"/>
  <c r="L341" i="13"/>
  <c r="L342" i="13"/>
  <c r="L343" i="13"/>
  <c r="L344" i="13"/>
  <c r="L345" i="13"/>
  <c r="L346" i="13"/>
  <c r="L347" i="13"/>
  <c r="L348" i="13"/>
  <c r="L349" i="13"/>
  <c r="L350" i="13"/>
  <c r="L351" i="13"/>
  <c r="L352" i="13"/>
  <c r="L353" i="13"/>
  <c r="L354" i="13"/>
  <c r="L355" i="13"/>
  <c r="L356" i="13"/>
  <c r="L357" i="13"/>
  <c r="L358" i="13"/>
  <c r="L359" i="13"/>
  <c r="L360" i="13"/>
  <c r="L361" i="13"/>
  <c r="L362" i="13"/>
  <c r="L363" i="13"/>
  <c r="L364" i="13"/>
  <c r="L365" i="13"/>
  <c r="L366" i="13"/>
  <c r="L367" i="13"/>
  <c r="L368" i="13"/>
  <c r="L369" i="13"/>
  <c r="L370" i="13"/>
  <c r="L371" i="13"/>
  <c r="L372" i="13"/>
  <c r="L373" i="13"/>
  <c r="L374" i="13"/>
  <c r="L375" i="13"/>
  <c r="L376" i="13"/>
  <c r="L377" i="13"/>
  <c r="L378" i="13"/>
  <c r="L379" i="13"/>
  <c r="L380" i="13"/>
  <c r="L381" i="13"/>
  <c r="L382" i="13"/>
  <c r="L383" i="13"/>
  <c r="L384" i="13"/>
  <c r="L385" i="13"/>
  <c r="L386" i="13"/>
  <c r="L387" i="13"/>
  <c r="L388" i="13"/>
  <c r="L389" i="13"/>
  <c r="L390" i="13"/>
  <c r="L391" i="13"/>
  <c r="L392" i="13"/>
  <c r="L393" i="13"/>
  <c r="L394" i="13"/>
  <c r="L395" i="13"/>
  <c r="L396" i="13"/>
  <c r="L397" i="13"/>
  <c r="L398" i="13"/>
  <c r="L399" i="13"/>
  <c r="L400" i="13"/>
  <c r="L401" i="13"/>
  <c r="L2" i="13"/>
  <c r="N3" i="12"/>
  <c r="N4" i="12"/>
  <c r="N5" i="12"/>
  <c r="N6" i="12"/>
  <c r="N7" i="12"/>
  <c r="N8" i="12"/>
  <c r="N9" i="12"/>
  <c r="N10" i="12"/>
  <c r="N11" i="12"/>
  <c r="N12" i="12"/>
  <c r="N13" i="12"/>
  <c r="N14" i="12"/>
  <c r="N15" i="12"/>
  <c r="N16" i="12"/>
  <c r="N17" i="12"/>
  <c r="N18" i="12"/>
  <c r="N19" i="12"/>
  <c r="N20" i="12"/>
  <c r="N21" i="12"/>
  <c r="N22" i="12"/>
  <c r="N23" i="12"/>
  <c r="N24" i="12"/>
  <c r="N25" i="12"/>
  <c r="N26" i="12"/>
  <c r="N27" i="12"/>
  <c r="N28" i="12"/>
  <c r="N29" i="12"/>
  <c r="N30" i="12"/>
  <c r="N31" i="12"/>
  <c r="N32" i="12"/>
  <c r="N33" i="12"/>
  <c r="N34" i="12"/>
  <c r="N35" i="12"/>
  <c r="N36" i="12"/>
  <c r="N37" i="12"/>
  <c r="N38" i="12"/>
  <c r="N39" i="12"/>
  <c r="N40" i="12"/>
  <c r="N41" i="12"/>
  <c r="N42" i="12"/>
  <c r="N43" i="12"/>
  <c r="N44" i="12"/>
  <c r="N45" i="12"/>
  <c r="N46" i="12"/>
  <c r="N47" i="12"/>
  <c r="N48" i="12"/>
  <c r="N49" i="12"/>
  <c r="N50" i="12"/>
  <c r="N51" i="12"/>
  <c r="N52" i="12"/>
  <c r="N53" i="12"/>
  <c r="N54" i="12"/>
  <c r="N55" i="12"/>
  <c r="N56" i="12"/>
  <c r="N57" i="12"/>
  <c r="N58" i="12"/>
  <c r="N59" i="12"/>
  <c r="N60" i="12"/>
  <c r="N61" i="12"/>
  <c r="N62" i="12"/>
  <c r="N63" i="12"/>
  <c r="N64" i="12"/>
  <c r="N65" i="12"/>
  <c r="N66" i="12"/>
  <c r="N67" i="12"/>
  <c r="N68" i="12"/>
  <c r="N69" i="12"/>
  <c r="N70" i="12"/>
  <c r="N71" i="12"/>
  <c r="N72" i="12"/>
  <c r="N73" i="12"/>
  <c r="N74" i="12"/>
  <c r="N75" i="12"/>
  <c r="N76" i="12"/>
  <c r="N77" i="12"/>
  <c r="N78" i="12"/>
  <c r="N79" i="12"/>
  <c r="N80" i="12"/>
  <c r="N81" i="12"/>
  <c r="N82" i="12"/>
  <c r="N83" i="12"/>
  <c r="N84" i="12"/>
  <c r="N85" i="12"/>
  <c r="N86" i="12"/>
  <c r="N87" i="12"/>
  <c r="N88" i="12"/>
  <c r="N89" i="12"/>
  <c r="N90" i="12"/>
  <c r="N91" i="12"/>
  <c r="N92" i="12"/>
  <c r="N93" i="12"/>
  <c r="N94" i="12"/>
  <c r="N95" i="12"/>
  <c r="N96" i="12"/>
  <c r="N97" i="12"/>
  <c r="N98" i="12"/>
  <c r="N99" i="12"/>
  <c r="N100" i="12"/>
  <c r="N101" i="12"/>
  <c r="N102" i="12"/>
  <c r="N103" i="12"/>
  <c r="N104" i="12"/>
  <c r="N105" i="12"/>
  <c r="N106" i="12"/>
  <c r="N107" i="12"/>
  <c r="N108" i="12"/>
  <c r="N109" i="12"/>
  <c r="N110" i="12"/>
  <c r="N111" i="12"/>
  <c r="N112" i="12"/>
  <c r="N113" i="12"/>
  <c r="N114" i="12"/>
  <c r="N115" i="12"/>
  <c r="N116" i="12"/>
  <c r="N117" i="12"/>
  <c r="N118" i="12"/>
  <c r="N119" i="12"/>
  <c r="N120" i="12"/>
  <c r="N121" i="12"/>
  <c r="N122" i="12"/>
  <c r="N123" i="12"/>
  <c r="N124" i="12"/>
  <c r="N125" i="12"/>
  <c r="N126" i="12"/>
  <c r="N127" i="12"/>
  <c r="N128" i="12"/>
  <c r="N129" i="12"/>
  <c r="N130" i="12"/>
  <c r="N131" i="12"/>
  <c r="N132" i="12"/>
  <c r="N133" i="12"/>
  <c r="N134" i="12"/>
  <c r="N135" i="12"/>
  <c r="N136" i="12"/>
  <c r="N137" i="12"/>
  <c r="N138" i="12"/>
  <c r="N139" i="12"/>
  <c r="N140" i="12"/>
  <c r="N141" i="12"/>
  <c r="N142" i="12"/>
  <c r="N143" i="12"/>
  <c r="N144" i="12"/>
  <c r="N145" i="12"/>
  <c r="N146" i="12"/>
  <c r="N147" i="12"/>
  <c r="N148" i="12"/>
  <c r="N149" i="12"/>
  <c r="N150" i="12"/>
  <c r="N151" i="12"/>
  <c r="N152" i="12"/>
  <c r="N153" i="12"/>
  <c r="N154" i="12"/>
  <c r="N155" i="12"/>
  <c r="N156" i="12"/>
  <c r="N157" i="12"/>
  <c r="N158" i="12"/>
  <c r="N159" i="12"/>
  <c r="N160" i="12"/>
  <c r="N161" i="12"/>
  <c r="N162" i="12"/>
  <c r="N163" i="12"/>
  <c r="N164" i="12"/>
  <c r="N165" i="12"/>
  <c r="N166" i="12"/>
  <c r="N167" i="12"/>
  <c r="N168" i="12"/>
  <c r="N169" i="12"/>
  <c r="N170" i="12"/>
  <c r="N171" i="12"/>
  <c r="N172" i="12"/>
  <c r="N173" i="12"/>
  <c r="N174" i="12"/>
  <c r="N175" i="12"/>
  <c r="N176" i="12"/>
  <c r="N177" i="12"/>
  <c r="N178" i="12"/>
  <c r="N179" i="12"/>
  <c r="N180" i="12"/>
  <c r="N181" i="12"/>
  <c r="N182" i="12"/>
  <c r="N183" i="12"/>
  <c r="N184" i="12"/>
  <c r="N185" i="12"/>
  <c r="N186" i="12"/>
  <c r="N187" i="12"/>
  <c r="N188" i="12"/>
  <c r="N189" i="12"/>
  <c r="N190" i="12"/>
  <c r="N191" i="12"/>
  <c r="N192" i="12"/>
  <c r="N193" i="12"/>
  <c r="N194" i="12"/>
  <c r="N195" i="12"/>
  <c r="N196" i="12"/>
  <c r="N197" i="12"/>
  <c r="N198" i="12"/>
  <c r="N199" i="12"/>
  <c r="N200" i="12"/>
  <c r="N201" i="12"/>
  <c r="N202" i="12"/>
  <c r="N203" i="12"/>
  <c r="N204" i="12"/>
  <c r="N205" i="12"/>
  <c r="N206" i="12"/>
  <c r="N207" i="12"/>
  <c r="N208" i="12"/>
  <c r="N209" i="12"/>
  <c r="N210" i="12"/>
  <c r="N211" i="12"/>
  <c r="N212" i="12"/>
  <c r="N213" i="12"/>
  <c r="N214" i="12"/>
  <c r="N215" i="12"/>
  <c r="N216" i="12"/>
  <c r="N217" i="12"/>
  <c r="N218" i="12"/>
  <c r="N219" i="12"/>
  <c r="N220" i="12"/>
  <c r="N221" i="12"/>
  <c r="N222" i="12"/>
  <c r="N223" i="12"/>
  <c r="N224" i="12"/>
  <c r="N225" i="12"/>
  <c r="N226" i="12"/>
  <c r="N227" i="12"/>
  <c r="N228" i="12"/>
  <c r="N229" i="12"/>
  <c r="N230" i="12"/>
  <c r="N231" i="12"/>
  <c r="N232" i="12"/>
  <c r="N233" i="12"/>
  <c r="N234" i="12"/>
  <c r="N235" i="12"/>
  <c r="N236" i="12"/>
  <c r="N237" i="12"/>
  <c r="N238" i="12"/>
  <c r="N239" i="12"/>
  <c r="N240" i="12"/>
  <c r="N241" i="12"/>
  <c r="N242" i="12"/>
  <c r="N243" i="12"/>
  <c r="N244" i="12"/>
  <c r="N245" i="12"/>
  <c r="N246" i="12"/>
  <c r="N247" i="12"/>
  <c r="N248" i="12"/>
  <c r="N249" i="12"/>
  <c r="N250" i="12"/>
  <c r="N251" i="12"/>
  <c r="N252" i="12"/>
  <c r="N253" i="12"/>
  <c r="N254" i="12"/>
  <c r="N255" i="12"/>
  <c r="N256" i="12"/>
  <c r="N257" i="12"/>
  <c r="N258" i="12"/>
  <c r="N259" i="12"/>
  <c r="N260" i="12"/>
  <c r="N261" i="12"/>
  <c r="N262" i="12"/>
  <c r="N263" i="12"/>
  <c r="N264" i="12"/>
  <c r="N265" i="12"/>
  <c r="N266" i="12"/>
  <c r="N267" i="12"/>
  <c r="N268" i="12"/>
  <c r="N269" i="12"/>
  <c r="N270" i="12"/>
  <c r="N271" i="12"/>
  <c r="N272" i="12"/>
  <c r="N273" i="12"/>
  <c r="N274" i="12"/>
  <c r="N275" i="12"/>
  <c r="N276" i="12"/>
  <c r="N277" i="12"/>
  <c r="N278" i="12"/>
  <c r="N279" i="12"/>
  <c r="N280" i="12"/>
  <c r="N281" i="12"/>
  <c r="N282" i="12"/>
  <c r="N283" i="12"/>
  <c r="N284" i="12"/>
  <c r="N285" i="12"/>
  <c r="N286" i="12"/>
  <c r="N287" i="12"/>
  <c r="N288" i="12"/>
  <c r="N289" i="12"/>
  <c r="N290" i="12"/>
  <c r="N291" i="12"/>
  <c r="N292" i="12"/>
  <c r="N293" i="12"/>
  <c r="N294" i="12"/>
  <c r="N295" i="12"/>
  <c r="N296" i="12"/>
  <c r="N297" i="12"/>
  <c r="N298" i="12"/>
  <c r="N299" i="12"/>
  <c r="N300" i="12"/>
  <c r="N301" i="12"/>
  <c r="N302" i="12"/>
  <c r="N303" i="12"/>
  <c r="N304" i="12"/>
  <c r="N305" i="12"/>
  <c r="N306" i="12"/>
  <c r="N307" i="12"/>
  <c r="N308" i="12"/>
  <c r="N309" i="12"/>
  <c r="N310" i="12"/>
  <c r="N311" i="12"/>
  <c r="N312" i="12"/>
  <c r="N313" i="12"/>
  <c r="N314" i="12"/>
  <c r="N315" i="12"/>
  <c r="N316" i="12"/>
  <c r="N317" i="12"/>
  <c r="N318" i="12"/>
  <c r="N319" i="12"/>
  <c r="N320" i="12"/>
  <c r="N321" i="12"/>
  <c r="N322" i="12"/>
  <c r="N323" i="12"/>
  <c r="N324" i="12"/>
  <c r="N325" i="12"/>
  <c r="N326" i="12"/>
  <c r="N327" i="12"/>
  <c r="N328" i="12"/>
  <c r="N329" i="12"/>
  <c r="N330" i="12"/>
  <c r="N331" i="12"/>
  <c r="N332" i="12"/>
  <c r="N333" i="12"/>
  <c r="N334" i="12"/>
  <c r="N335" i="12"/>
  <c r="N336" i="12"/>
  <c r="N337" i="12"/>
  <c r="N338" i="12"/>
  <c r="N339" i="12"/>
  <c r="N340" i="12"/>
  <c r="N341" i="12"/>
  <c r="N342" i="12"/>
  <c r="N343" i="12"/>
  <c r="N344" i="12"/>
  <c r="N345" i="12"/>
  <c r="N346" i="12"/>
  <c r="N347" i="12"/>
  <c r="N348" i="12"/>
  <c r="N349" i="12"/>
  <c r="N350" i="12"/>
  <c r="N351" i="12"/>
  <c r="N352" i="12"/>
  <c r="N353" i="12"/>
  <c r="N354" i="12"/>
  <c r="N355" i="12"/>
  <c r="N356" i="12"/>
  <c r="N357" i="12"/>
  <c r="N358" i="12"/>
  <c r="N359" i="12"/>
  <c r="N360" i="12"/>
  <c r="N361" i="12"/>
  <c r="N362" i="12"/>
  <c r="N363" i="12"/>
  <c r="N364" i="12"/>
  <c r="N365" i="12"/>
  <c r="N366" i="12"/>
  <c r="N367" i="12"/>
  <c r="N368" i="12"/>
  <c r="N369" i="12"/>
  <c r="N370" i="12"/>
  <c r="N371" i="12"/>
  <c r="N372" i="12"/>
  <c r="N373" i="12"/>
  <c r="N374" i="12"/>
  <c r="N375" i="12"/>
  <c r="N376" i="12"/>
  <c r="N377" i="12"/>
  <c r="N378" i="12"/>
  <c r="N379" i="12"/>
  <c r="N380" i="12"/>
  <c r="N381" i="12"/>
  <c r="N382" i="12"/>
  <c r="N383" i="12"/>
  <c r="N384" i="12"/>
  <c r="N385" i="12"/>
  <c r="N386" i="12"/>
  <c r="N387" i="12"/>
  <c r="N388" i="12"/>
  <c r="N389" i="12"/>
  <c r="N390" i="12"/>
  <c r="N391" i="12"/>
  <c r="N392" i="12"/>
  <c r="N393" i="12"/>
  <c r="N394" i="12"/>
  <c r="N395" i="12"/>
  <c r="N396" i="12"/>
  <c r="N397" i="12"/>
  <c r="N398" i="12"/>
  <c r="N399" i="12"/>
  <c r="N400" i="12"/>
  <c r="N401" i="12"/>
  <c r="N2" i="12"/>
  <c r="M3" i="12"/>
  <c r="M4" i="12"/>
  <c r="M5" i="12"/>
  <c r="M6" i="12"/>
  <c r="M7" i="12"/>
  <c r="M8" i="12"/>
  <c r="M9" i="12"/>
  <c r="M10" i="12"/>
  <c r="M11" i="12"/>
  <c r="M12" i="12"/>
  <c r="M13" i="12"/>
  <c r="M14" i="12"/>
  <c r="M15" i="12"/>
  <c r="M16" i="12"/>
  <c r="M17" i="12"/>
  <c r="M18" i="12"/>
  <c r="M19" i="12"/>
  <c r="M20" i="12"/>
  <c r="M21" i="12"/>
  <c r="M22" i="12"/>
  <c r="M23" i="12"/>
  <c r="M24" i="12"/>
  <c r="M25" i="12"/>
  <c r="M26" i="12"/>
  <c r="M27" i="12"/>
  <c r="M28" i="12"/>
  <c r="M29" i="12"/>
  <c r="M30" i="12"/>
  <c r="M31" i="12"/>
  <c r="M32" i="12"/>
  <c r="M33" i="12"/>
  <c r="M34" i="12"/>
  <c r="M35" i="12"/>
  <c r="M36" i="12"/>
  <c r="M37" i="12"/>
  <c r="M38" i="12"/>
  <c r="M39" i="12"/>
  <c r="M40" i="12"/>
  <c r="M41" i="12"/>
  <c r="M42" i="12"/>
  <c r="M43" i="12"/>
  <c r="M44" i="12"/>
  <c r="M45" i="12"/>
  <c r="M46" i="12"/>
  <c r="M47" i="12"/>
  <c r="M48" i="12"/>
  <c r="M49" i="12"/>
  <c r="M50" i="12"/>
  <c r="M51" i="12"/>
  <c r="M52" i="12"/>
  <c r="M53" i="12"/>
  <c r="M54" i="12"/>
  <c r="M55" i="12"/>
  <c r="M56" i="12"/>
  <c r="M57" i="12"/>
  <c r="M58" i="12"/>
  <c r="M59" i="12"/>
  <c r="M60" i="12"/>
  <c r="M61" i="12"/>
  <c r="M62" i="12"/>
  <c r="M63" i="12"/>
  <c r="M64" i="12"/>
  <c r="M65" i="12"/>
  <c r="M66" i="12"/>
  <c r="M67" i="12"/>
  <c r="M68" i="12"/>
  <c r="M69" i="12"/>
  <c r="M70" i="12"/>
  <c r="M71" i="12"/>
  <c r="M72" i="12"/>
  <c r="M73" i="12"/>
  <c r="M74" i="12"/>
  <c r="M75" i="12"/>
  <c r="M76" i="12"/>
  <c r="M77" i="12"/>
  <c r="M78" i="12"/>
  <c r="M79" i="12"/>
  <c r="M80" i="12"/>
  <c r="M81" i="12"/>
  <c r="M82" i="12"/>
  <c r="M83" i="12"/>
  <c r="M84" i="12"/>
  <c r="M85" i="12"/>
  <c r="M86" i="12"/>
  <c r="M87" i="12"/>
  <c r="M88" i="12"/>
  <c r="M89" i="12"/>
  <c r="M90" i="12"/>
  <c r="M91" i="12"/>
  <c r="M92" i="12"/>
  <c r="M93" i="12"/>
  <c r="M94" i="12"/>
  <c r="M95" i="12"/>
  <c r="M96" i="12"/>
  <c r="M97" i="12"/>
  <c r="M98" i="12"/>
  <c r="M99" i="12"/>
  <c r="M100" i="12"/>
  <c r="M101" i="12"/>
  <c r="M102" i="12"/>
  <c r="M103" i="12"/>
  <c r="M104" i="12"/>
  <c r="M105" i="12"/>
  <c r="M106" i="12"/>
  <c r="M107" i="12"/>
  <c r="M108" i="12"/>
  <c r="M109" i="12"/>
  <c r="M110" i="12"/>
  <c r="M111" i="12"/>
  <c r="M112" i="12"/>
  <c r="M113" i="12"/>
  <c r="M114" i="12"/>
  <c r="M115" i="12"/>
  <c r="M116" i="12"/>
  <c r="M117" i="12"/>
  <c r="M118" i="12"/>
  <c r="M119" i="12"/>
  <c r="M120" i="12"/>
  <c r="M121" i="12"/>
  <c r="M122" i="12"/>
  <c r="M123" i="12"/>
  <c r="M124" i="12"/>
  <c r="M125" i="12"/>
  <c r="M126" i="12"/>
  <c r="M127" i="12"/>
  <c r="M128" i="12"/>
  <c r="M129" i="12"/>
  <c r="M130" i="12"/>
  <c r="M131" i="12"/>
  <c r="M132" i="12"/>
  <c r="M133" i="12"/>
  <c r="M134" i="12"/>
  <c r="M135" i="12"/>
  <c r="M136" i="12"/>
  <c r="M137" i="12"/>
  <c r="M138" i="12"/>
  <c r="M139" i="12"/>
  <c r="M140" i="12"/>
  <c r="M141" i="12"/>
  <c r="M142" i="12"/>
  <c r="M143" i="12"/>
  <c r="M144" i="12"/>
  <c r="M145" i="12"/>
  <c r="M146" i="12"/>
  <c r="M147" i="12"/>
  <c r="M148" i="12"/>
  <c r="M149" i="12"/>
  <c r="M150" i="12"/>
  <c r="M151" i="12"/>
  <c r="M152" i="12"/>
  <c r="M153" i="12"/>
  <c r="M154" i="12"/>
  <c r="M155" i="12"/>
  <c r="M156" i="12"/>
  <c r="M157" i="12"/>
  <c r="M158" i="12"/>
  <c r="M159" i="12"/>
  <c r="M160" i="12"/>
  <c r="M161" i="12"/>
  <c r="M162" i="12"/>
  <c r="M163" i="12"/>
  <c r="M164" i="12"/>
  <c r="M165" i="12"/>
  <c r="M166" i="12"/>
  <c r="M167" i="12"/>
  <c r="M168" i="12"/>
  <c r="M169" i="12"/>
  <c r="M170" i="12"/>
  <c r="M171" i="12"/>
  <c r="M172" i="12"/>
  <c r="M173" i="12"/>
  <c r="M174" i="12"/>
  <c r="M175" i="12"/>
  <c r="M176" i="12"/>
  <c r="M177" i="12"/>
  <c r="M178" i="12"/>
  <c r="M179" i="12"/>
  <c r="M180" i="12"/>
  <c r="M181" i="12"/>
  <c r="M182" i="12"/>
  <c r="M183" i="12"/>
  <c r="M184" i="12"/>
  <c r="M185" i="12"/>
  <c r="M186" i="12"/>
  <c r="M187" i="12"/>
  <c r="M188" i="12"/>
  <c r="M189" i="12"/>
  <c r="M190" i="12"/>
  <c r="M191" i="12"/>
  <c r="M192" i="12"/>
  <c r="M193" i="12"/>
  <c r="M194" i="12"/>
  <c r="M195" i="12"/>
  <c r="M196" i="12"/>
  <c r="M197" i="12"/>
  <c r="M198" i="12"/>
  <c r="M199" i="12"/>
  <c r="M200" i="12"/>
  <c r="M201" i="12"/>
  <c r="M202" i="12"/>
  <c r="M203" i="12"/>
  <c r="M204" i="12"/>
  <c r="M205" i="12"/>
  <c r="M206" i="12"/>
  <c r="M207" i="12"/>
  <c r="M208" i="12"/>
  <c r="M209" i="12"/>
  <c r="M210" i="12"/>
  <c r="M211" i="12"/>
  <c r="M212" i="12"/>
  <c r="M213" i="12"/>
  <c r="M214" i="12"/>
  <c r="M215" i="12"/>
  <c r="M216" i="12"/>
  <c r="M217" i="12"/>
  <c r="M218" i="12"/>
  <c r="M219" i="12"/>
  <c r="M220" i="12"/>
  <c r="M221" i="12"/>
  <c r="M222" i="12"/>
  <c r="M223" i="12"/>
  <c r="M224" i="12"/>
  <c r="M225" i="12"/>
  <c r="M226" i="12"/>
  <c r="M227" i="12"/>
  <c r="M228" i="12"/>
  <c r="M229" i="12"/>
  <c r="M230" i="12"/>
  <c r="M231" i="12"/>
  <c r="M232" i="12"/>
  <c r="M233" i="12"/>
  <c r="M234" i="12"/>
  <c r="M235" i="12"/>
  <c r="M236" i="12"/>
  <c r="M237" i="12"/>
  <c r="M238" i="12"/>
  <c r="M239" i="12"/>
  <c r="M240" i="12"/>
  <c r="M241" i="12"/>
  <c r="M242" i="12"/>
  <c r="M243" i="12"/>
  <c r="M244" i="12"/>
  <c r="M245" i="12"/>
  <c r="M246" i="12"/>
  <c r="M247" i="12"/>
  <c r="M248" i="12"/>
  <c r="M249" i="12"/>
  <c r="M250" i="12"/>
  <c r="M251" i="12"/>
  <c r="M252" i="12"/>
  <c r="M253" i="12"/>
  <c r="M254" i="12"/>
  <c r="M255" i="12"/>
  <c r="M256" i="12"/>
  <c r="M257" i="12"/>
  <c r="M258" i="12"/>
  <c r="M259" i="12"/>
  <c r="M260" i="12"/>
  <c r="M261" i="12"/>
  <c r="M262" i="12"/>
  <c r="M263" i="12"/>
  <c r="M264" i="12"/>
  <c r="M265" i="12"/>
  <c r="M266" i="12"/>
  <c r="M267" i="12"/>
  <c r="M268" i="12"/>
  <c r="M269" i="12"/>
  <c r="M270" i="12"/>
  <c r="M271" i="12"/>
  <c r="M272" i="12"/>
  <c r="M273" i="12"/>
  <c r="M274" i="12"/>
  <c r="M275" i="12"/>
  <c r="M276" i="12"/>
  <c r="M277" i="12"/>
  <c r="M278" i="12"/>
  <c r="M279" i="12"/>
  <c r="M280" i="12"/>
  <c r="M281" i="12"/>
  <c r="M282" i="12"/>
  <c r="M283" i="12"/>
  <c r="M284" i="12"/>
  <c r="M285" i="12"/>
  <c r="M286" i="12"/>
  <c r="M287" i="12"/>
  <c r="M288" i="12"/>
  <c r="M289" i="12"/>
  <c r="M290" i="12"/>
  <c r="M291" i="12"/>
  <c r="M292" i="12"/>
  <c r="M293" i="12"/>
  <c r="M294" i="12"/>
  <c r="M295" i="12"/>
  <c r="M296" i="12"/>
  <c r="M297" i="12"/>
  <c r="M298" i="12"/>
  <c r="M299" i="12"/>
  <c r="M300" i="12"/>
  <c r="M301" i="12"/>
  <c r="M302" i="12"/>
  <c r="M303" i="12"/>
  <c r="M304" i="12"/>
  <c r="M305" i="12"/>
  <c r="M306" i="12"/>
  <c r="M307" i="12"/>
  <c r="M308" i="12"/>
  <c r="M309" i="12"/>
  <c r="M310" i="12"/>
  <c r="M311" i="12"/>
  <c r="M312" i="12"/>
  <c r="M313" i="12"/>
  <c r="M314" i="12"/>
  <c r="M315" i="12"/>
  <c r="M316" i="12"/>
  <c r="M317" i="12"/>
  <c r="M318" i="12"/>
  <c r="M319" i="12"/>
  <c r="M320" i="12"/>
  <c r="M321" i="12"/>
  <c r="M322" i="12"/>
  <c r="M323" i="12"/>
  <c r="M324" i="12"/>
  <c r="M325" i="12"/>
  <c r="M326" i="12"/>
  <c r="M327" i="12"/>
  <c r="M328" i="12"/>
  <c r="M329" i="12"/>
  <c r="M330" i="12"/>
  <c r="M331" i="12"/>
  <c r="M332" i="12"/>
  <c r="M333" i="12"/>
  <c r="M334" i="12"/>
  <c r="M335" i="12"/>
  <c r="M336" i="12"/>
  <c r="M337" i="12"/>
  <c r="M338" i="12"/>
  <c r="M339" i="12"/>
  <c r="M340" i="12"/>
  <c r="M341" i="12"/>
  <c r="M342" i="12"/>
  <c r="M343" i="12"/>
  <c r="M344" i="12"/>
  <c r="M345" i="12"/>
  <c r="M346" i="12"/>
  <c r="M347" i="12"/>
  <c r="M348" i="12"/>
  <c r="M349" i="12"/>
  <c r="M350" i="12"/>
  <c r="M351" i="12"/>
  <c r="M352" i="12"/>
  <c r="M353" i="12"/>
  <c r="M354" i="12"/>
  <c r="M355" i="12"/>
  <c r="M356" i="12"/>
  <c r="M357" i="12"/>
  <c r="M358" i="12"/>
  <c r="M359" i="12"/>
  <c r="M360" i="12"/>
  <c r="M361" i="12"/>
  <c r="M362" i="12"/>
  <c r="M363" i="12"/>
  <c r="M364" i="12"/>
  <c r="M365" i="12"/>
  <c r="M366" i="12"/>
  <c r="M367" i="12"/>
  <c r="M368" i="12"/>
  <c r="M369" i="12"/>
  <c r="M370" i="12"/>
  <c r="M371" i="12"/>
  <c r="M372" i="12"/>
  <c r="M373" i="12"/>
  <c r="M374" i="12"/>
  <c r="M375" i="12"/>
  <c r="M376" i="12"/>
  <c r="M377" i="12"/>
  <c r="M378" i="12"/>
  <c r="M379" i="12"/>
  <c r="M380" i="12"/>
  <c r="M381" i="12"/>
  <c r="M382" i="12"/>
  <c r="M383" i="12"/>
  <c r="M384" i="12"/>
  <c r="M385" i="12"/>
  <c r="M386" i="12"/>
  <c r="M387" i="12"/>
  <c r="M388" i="12"/>
  <c r="M389" i="12"/>
  <c r="M390" i="12"/>
  <c r="M391" i="12"/>
  <c r="M392" i="12"/>
  <c r="M393" i="12"/>
  <c r="M394" i="12"/>
  <c r="M395" i="12"/>
  <c r="M396" i="12"/>
  <c r="M397" i="12"/>
  <c r="M398" i="12"/>
  <c r="M399" i="12"/>
  <c r="M400" i="12"/>
  <c r="M401" i="12"/>
  <c r="M2" i="12"/>
  <c r="L3" i="12"/>
  <c r="L4" i="12"/>
  <c r="L5" i="12"/>
  <c r="L6" i="12"/>
  <c r="L7" i="12"/>
  <c r="L8" i="12"/>
  <c r="L9" i="12"/>
  <c r="L10" i="12"/>
  <c r="L11" i="12"/>
  <c r="L12" i="12"/>
  <c r="L13" i="12"/>
  <c r="L14" i="12"/>
  <c r="L15" i="12"/>
  <c r="L16" i="12"/>
  <c r="L17" i="12"/>
  <c r="L18" i="12"/>
  <c r="L19" i="12"/>
  <c r="L20" i="12"/>
  <c r="L21" i="12"/>
  <c r="L22" i="12"/>
  <c r="L23" i="12"/>
  <c r="L24" i="12"/>
  <c r="L25" i="12"/>
  <c r="L26" i="12"/>
  <c r="L27" i="12"/>
  <c r="L28" i="12"/>
  <c r="L29" i="12"/>
  <c r="L30" i="12"/>
  <c r="L31" i="12"/>
  <c r="L32" i="12"/>
  <c r="L33" i="12"/>
  <c r="L34" i="12"/>
  <c r="L35" i="12"/>
  <c r="L36" i="12"/>
  <c r="L37" i="12"/>
  <c r="L38" i="12"/>
  <c r="L39" i="12"/>
  <c r="L40" i="12"/>
  <c r="L41" i="12"/>
  <c r="L42" i="12"/>
  <c r="L43" i="12"/>
  <c r="L44" i="12"/>
  <c r="L45" i="12"/>
  <c r="L46" i="12"/>
  <c r="L47" i="12"/>
  <c r="L48" i="12"/>
  <c r="L49" i="12"/>
  <c r="L50" i="12"/>
  <c r="L51" i="12"/>
  <c r="L52" i="12"/>
  <c r="L53" i="12"/>
  <c r="L54" i="12"/>
  <c r="L55" i="12"/>
  <c r="L56" i="12"/>
  <c r="L57" i="12"/>
  <c r="L58" i="12"/>
  <c r="L59" i="12"/>
  <c r="L60" i="12"/>
  <c r="L61" i="12"/>
  <c r="L62" i="12"/>
  <c r="L63" i="12"/>
  <c r="L64" i="12"/>
  <c r="L65" i="12"/>
  <c r="L66" i="12"/>
  <c r="L67" i="12"/>
  <c r="L68" i="12"/>
  <c r="L69" i="12"/>
  <c r="L70" i="12"/>
  <c r="L71" i="12"/>
  <c r="L72" i="12"/>
  <c r="L73" i="12"/>
  <c r="L74" i="12"/>
  <c r="L75" i="12"/>
  <c r="L76" i="12"/>
  <c r="L77" i="12"/>
  <c r="L78" i="12"/>
  <c r="L79" i="12"/>
  <c r="L80" i="12"/>
  <c r="L81" i="12"/>
  <c r="L82" i="12"/>
  <c r="L83" i="12"/>
  <c r="L84" i="12"/>
  <c r="L85" i="12"/>
  <c r="L86" i="12"/>
  <c r="L87" i="12"/>
  <c r="L88" i="12"/>
  <c r="L89" i="12"/>
  <c r="L90" i="12"/>
  <c r="L91" i="12"/>
  <c r="L92" i="12"/>
  <c r="L93" i="12"/>
  <c r="L94" i="12"/>
  <c r="L95" i="12"/>
  <c r="L96" i="12"/>
  <c r="L97" i="12"/>
  <c r="L98" i="12"/>
  <c r="L99" i="12"/>
  <c r="L100" i="12"/>
  <c r="L101" i="12"/>
  <c r="L102" i="12"/>
  <c r="L103" i="12"/>
  <c r="L104" i="12"/>
  <c r="L105" i="12"/>
  <c r="L106" i="12"/>
  <c r="L107" i="12"/>
  <c r="L108" i="12"/>
  <c r="L109" i="12"/>
  <c r="L110" i="12"/>
  <c r="L111" i="12"/>
  <c r="L112" i="12"/>
  <c r="L113" i="12"/>
  <c r="L114" i="12"/>
  <c r="L115" i="12"/>
  <c r="L116" i="12"/>
  <c r="L117" i="12"/>
  <c r="L118" i="12"/>
  <c r="L119" i="12"/>
  <c r="L120" i="12"/>
  <c r="L121" i="12"/>
  <c r="L122" i="12"/>
  <c r="L123" i="12"/>
  <c r="L124" i="12"/>
  <c r="L125" i="12"/>
  <c r="L126" i="12"/>
  <c r="L127" i="12"/>
  <c r="L128" i="12"/>
  <c r="L129" i="12"/>
  <c r="L130" i="12"/>
  <c r="L131" i="12"/>
  <c r="L132" i="12"/>
  <c r="L133" i="12"/>
  <c r="L134" i="12"/>
  <c r="L135" i="12"/>
  <c r="L136" i="12"/>
  <c r="L137" i="12"/>
  <c r="L138" i="12"/>
  <c r="L139" i="12"/>
  <c r="L140" i="12"/>
  <c r="L141" i="12"/>
  <c r="L142" i="12"/>
  <c r="L143" i="12"/>
  <c r="L144" i="12"/>
  <c r="L145" i="12"/>
  <c r="L146" i="12"/>
  <c r="L147" i="12"/>
  <c r="L148" i="12"/>
  <c r="L149" i="12"/>
  <c r="L150" i="12"/>
  <c r="L151" i="12"/>
  <c r="L152" i="12"/>
  <c r="L153" i="12"/>
  <c r="L154" i="12"/>
  <c r="L155" i="12"/>
  <c r="L156" i="12"/>
  <c r="L157" i="12"/>
  <c r="L158" i="12"/>
  <c r="L159" i="12"/>
  <c r="L160" i="12"/>
  <c r="L161" i="12"/>
  <c r="L162" i="12"/>
  <c r="L163" i="12"/>
  <c r="L164" i="12"/>
  <c r="L165" i="12"/>
  <c r="L166" i="12"/>
  <c r="L167" i="12"/>
  <c r="L168" i="12"/>
  <c r="L169" i="12"/>
  <c r="L170" i="12"/>
  <c r="L171" i="12"/>
  <c r="L172" i="12"/>
  <c r="L173" i="12"/>
  <c r="L174" i="12"/>
  <c r="L175" i="12"/>
  <c r="L176" i="12"/>
  <c r="L177" i="12"/>
  <c r="L178" i="12"/>
  <c r="L179" i="12"/>
  <c r="L180" i="12"/>
  <c r="L181" i="12"/>
  <c r="L182" i="12"/>
  <c r="L183" i="12"/>
  <c r="L184" i="12"/>
  <c r="L185" i="12"/>
  <c r="L186" i="12"/>
  <c r="L187" i="12"/>
  <c r="L188" i="12"/>
  <c r="L189" i="12"/>
  <c r="L190" i="12"/>
  <c r="L191" i="12"/>
  <c r="L192" i="12"/>
  <c r="L193" i="12"/>
  <c r="L194" i="12"/>
  <c r="L195" i="12"/>
  <c r="L196" i="12"/>
  <c r="L197" i="12"/>
  <c r="L198" i="12"/>
  <c r="L199" i="12"/>
  <c r="L200" i="12"/>
  <c r="L201" i="12"/>
  <c r="L202" i="12"/>
  <c r="L203" i="12"/>
  <c r="L204" i="12"/>
  <c r="L205" i="12"/>
  <c r="L206" i="12"/>
  <c r="L207" i="12"/>
  <c r="L208" i="12"/>
  <c r="L209" i="12"/>
  <c r="L210" i="12"/>
  <c r="L211" i="12"/>
  <c r="L212" i="12"/>
  <c r="L213" i="12"/>
  <c r="L214" i="12"/>
  <c r="L215" i="12"/>
  <c r="L216" i="12"/>
  <c r="L217" i="12"/>
  <c r="L218" i="12"/>
  <c r="L219" i="12"/>
  <c r="L220" i="12"/>
  <c r="L221" i="12"/>
  <c r="L222" i="12"/>
  <c r="L223" i="12"/>
  <c r="L224" i="12"/>
  <c r="L225" i="12"/>
  <c r="L226" i="12"/>
  <c r="L227" i="12"/>
  <c r="L228" i="12"/>
  <c r="L229" i="12"/>
  <c r="L230" i="12"/>
  <c r="L231" i="12"/>
  <c r="L232" i="12"/>
  <c r="L233" i="12"/>
  <c r="L234" i="12"/>
  <c r="L235" i="12"/>
  <c r="L236" i="12"/>
  <c r="L237" i="12"/>
  <c r="L238" i="12"/>
  <c r="L239" i="12"/>
  <c r="L240" i="12"/>
  <c r="L241" i="12"/>
  <c r="L242" i="12"/>
  <c r="L243" i="12"/>
  <c r="L244" i="12"/>
  <c r="L245" i="12"/>
  <c r="L246" i="12"/>
  <c r="L247" i="12"/>
  <c r="L248" i="12"/>
  <c r="L249" i="12"/>
  <c r="L250" i="12"/>
  <c r="L251" i="12"/>
  <c r="L252" i="12"/>
  <c r="L253" i="12"/>
  <c r="L254" i="12"/>
  <c r="L255" i="12"/>
  <c r="L256" i="12"/>
  <c r="L257" i="12"/>
  <c r="L258" i="12"/>
  <c r="L259" i="12"/>
  <c r="L260" i="12"/>
  <c r="L261" i="12"/>
  <c r="L262" i="12"/>
  <c r="L263" i="12"/>
  <c r="L264" i="12"/>
  <c r="L265" i="12"/>
  <c r="L266" i="12"/>
  <c r="L267" i="12"/>
  <c r="L268" i="12"/>
  <c r="L269" i="12"/>
  <c r="L270" i="12"/>
  <c r="L271" i="12"/>
  <c r="L272" i="12"/>
  <c r="L273" i="12"/>
  <c r="L274" i="12"/>
  <c r="L275" i="12"/>
  <c r="L276" i="12"/>
  <c r="L277" i="12"/>
  <c r="L278" i="12"/>
  <c r="L279" i="12"/>
  <c r="L280" i="12"/>
  <c r="L281" i="12"/>
  <c r="L282" i="12"/>
  <c r="L283" i="12"/>
  <c r="L284" i="12"/>
  <c r="L285" i="12"/>
  <c r="L286" i="12"/>
  <c r="L287" i="12"/>
  <c r="L288" i="12"/>
  <c r="L289" i="12"/>
  <c r="L290" i="12"/>
  <c r="L291" i="12"/>
  <c r="L292" i="12"/>
  <c r="L293" i="12"/>
  <c r="L294" i="12"/>
  <c r="L295" i="12"/>
  <c r="L296" i="12"/>
  <c r="L297" i="12"/>
  <c r="L298" i="12"/>
  <c r="L299" i="12"/>
  <c r="L300" i="12"/>
  <c r="L301" i="12"/>
  <c r="L302" i="12"/>
  <c r="L303" i="12"/>
  <c r="L304" i="12"/>
  <c r="L305" i="12"/>
  <c r="L306" i="12"/>
  <c r="L307" i="12"/>
  <c r="L308" i="12"/>
  <c r="L309" i="12"/>
  <c r="L310" i="12"/>
  <c r="L311" i="12"/>
  <c r="L312" i="12"/>
  <c r="L313" i="12"/>
  <c r="L314" i="12"/>
  <c r="L315" i="12"/>
  <c r="L316" i="12"/>
  <c r="L317" i="12"/>
  <c r="L318" i="12"/>
  <c r="L319" i="12"/>
  <c r="L320" i="12"/>
  <c r="L321" i="12"/>
  <c r="L322" i="12"/>
  <c r="L323" i="12"/>
  <c r="L324" i="12"/>
  <c r="L325" i="12"/>
  <c r="L326" i="12"/>
  <c r="L327" i="12"/>
  <c r="L328" i="12"/>
  <c r="L329" i="12"/>
  <c r="L330" i="12"/>
  <c r="L331" i="12"/>
  <c r="L332" i="12"/>
  <c r="L333" i="12"/>
  <c r="L334" i="12"/>
  <c r="L335" i="12"/>
  <c r="L336" i="12"/>
  <c r="L337" i="12"/>
  <c r="L338" i="12"/>
  <c r="L339" i="12"/>
  <c r="L340" i="12"/>
  <c r="L341" i="12"/>
  <c r="L342" i="12"/>
  <c r="L343" i="12"/>
  <c r="L344" i="12"/>
  <c r="L345" i="12"/>
  <c r="L346" i="12"/>
  <c r="L347" i="12"/>
  <c r="L348" i="12"/>
  <c r="L349" i="12"/>
  <c r="L350" i="12"/>
  <c r="L351" i="12"/>
  <c r="L352" i="12"/>
  <c r="L353" i="12"/>
  <c r="L354" i="12"/>
  <c r="L355" i="12"/>
  <c r="L356" i="12"/>
  <c r="L357" i="12"/>
  <c r="L358" i="12"/>
  <c r="L359" i="12"/>
  <c r="L360" i="12"/>
  <c r="L361" i="12"/>
  <c r="L362" i="12"/>
  <c r="L363" i="12"/>
  <c r="L364" i="12"/>
  <c r="L365" i="12"/>
  <c r="L366" i="12"/>
  <c r="L367" i="12"/>
  <c r="L368" i="12"/>
  <c r="L369" i="12"/>
  <c r="L370" i="12"/>
  <c r="L371" i="12"/>
  <c r="L372" i="12"/>
  <c r="L373" i="12"/>
  <c r="L374" i="12"/>
  <c r="L375" i="12"/>
  <c r="L376" i="12"/>
  <c r="L377" i="12"/>
  <c r="L378" i="12"/>
  <c r="L379" i="12"/>
  <c r="L380" i="12"/>
  <c r="L381" i="12"/>
  <c r="L382" i="12"/>
  <c r="L383" i="12"/>
  <c r="L384" i="12"/>
  <c r="L385" i="12"/>
  <c r="L386" i="12"/>
  <c r="L387" i="12"/>
  <c r="L388" i="12"/>
  <c r="L389" i="12"/>
  <c r="L390" i="12"/>
  <c r="L391" i="12"/>
  <c r="L392" i="12"/>
  <c r="L393" i="12"/>
  <c r="L394" i="12"/>
  <c r="L395" i="12"/>
  <c r="L396" i="12"/>
  <c r="L397" i="12"/>
  <c r="L398" i="12"/>
  <c r="L399" i="12"/>
  <c r="L400" i="12"/>
  <c r="L401" i="12"/>
  <c r="L2" i="12"/>
  <c r="L3" i="11"/>
  <c r="L4" i="11"/>
  <c r="L5" i="11"/>
  <c r="L6" i="11"/>
  <c r="L7" i="11"/>
  <c r="L8" i="11"/>
  <c r="L9" i="11"/>
  <c r="L10" i="11"/>
  <c r="L11" i="11"/>
  <c r="L12" i="11"/>
  <c r="L13" i="11"/>
  <c r="L14" i="11"/>
  <c r="L15" i="11"/>
  <c r="L16" i="11"/>
  <c r="L17" i="11"/>
  <c r="L18" i="11"/>
  <c r="L19" i="11"/>
  <c r="L20" i="11"/>
  <c r="L21" i="11"/>
  <c r="L22" i="11"/>
  <c r="L23" i="11"/>
  <c r="L24" i="11"/>
  <c r="L25" i="11"/>
  <c r="L26" i="11"/>
  <c r="L27" i="11"/>
  <c r="L28" i="11"/>
  <c r="L29" i="11"/>
  <c r="L30" i="11"/>
  <c r="L31" i="11"/>
  <c r="L32" i="11"/>
  <c r="L33" i="11"/>
  <c r="L34" i="11"/>
  <c r="L35" i="11"/>
  <c r="L36" i="11"/>
  <c r="L37" i="11"/>
  <c r="L38" i="11"/>
  <c r="L39" i="11"/>
  <c r="L40" i="11"/>
  <c r="L41" i="11"/>
  <c r="L42" i="11"/>
  <c r="L43" i="11"/>
  <c r="L44" i="11"/>
  <c r="L45" i="11"/>
  <c r="L46" i="11"/>
  <c r="L47" i="11"/>
  <c r="L48" i="11"/>
  <c r="L49" i="11"/>
  <c r="L50" i="11"/>
  <c r="L51" i="11"/>
  <c r="L52" i="11"/>
  <c r="L53" i="11"/>
  <c r="L54" i="11"/>
  <c r="L55" i="11"/>
  <c r="L56" i="11"/>
  <c r="L57" i="11"/>
  <c r="L58" i="11"/>
  <c r="L59" i="11"/>
  <c r="L60" i="11"/>
  <c r="L61" i="11"/>
  <c r="L62" i="11"/>
  <c r="L63" i="11"/>
  <c r="L64" i="11"/>
  <c r="L65" i="11"/>
  <c r="L66" i="11"/>
  <c r="L67" i="11"/>
  <c r="L68" i="11"/>
  <c r="L69" i="11"/>
  <c r="L70" i="11"/>
  <c r="L71" i="11"/>
  <c r="L72" i="11"/>
  <c r="L73" i="11"/>
  <c r="L74" i="11"/>
  <c r="L75" i="11"/>
  <c r="L76" i="11"/>
  <c r="L77" i="11"/>
  <c r="L78" i="11"/>
  <c r="L79" i="11"/>
  <c r="L80" i="11"/>
  <c r="L81" i="11"/>
  <c r="L82" i="11"/>
  <c r="L83" i="11"/>
  <c r="L84" i="11"/>
  <c r="L85" i="11"/>
  <c r="L86" i="11"/>
  <c r="L87" i="11"/>
  <c r="L88" i="11"/>
  <c r="L89" i="11"/>
  <c r="L90" i="11"/>
  <c r="L91" i="11"/>
  <c r="L92" i="11"/>
  <c r="L93" i="11"/>
  <c r="L94" i="11"/>
  <c r="L95" i="11"/>
  <c r="L96" i="11"/>
  <c r="L97" i="11"/>
  <c r="L98" i="11"/>
  <c r="L99" i="11"/>
  <c r="L100" i="11"/>
  <c r="L101" i="11"/>
  <c r="L102" i="11"/>
  <c r="L103" i="11"/>
  <c r="L104" i="11"/>
  <c r="L105" i="11"/>
  <c r="L106" i="11"/>
  <c r="L107" i="11"/>
  <c r="L108" i="11"/>
  <c r="L109" i="11"/>
  <c r="L110" i="11"/>
  <c r="L111" i="11"/>
  <c r="L112" i="11"/>
  <c r="L113" i="11"/>
  <c r="L114" i="11"/>
  <c r="L115" i="11"/>
  <c r="L116" i="11"/>
  <c r="L117" i="11"/>
  <c r="L118" i="11"/>
  <c r="L119" i="11"/>
  <c r="L120" i="11"/>
  <c r="L121" i="11"/>
  <c r="L122" i="11"/>
  <c r="L123" i="11"/>
  <c r="L124" i="11"/>
  <c r="L125" i="11"/>
  <c r="L126" i="11"/>
  <c r="L127" i="11"/>
  <c r="L128" i="11"/>
  <c r="L129" i="11"/>
  <c r="L130" i="11"/>
  <c r="L131" i="11"/>
  <c r="L132" i="11"/>
  <c r="L133" i="11"/>
  <c r="L134" i="11"/>
  <c r="L135" i="11"/>
  <c r="L136" i="11"/>
  <c r="L137" i="11"/>
  <c r="L138" i="11"/>
  <c r="L139" i="11"/>
  <c r="L140" i="11"/>
  <c r="L141" i="11"/>
  <c r="L142" i="11"/>
  <c r="L143" i="11"/>
  <c r="L144" i="11"/>
  <c r="L145" i="11"/>
  <c r="L146" i="11"/>
  <c r="L147" i="11"/>
  <c r="L148" i="11"/>
  <c r="L149" i="11"/>
  <c r="L150" i="11"/>
  <c r="L151" i="11"/>
  <c r="L152" i="11"/>
  <c r="L153" i="11"/>
  <c r="L154" i="11"/>
  <c r="L155" i="11"/>
  <c r="L156" i="11"/>
  <c r="L157" i="11"/>
  <c r="L158" i="11"/>
  <c r="L159" i="11"/>
  <c r="L160" i="11"/>
  <c r="L161" i="11"/>
  <c r="L162" i="11"/>
  <c r="L163" i="11"/>
  <c r="L164" i="11"/>
  <c r="L165" i="11"/>
  <c r="L166" i="11"/>
  <c r="L167" i="11"/>
  <c r="L168" i="11"/>
  <c r="L169" i="11"/>
  <c r="L170" i="11"/>
  <c r="L171" i="11"/>
  <c r="L172" i="11"/>
  <c r="L173" i="11"/>
  <c r="L174" i="11"/>
  <c r="L175" i="11"/>
  <c r="L176" i="11"/>
  <c r="L177" i="11"/>
  <c r="L178" i="11"/>
  <c r="L179" i="11"/>
  <c r="L180" i="11"/>
  <c r="L181" i="11"/>
  <c r="L182" i="11"/>
  <c r="L183" i="11"/>
  <c r="L184" i="11"/>
  <c r="L185" i="11"/>
  <c r="L186" i="11"/>
  <c r="L187" i="11"/>
  <c r="L188" i="11"/>
  <c r="L189" i="11"/>
  <c r="L190" i="11"/>
  <c r="L191" i="11"/>
  <c r="L192" i="11"/>
  <c r="L193" i="11"/>
  <c r="L194" i="11"/>
  <c r="L195" i="11"/>
  <c r="L196" i="11"/>
  <c r="L197" i="11"/>
  <c r="L198" i="11"/>
  <c r="L199" i="11"/>
  <c r="L200" i="11"/>
  <c r="L201" i="11"/>
  <c r="L202" i="11"/>
  <c r="L203" i="11"/>
  <c r="L204" i="11"/>
  <c r="L205" i="11"/>
  <c r="L206" i="11"/>
  <c r="L207" i="11"/>
  <c r="L208" i="11"/>
  <c r="L209" i="11"/>
  <c r="L210" i="11"/>
  <c r="L211" i="11"/>
  <c r="L212" i="11"/>
  <c r="L213" i="11"/>
  <c r="L214" i="11"/>
  <c r="L215" i="11"/>
  <c r="L216" i="11"/>
  <c r="L217" i="11"/>
  <c r="L218" i="11"/>
  <c r="L219" i="11"/>
  <c r="L220" i="11"/>
  <c r="L221" i="11"/>
  <c r="L222" i="11"/>
  <c r="L223" i="11"/>
  <c r="L224" i="11"/>
  <c r="L225" i="11"/>
  <c r="L226" i="11"/>
  <c r="L227" i="11"/>
  <c r="L228" i="11"/>
  <c r="L229" i="11"/>
  <c r="L230" i="11"/>
  <c r="L231" i="11"/>
  <c r="L232" i="11"/>
  <c r="L233" i="11"/>
  <c r="L234" i="11"/>
  <c r="L235" i="11"/>
  <c r="L236" i="11"/>
  <c r="L237" i="11"/>
  <c r="L238" i="11"/>
  <c r="L239" i="11"/>
  <c r="L240" i="11"/>
  <c r="L241" i="11"/>
  <c r="L242" i="11"/>
  <c r="L243" i="11"/>
  <c r="L244" i="11"/>
  <c r="L245" i="11"/>
  <c r="L246" i="11"/>
  <c r="L247" i="11"/>
  <c r="L248" i="11"/>
  <c r="L249" i="11"/>
  <c r="L250" i="11"/>
  <c r="L251" i="11"/>
  <c r="L252" i="11"/>
  <c r="L253" i="11"/>
  <c r="L254" i="11"/>
  <c r="L255" i="11"/>
  <c r="L256" i="11"/>
  <c r="L257" i="11"/>
  <c r="L258" i="11"/>
  <c r="L259" i="11"/>
  <c r="L260" i="11"/>
  <c r="L261" i="11"/>
  <c r="L262" i="11"/>
  <c r="L263" i="11"/>
  <c r="L264" i="11"/>
  <c r="L265" i="11"/>
  <c r="L266" i="11"/>
  <c r="L267" i="11"/>
  <c r="L268" i="11"/>
  <c r="L269" i="11"/>
  <c r="L270" i="11"/>
  <c r="L271" i="11"/>
  <c r="L272" i="11"/>
  <c r="L273" i="11"/>
  <c r="L274" i="11"/>
  <c r="L275" i="11"/>
  <c r="L276" i="11"/>
  <c r="L277" i="11"/>
  <c r="L278" i="11"/>
  <c r="L279" i="11"/>
  <c r="L280" i="11"/>
  <c r="L281" i="11"/>
  <c r="L282" i="11"/>
  <c r="L283" i="11"/>
  <c r="L284" i="11"/>
  <c r="L285" i="11"/>
  <c r="L286" i="11"/>
  <c r="L287" i="11"/>
  <c r="L288" i="11"/>
  <c r="L289" i="11"/>
  <c r="L290" i="11"/>
  <c r="L291" i="11"/>
  <c r="L292" i="11"/>
  <c r="L293" i="11"/>
  <c r="L294" i="11"/>
  <c r="L295" i="11"/>
  <c r="L296" i="11"/>
  <c r="L297" i="11"/>
  <c r="L298" i="11"/>
  <c r="L299" i="11"/>
  <c r="L300" i="11"/>
  <c r="L301" i="11"/>
  <c r="L302" i="11"/>
  <c r="L303" i="11"/>
  <c r="L304" i="11"/>
  <c r="L305" i="11"/>
  <c r="L306" i="11"/>
  <c r="L307" i="11"/>
  <c r="L308" i="11"/>
  <c r="L309" i="11"/>
  <c r="L310" i="11"/>
  <c r="L311" i="11"/>
  <c r="L312" i="11"/>
  <c r="L313" i="11"/>
  <c r="L314" i="11"/>
  <c r="L315" i="11"/>
  <c r="L316" i="11"/>
  <c r="L317" i="11"/>
  <c r="L318" i="11"/>
  <c r="L319" i="11"/>
  <c r="L320" i="11"/>
  <c r="L321" i="11"/>
  <c r="L322" i="11"/>
  <c r="L323" i="11"/>
  <c r="L324" i="11"/>
  <c r="L325" i="11"/>
  <c r="L326" i="11"/>
  <c r="L327" i="11"/>
  <c r="L328" i="11"/>
  <c r="L329" i="11"/>
  <c r="L330" i="11"/>
  <c r="L331" i="11"/>
  <c r="L332" i="11"/>
  <c r="L333" i="11"/>
  <c r="L334" i="11"/>
  <c r="L335" i="11"/>
  <c r="L336" i="11"/>
  <c r="L337" i="11"/>
  <c r="L338" i="11"/>
  <c r="L339" i="11"/>
  <c r="L340" i="11"/>
  <c r="L341" i="11"/>
  <c r="L342" i="11"/>
  <c r="L343" i="11"/>
  <c r="L344" i="11"/>
  <c r="L345" i="11"/>
  <c r="L346" i="11"/>
  <c r="L347" i="11"/>
  <c r="L348" i="11"/>
  <c r="L349" i="11"/>
  <c r="L350" i="11"/>
  <c r="L351" i="11"/>
  <c r="L352" i="11"/>
  <c r="L353" i="11"/>
  <c r="L354" i="11"/>
  <c r="L355" i="11"/>
  <c r="L356" i="11"/>
  <c r="L357" i="11"/>
  <c r="L358" i="11"/>
  <c r="L359" i="11"/>
  <c r="L360" i="11"/>
  <c r="L361" i="11"/>
  <c r="L362" i="11"/>
  <c r="L363" i="11"/>
  <c r="L364" i="11"/>
  <c r="L365" i="11"/>
  <c r="L366" i="11"/>
  <c r="L367" i="11"/>
  <c r="L368" i="11"/>
  <c r="L369" i="11"/>
  <c r="L370" i="11"/>
  <c r="L371" i="11"/>
  <c r="L372" i="11"/>
  <c r="L373" i="11"/>
  <c r="L374" i="11"/>
  <c r="L375" i="11"/>
  <c r="L376" i="11"/>
  <c r="L377" i="11"/>
  <c r="L378" i="11"/>
  <c r="L379" i="11"/>
  <c r="L380" i="11"/>
  <c r="L381" i="11"/>
  <c r="L382" i="11"/>
  <c r="L383" i="11"/>
  <c r="L384" i="11"/>
  <c r="L385" i="11"/>
  <c r="L386" i="11"/>
  <c r="L387" i="11"/>
  <c r="L388" i="11"/>
  <c r="L389" i="11"/>
  <c r="L390" i="11"/>
  <c r="L391" i="11"/>
  <c r="L392" i="11"/>
  <c r="L393" i="11"/>
  <c r="L394" i="11"/>
  <c r="L395" i="11"/>
  <c r="L396" i="11"/>
  <c r="L397" i="11"/>
  <c r="L398" i="11"/>
  <c r="L399" i="11"/>
  <c r="L400" i="11"/>
  <c r="L401" i="11"/>
  <c r="L2" i="11"/>
  <c r="M3" i="10" a="1"/>
  <c r="M3" i="10"/>
  <c r="M4" i="10" a="1"/>
  <c r="M4" i="10" s="1"/>
  <c r="M5" i="10" a="1"/>
  <c r="M5" i="10"/>
  <c r="M6" i="10" a="1"/>
  <c r="M6" i="10" s="1"/>
  <c r="M7" i="10" a="1"/>
  <c r="M7" i="10"/>
  <c r="M8" i="10" a="1"/>
  <c r="M8" i="10" s="1"/>
  <c r="M9" i="10" a="1"/>
  <c r="M9" i="10"/>
  <c r="M10" i="10" a="1"/>
  <c r="M10" i="10" s="1"/>
  <c r="M11" i="10" a="1"/>
  <c r="M11" i="10"/>
  <c r="M12" i="10" a="1"/>
  <c r="M12" i="10" s="1"/>
  <c r="M13" i="10" a="1"/>
  <c r="M13" i="10"/>
  <c r="M14" i="10" a="1"/>
  <c r="M14" i="10" s="1"/>
  <c r="M15" i="10" a="1"/>
  <c r="M15" i="10"/>
  <c r="M16" i="10" a="1"/>
  <c r="M16" i="10" s="1"/>
  <c r="M17" i="10" a="1"/>
  <c r="M17" i="10"/>
  <c r="M18" i="10" a="1"/>
  <c r="M18" i="10" s="1"/>
  <c r="M19" i="10" a="1"/>
  <c r="M19" i="10"/>
  <c r="M20" i="10" a="1"/>
  <c r="M20" i="10" s="1"/>
  <c r="M21" i="10" a="1"/>
  <c r="M21" i="10"/>
  <c r="M22" i="10" a="1"/>
  <c r="M22" i="10" s="1"/>
  <c r="M23" i="10" a="1"/>
  <c r="M23" i="10"/>
  <c r="M24" i="10" a="1"/>
  <c r="M24" i="10" s="1"/>
  <c r="M25" i="10" a="1"/>
  <c r="M25" i="10" s="1"/>
  <c r="M26" i="10" a="1"/>
  <c r="M26" i="10"/>
  <c r="M27" i="10" a="1"/>
  <c r="M27" i="10"/>
  <c r="M28" i="10" a="1"/>
  <c r="M28" i="10"/>
  <c r="M29" i="10" a="1"/>
  <c r="M29" i="10"/>
  <c r="M30" i="10" a="1"/>
  <c r="M30" i="10"/>
  <c r="M31" i="10" a="1"/>
  <c r="M31" i="10"/>
  <c r="M32" i="10" a="1"/>
  <c r="M32" i="10"/>
  <c r="M33" i="10" a="1"/>
  <c r="M33" i="10"/>
  <c r="M34" i="10" a="1"/>
  <c r="M34" i="10"/>
  <c r="M35" i="10" a="1"/>
  <c r="M35" i="10"/>
  <c r="M36" i="10" a="1"/>
  <c r="M36" i="10"/>
  <c r="M37" i="10" a="1"/>
  <c r="M37" i="10"/>
  <c r="M38" i="10" a="1"/>
  <c r="M38" i="10"/>
  <c r="M39" i="10" a="1"/>
  <c r="M39" i="10"/>
  <c r="M40" i="10" a="1"/>
  <c r="M40" i="10"/>
  <c r="M41" i="10" a="1"/>
  <c r="M41" i="10"/>
  <c r="M42" i="10" a="1"/>
  <c r="M42" i="10"/>
  <c r="M43" i="10" a="1"/>
  <c r="M43" i="10"/>
  <c r="M44" i="10" a="1"/>
  <c r="M44" i="10"/>
  <c r="M45" i="10" a="1"/>
  <c r="M45" i="10"/>
  <c r="M46" i="10" a="1"/>
  <c r="M46" i="10"/>
  <c r="M47" i="10" a="1"/>
  <c r="M47" i="10"/>
  <c r="M48" i="10" a="1"/>
  <c r="M48" i="10"/>
  <c r="M49" i="10" a="1"/>
  <c r="M49" i="10"/>
  <c r="M50" i="10" a="1"/>
  <c r="M50" i="10"/>
  <c r="M51" i="10" a="1"/>
  <c r="M51" i="10"/>
  <c r="M52" i="10" a="1"/>
  <c r="M52" i="10"/>
  <c r="M53" i="10" a="1"/>
  <c r="M53" i="10"/>
  <c r="M54" i="10" a="1"/>
  <c r="M54" i="10"/>
  <c r="M55" i="10" a="1"/>
  <c r="M55" i="10"/>
  <c r="M56" i="10" a="1"/>
  <c r="M56" i="10"/>
  <c r="M57" i="10" a="1"/>
  <c r="M57" i="10"/>
  <c r="M58" i="10" a="1"/>
  <c r="M58" i="10"/>
  <c r="M59" i="10" a="1"/>
  <c r="M59" i="10"/>
  <c r="M60" i="10" a="1"/>
  <c r="M60" i="10"/>
  <c r="M61" i="10" a="1"/>
  <c r="M61" i="10" s="1"/>
  <c r="M62" i="10" a="1"/>
  <c r="M62" i="10"/>
  <c r="M63" i="10" a="1"/>
  <c r="M63" i="10" s="1"/>
  <c r="M64" i="10" a="1"/>
  <c r="M64" i="10" s="1"/>
  <c r="M65" i="10" a="1"/>
  <c r="M65" i="10" s="1"/>
  <c r="M66" i="10" a="1"/>
  <c r="M66" i="10"/>
  <c r="M67" i="10" a="1"/>
  <c r="M67" i="10" s="1"/>
  <c r="M68" i="10" a="1"/>
  <c r="M68" i="10"/>
  <c r="M69" i="10" a="1"/>
  <c r="M69" i="10" s="1"/>
  <c r="M70" i="10" a="1"/>
  <c r="M70" i="10"/>
  <c r="M71" i="10" a="1"/>
  <c r="M71" i="10" s="1"/>
  <c r="M72" i="10" a="1"/>
  <c r="M72" i="10" s="1"/>
  <c r="M73" i="10" a="1"/>
  <c r="M73" i="10" s="1"/>
  <c r="M74" i="10" a="1"/>
  <c r="M74" i="10"/>
  <c r="M75" i="10" a="1"/>
  <c r="M75" i="10" s="1"/>
  <c r="M76" i="10" a="1"/>
  <c r="M76" i="10"/>
  <c r="M77" i="10" a="1"/>
  <c r="M77" i="10" s="1"/>
  <c r="M78" i="10" a="1"/>
  <c r="M78" i="10"/>
  <c r="M79" i="10" a="1"/>
  <c r="M79" i="10" s="1"/>
  <c r="M80" i="10" a="1"/>
  <c r="M80" i="10" s="1"/>
  <c r="M81" i="10" a="1"/>
  <c r="M81" i="10" s="1"/>
  <c r="M82" i="10" a="1"/>
  <c r="M82" i="10"/>
  <c r="M83" i="10" a="1"/>
  <c r="M83" i="10" s="1"/>
  <c r="M84" i="10" a="1"/>
  <c r="M84" i="10" s="1"/>
  <c r="M85" i="10" a="1"/>
  <c r="M85" i="10" s="1"/>
  <c r="M86" i="10" a="1"/>
  <c r="M86" i="10"/>
  <c r="M87" i="10" a="1"/>
  <c r="M87" i="10" s="1"/>
  <c r="M88" i="10" a="1"/>
  <c r="M88" i="10" s="1"/>
  <c r="M89" i="10" a="1"/>
  <c r="M89" i="10" s="1"/>
  <c r="M90" i="10" a="1"/>
  <c r="M90" i="10" s="1"/>
  <c r="M91" i="10" a="1"/>
  <c r="M91" i="10" s="1"/>
  <c r="M92" i="10" a="1"/>
  <c r="M92" i="10"/>
  <c r="M93" i="10" a="1"/>
  <c r="M93" i="10" s="1"/>
  <c r="M94" i="10" a="1"/>
  <c r="M94" i="10"/>
  <c r="M95" i="10" a="1"/>
  <c r="M95" i="10" s="1"/>
  <c r="M96" i="10" a="1"/>
  <c r="M96" i="10" s="1"/>
  <c r="M97" i="10" a="1"/>
  <c r="M97" i="10" s="1"/>
  <c r="M98" i="10" a="1"/>
  <c r="M98" i="10"/>
  <c r="M99" i="10" a="1"/>
  <c r="M99" i="10" s="1"/>
  <c r="M100" i="10" a="1"/>
  <c r="M100" i="10"/>
  <c r="M101" i="10" a="1"/>
  <c r="M101" i="10" s="1"/>
  <c r="M102" i="10" a="1"/>
  <c r="M102" i="10"/>
  <c r="M103" i="10" a="1"/>
  <c r="M103" i="10" s="1"/>
  <c r="M104" i="10" a="1"/>
  <c r="M104" i="10" s="1"/>
  <c r="M105" i="10" a="1"/>
  <c r="M105" i="10" s="1"/>
  <c r="M106" i="10" a="1"/>
  <c r="M106" i="10"/>
  <c r="M107" i="10" a="1"/>
  <c r="M107" i="10" s="1"/>
  <c r="M108" i="10" a="1"/>
  <c r="M108" i="10"/>
  <c r="M109" i="10" a="1"/>
  <c r="M109" i="10" s="1"/>
  <c r="M110" i="10" a="1"/>
  <c r="M110" i="10"/>
  <c r="M111" i="10" a="1"/>
  <c r="M111" i="10" s="1"/>
  <c r="M112" i="10" a="1"/>
  <c r="M112" i="10" s="1"/>
  <c r="M113" i="10" a="1"/>
  <c r="M113" i="10" s="1"/>
  <c r="M114" i="10" a="1"/>
  <c r="M114" i="10"/>
  <c r="M115" i="10" a="1"/>
  <c r="M115" i="10" s="1"/>
  <c r="M116" i="10" a="1"/>
  <c r="M116" i="10" s="1"/>
  <c r="M117" i="10" a="1"/>
  <c r="M117" i="10" s="1"/>
  <c r="M118" i="10" a="1"/>
  <c r="M118" i="10"/>
  <c r="M119" i="10" a="1"/>
  <c r="M119" i="10" s="1"/>
  <c r="M120" i="10" a="1"/>
  <c r="M120" i="10" s="1"/>
  <c r="M121" i="10" a="1"/>
  <c r="M121" i="10" s="1"/>
  <c r="M122" i="10" a="1"/>
  <c r="M122" i="10" s="1"/>
  <c r="M123" i="10" a="1"/>
  <c r="M123" i="10" s="1"/>
  <c r="M124" i="10" a="1"/>
  <c r="M124" i="10"/>
  <c r="M125" i="10" a="1"/>
  <c r="M125" i="10" s="1"/>
  <c r="M126" i="10" a="1"/>
  <c r="M126" i="10"/>
  <c r="M127" i="10" a="1"/>
  <c r="M127" i="10" s="1"/>
  <c r="M128" i="10" a="1"/>
  <c r="M128" i="10" s="1"/>
  <c r="M129" i="10" a="1"/>
  <c r="M129" i="10" s="1"/>
  <c r="M130" i="10" a="1"/>
  <c r="M130" i="10"/>
  <c r="M131" i="10" a="1"/>
  <c r="M131" i="10" s="1"/>
  <c r="M132" i="10" a="1"/>
  <c r="M132" i="10"/>
  <c r="M133" i="10" a="1"/>
  <c r="M133" i="10" s="1"/>
  <c r="M134" i="10" a="1"/>
  <c r="M134" i="10"/>
  <c r="M135" i="10" a="1"/>
  <c r="M135" i="10" s="1"/>
  <c r="M136" i="10" a="1"/>
  <c r="M136" i="10" s="1"/>
  <c r="M137" i="10" a="1"/>
  <c r="M137" i="10" s="1"/>
  <c r="M138" i="10" a="1"/>
  <c r="M138" i="10"/>
  <c r="M139" i="10" a="1"/>
  <c r="M139" i="10" s="1"/>
  <c r="M140" i="10" a="1"/>
  <c r="M140" i="10"/>
  <c r="M141" i="10" a="1"/>
  <c r="M141" i="10" s="1"/>
  <c r="M142" i="10" a="1"/>
  <c r="M142" i="10"/>
  <c r="M143" i="10" a="1"/>
  <c r="M143" i="10" s="1"/>
  <c r="M144" i="10" a="1"/>
  <c r="M144" i="10" s="1"/>
  <c r="M145" i="10" a="1"/>
  <c r="M145" i="10" s="1"/>
  <c r="M146" i="10" a="1"/>
  <c r="M146" i="10"/>
  <c r="M147" i="10" a="1"/>
  <c r="M147" i="10" s="1"/>
  <c r="M148" i="10" a="1"/>
  <c r="M148" i="10" s="1"/>
  <c r="M149" i="10" a="1"/>
  <c r="M149" i="10" s="1"/>
  <c r="M150" i="10" a="1"/>
  <c r="M150" i="10"/>
  <c r="M151" i="10" a="1"/>
  <c r="M151" i="10" s="1"/>
  <c r="M152" i="10" a="1"/>
  <c r="M152" i="10" s="1"/>
  <c r="M153" i="10" a="1"/>
  <c r="M153" i="10" s="1"/>
  <c r="M154" i="10" a="1"/>
  <c r="M154" i="10" s="1"/>
  <c r="M155" i="10" a="1"/>
  <c r="M155" i="10" s="1"/>
  <c r="M156" i="10" a="1"/>
  <c r="M156" i="10"/>
  <c r="M157" i="10" a="1"/>
  <c r="M157" i="10" s="1"/>
  <c r="M158" i="10" a="1"/>
  <c r="M158" i="10"/>
  <c r="M159" i="10" a="1"/>
  <c r="M159" i="10" s="1"/>
  <c r="M160" i="10" a="1"/>
  <c r="M160" i="10" s="1"/>
  <c r="M161" i="10" a="1"/>
  <c r="M161" i="10" s="1"/>
  <c r="M162" i="10" a="1"/>
  <c r="M162" i="10"/>
  <c r="M163" i="10" a="1"/>
  <c r="M163" i="10" s="1"/>
  <c r="M164" i="10" a="1"/>
  <c r="M164" i="10"/>
  <c r="M165" i="10" a="1"/>
  <c r="M165" i="10" s="1"/>
  <c r="M166" i="10" a="1"/>
  <c r="M166" i="10"/>
  <c r="M167" i="10" a="1"/>
  <c r="M167" i="10" s="1"/>
  <c r="M168" i="10" a="1"/>
  <c r="M168" i="10" s="1"/>
  <c r="M169" i="10" a="1"/>
  <c r="M169" i="10" s="1"/>
  <c r="M170" i="10" a="1"/>
  <c r="M170" i="10"/>
  <c r="M171" i="10" a="1"/>
  <c r="M171" i="10" s="1"/>
  <c r="M172" i="10" a="1"/>
  <c r="M172" i="10"/>
  <c r="M173" i="10" a="1"/>
  <c r="M173" i="10" s="1"/>
  <c r="M174" i="10" a="1"/>
  <c r="M174" i="10"/>
  <c r="M175" i="10" a="1"/>
  <c r="M175" i="10" s="1"/>
  <c r="M176" i="10" a="1"/>
  <c r="M176" i="10" s="1"/>
  <c r="M177" i="10" a="1"/>
  <c r="M177" i="10" s="1"/>
  <c r="M178" i="10" a="1"/>
  <c r="M178" i="10"/>
  <c r="M179" i="10" a="1"/>
  <c r="M179" i="10" s="1"/>
  <c r="M180" i="10" a="1"/>
  <c r="M180" i="10" s="1"/>
  <c r="M181" i="10" a="1"/>
  <c r="M181" i="10" s="1"/>
  <c r="M182" i="10" a="1"/>
  <c r="M182" i="10"/>
  <c r="M183" i="10" a="1"/>
  <c r="M183" i="10" s="1"/>
  <c r="M184" i="10" a="1"/>
  <c r="M184" i="10" s="1"/>
  <c r="M185" i="10" a="1"/>
  <c r="M185" i="10" s="1"/>
  <c r="M186" i="10" a="1"/>
  <c r="M186" i="10" s="1"/>
  <c r="M187" i="10" a="1"/>
  <c r="M187" i="10" s="1"/>
  <c r="M188" i="10" a="1"/>
  <c r="M188" i="10"/>
  <c r="M189" i="10" a="1"/>
  <c r="M189" i="10" s="1"/>
  <c r="M190" i="10" a="1"/>
  <c r="M190" i="10"/>
  <c r="M191" i="10" a="1"/>
  <c r="M191" i="10" s="1"/>
  <c r="M192" i="10" a="1"/>
  <c r="M192" i="10" s="1"/>
  <c r="M193" i="10" a="1"/>
  <c r="M193" i="10" s="1"/>
  <c r="M194" i="10" a="1"/>
  <c r="M194" i="10"/>
  <c r="M195" i="10" a="1"/>
  <c r="M195" i="10" s="1"/>
  <c r="M196" i="10" a="1"/>
  <c r="M196" i="10"/>
  <c r="M197" i="10" a="1"/>
  <c r="M197" i="10" s="1"/>
  <c r="M198" i="10" a="1"/>
  <c r="M198" i="10"/>
  <c r="M199" i="10" a="1"/>
  <c r="M199" i="10" s="1"/>
  <c r="M200" i="10" a="1"/>
  <c r="M200" i="10" s="1"/>
  <c r="M201" i="10" a="1"/>
  <c r="M201" i="10" s="1"/>
  <c r="M202" i="10" a="1"/>
  <c r="M202" i="10"/>
  <c r="M203" i="10" a="1"/>
  <c r="M203" i="10" s="1"/>
  <c r="M204" i="10" a="1"/>
  <c r="M204" i="10"/>
  <c r="M205" i="10" a="1"/>
  <c r="M205" i="10" s="1"/>
  <c r="M206" i="10" a="1"/>
  <c r="M206" i="10"/>
  <c r="M207" i="10" a="1"/>
  <c r="M207" i="10" s="1"/>
  <c r="M208" i="10" a="1"/>
  <c r="M208" i="10" s="1"/>
  <c r="M209" i="10" a="1"/>
  <c r="M209" i="10" s="1"/>
  <c r="M210" i="10" a="1"/>
  <c r="M210" i="10"/>
  <c r="M211" i="10" a="1"/>
  <c r="M211" i="10" s="1"/>
  <c r="M212" i="10" a="1"/>
  <c r="M212" i="10" s="1"/>
  <c r="M213" i="10" a="1"/>
  <c r="M213" i="10" s="1"/>
  <c r="M214" i="10" a="1"/>
  <c r="M214" i="10"/>
  <c r="M215" i="10" a="1"/>
  <c r="M215" i="10" s="1"/>
  <c r="M216" i="10" a="1"/>
  <c r="M216" i="10" s="1"/>
  <c r="M217" i="10" a="1"/>
  <c r="M217" i="10" s="1"/>
  <c r="M218" i="10" a="1"/>
  <c r="M218" i="10" s="1"/>
  <c r="M219" i="10" a="1"/>
  <c r="M219" i="10" s="1"/>
  <c r="M220" i="10" a="1"/>
  <c r="M220" i="10"/>
  <c r="M221" i="10" a="1"/>
  <c r="M221" i="10" s="1"/>
  <c r="M222" i="10" a="1"/>
  <c r="M222" i="10"/>
  <c r="M223" i="10" a="1"/>
  <c r="M223" i="10" s="1"/>
  <c r="M224" i="10" a="1"/>
  <c r="M224" i="10" s="1"/>
  <c r="M225" i="10" a="1"/>
  <c r="M225" i="10" s="1"/>
  <c r="M226" i="10" a="1"/>
  <c r="M226" i="10"/>
  <c r="M227" i="10" a="1"/>
  <c r="M227" i="10" s="1"/>
  <c r="M228" i="10" a="1"/>
  <c r="M228" i="10"/>
  <c r="M229" i="10" a="1"/>
  <c r="M229" i="10" s="1"/>
  <c r="M230" i="10" a="1"/>
  <c r="M230" i="10"/>
  <c r="M231" i="10" a="1"/>
  <c r="M231" i="10" s="1"/>
  <c r="M232" i="10" a="1"/>
  <c r="M232" i="10" s="1"/>
  <c r="M233" i="10" a="1"/>
  <c r="M233" i="10" s="1"/>
  <c r="M234" i="10" a="1"/>
  <c r="M234" i="10"/>
  <c r="M235" i="10" a="1"/>
  <c r="M235" i="10" s="1"/>
  <c r="M236" i="10" a="1"/>
  <c r="M236" i="10"/>
  <c r="M237" i="10" a="1"/>
  <c r="M237" i="10" s="1"/>
  <c r="M238" i="10" a="1"/>
  <c r="M238" i="10"/>
  <c r="M239" i="10" a="1"/>
  <c r="M239" i="10" s="1"/>
  <c r="M240" i="10" a="1"/>
  <c r="M240" i="10" s="1"/>
  <c r="M241" i="10" a="1"/>
  <c r="M241" i="10" s="1"/>
  <c r="M242" i="10" a="1"/>
  <c r="M242" i="10"/>
  <c r="M243" i="10" a="1"/>
  <c r="M243" i="10" s="1"/>
  <c r="M244" i="10" a="1"/>
  <c r="M244" i="10"/>
  <c r="M245" i="10" a="1"/>
  <c r="M245" i="10" s="1"/>
  <c r="M246" i="10" a="1"/>
  <c r="M246" i="10"/>
  <c r="M247" i="10" a="1"/>
  <c r="M247" i="10" s="1"/>
  <c r="M248" i="10" a="1"/>
  <c r="M248" i="10" s="1"/>
  <c r="M249" i="10" a="1"/>
  <c r="M249" i="10" s="1"/>
  <c r="M250" i="10" a="1"/>
  <c r="M250" i="10"/>
  <c r="M251" i="10" a="1"/>
  <c r="M251" i="10" s="1"/>
  <c r="M252" i="10" a="1"/>
  <c r="M252" i="10"/>
  <c r="M253" i="10" a="1"/>
  <c r="M253" i="10" s="1"/>
  <c r="M254" i="10" a="1"/>
  <c r="M254" i="10"/>
  <c r="M255" i="10" a="1"/>
  <c r="M255" i="10" s="1"/>
  <c r="M256" i="10" a="1"/>
  <c r="M256" i="10" s="1"/>
  <c r="M257" i="10" a="1"/>
  <c r="M257" i="10" s="1"/>
  <c r="M258" i="10" a="1"/>
  <c r="M258" i="10"/>
  <c r="M259" i="10" a="1"/>
  <c r="M259" i="10" s="1"/>
  <c r="M260" i="10" a="1"/>
  <c r="M260" i="10"/>
  <c r="M261" i="10" a="1"/>
  <c r="M261" i="10" s="1"/>
  <c r="M262" i="10" a="1"/>
  <c r="M262" i="10"/>
  <c r="M263" i="10" a="1"/>
  <c r="M263" i="10" s="1"/>
  <c r="M264" i="10" a="1"/>
  <c r="M264" i="10" s="1"/>
  <c r="M265" i="10" a="1"/>
  <c r="M265" i="10" s="1"/>
  <c r="M266" i="10" a="1"/>
  <c r="M266" i="10"/>
  <c r="M267" i="10" a="1"/>
  <c r="M267" i="10" s="1"/>
  <c r="M268" i="10" a="1"/>
  <c r="M268" i="10"/>
  <c r="M269" i="10" a="1"/>
  <c r="M269" i="10" s="1"/>
  <c r="M270" i="10" a="1"/>
  <c r="M270" i="10"/>
  <c r="M271" i="10" a="1"/>
  <c r="M271" i="10" s="1"/>
  <c r="M272" i="10" a="1"/>
  <c r="M272" i="10" s="1"/>
  <c r="M273" i="10" a="1"/>
  <c r="M273" i="10" s="1"/>
  <c r="M274" i="10" a="1"/>
  <c r="M274" i="10"/>
  <c r="M275" i="10" a="1"/>
  <c r="M275" i="10" s="1"/>
  <c r="M276" i="10" a="1"/>
  <c r="M276" i="10"/>
  <c r="M277" i="10" a="1"/>
  <c r="M277" i="10" s="1"/>
  <c r="M278" i="10" a="1"/>
  <c r="M278" i="10"/>
  <c r="M279" i="10" a="1"/>
  <c r="M279" i="10" s="1"/>
  <c r="M280" i="10" a="1"/>
  <c r="M280" i="10" s="1"/>
  <c r="M281" i="10" a="1"/>
  <c r="M281" i="10" s="1"/>
  <c r="M282" i="10" a="1"/>
  <c r="M282" i="10"/>
  <c r="M283" i="10" a="1"/>
  <c r="M283" i="10" s="1"/>
  <c r="M284" i="10" a="1"/>
  <c r="M284" i="10"/>
  <c r="M285" i="10" a="1"/>
  <c r="M285" i="10" s="1"/>
  <c r="M286" i="10" a="1"/>
  <c r="M286" i="10"/>
  <c r="M287" i="10" a="1"/>
  <c r="M287" i="10" s="1"/>
  <c r="M288" i="10" a="1"/>
  <c r="M288" i="10" s="1"/>
  <c r="M289" i="10" a="1"/>
  <c r="M289" i="10" s="1"/>
  <c r="M290" i="10" a="1"/>
  <c r="M290" i="10"/>
  <c r="M291" i="10" a="1"/>
  <c r="M291" i="10" s="1"/>
  <c r="M292" i="10" a="1"/>
  <c r="M292" i="10"/>
  <c r="M293" i="10" a="1"/>
  <c r="M293" i="10" s="1"/>
  <c r="M294" i="10" a="1"/>
  <c r="M294" i="10"/>
  <c r="M295" i="10" a="1"/>
  <c r="M295" i="10" s="1"/>
  <c r="M296" i="10" a="1"/>
  <c r="M296" i="10" s="1"/>
  <c r="M297" i="10" a="1"/>
  <c r="M297" i="10" s="1"/>
  <c r="M298" i="10" a="1"/>
  <c r="M298" i="10"/>
  <c r="M299" i="10" a="1"/>
  <c r="M299" i="10" s="1"/>
  <c r="M300" i="10" a="1"/>
  <c r="M300" i="10"/>
  <c r="M301" i="10" a="1"/>
  <c r="M301" i="10" s="1"/>
  <c r="M302" i="10" a="1"/>
  <c r="M302" i="10"/>
  <c r="M303" i="10" a="1"/>
  <c r="M303" i="10" s="1"/>
  <c r="M304" i="10" a="1"/>
  <c r="M304" i="10" s="1"/>
  <c r="M305" i="10" a="1"/>
  <c r="M305" i="10" s="1"/>
  <c r="M306" i="10" a="1"/>
  <c r="M306" i="10"/>
  <c r="M307" i="10" a="1"/>
  <c r="M307" i="10" s="1"/>
  <c r="M308" i="10" a="1"/>
  <c r="M308" i="10"/>
  <c r="M309" i="10" a="1"/>
  <c r="M309" i="10" s="1"/>
  <c r="M310" i="10" a="1"/>
  <c r="M310" i="10"/>
  <c r="M311" i="10" a="1"/>
  <c r="M311" i="10" s="1"/>
  <c r="M312" i="10" a="1"/>
  <c r="M312" i="10" s="1"/>
  <c r="M313" i="10" a="1"/>
  <c r="M313" i="10" s="1"/>
  <c r="M314" i="10" a="1"/>
  <c r="M314" i="10"/>
  <c r="M315" i="10" a="1"/>
  <c r="M315" i="10" s="1"/>
  <c r="M316" i="10" a="1"/>
  <c r="M316" i="10"/>
  <c r="M317" i="10" a="1"/>
  <c r="M317" i="10" s="1"/>
  <c r="M318" i="10" a="1"/>
  <c r="M318" i="10"/>
  <c r="M319" i="10" a="1"/>
  <c r="M319" i="10" s="1"/>
  <c r="M320" i="10" a="1"/>
  <c r="M320" i="10" s="1"/>
  <c r="M321" i="10" a="1"/>
  <c r="M321" i="10" s="1"/>
  <c r="M322" i="10" a="1"/>
  <c r="M322" i="10"/>
  <c r="M323" i="10" a="1"/>
  <c r="M323" i="10" s="1"/>
  <c r="M324" i="10" a="1"/>
  <c r="M324" i="10"/>
  <c r="M325" i="10" a="1"/>
  <c r="M325" i="10" s="1"/>
  <c r="M326" i="10" a="1"/>
  <c r="M326" i="10"/>
  <c r="M327" i="10" a="1"/>
  <c r="M327" i="10" s="1"/>
  <c r="M328" i="10" a="1"/>
  <c r="M328" i="10" s="1"/>
  <c r="M329" i="10" a="1"/>
  <c r="M329" i="10" s="1"/>
  <c r="M330" i="10" a="1"/>
  <c r="M330" i="10"/>
  <c r="M331" i="10" a="1"/>
  <c r="M331" i="10" s="1"/>
  <c r="M332" i="10" a="1"/>
  <c r="M332" i="10"/>
  <c r="M333" i="10" a="1"/>
  <c r="M333" i="10" s="1"/>
  <c r="M334" i="10" a="1"/>
  <c r="M334" i="10"/>
  <c r="M335" i="10" a="1"/>
  <c r="M335" i="10" s="1"/>
  <c r="M336" i="10" a="1"/>
  <c r="M336" i="10" s="1"/>
  <c r="M337" i="10" a="1"/>
  <c r="M337" i="10" s="1"/>
  <c r="M338" i="10" a="1"/>
  <c r="M338" i="10"/>
  <c r="M339" i="10" a="1"/>
  <c r="M339" i="10" s="1"/>
  <c r="M340" i="10" a="1"/>
  <c r="M340" i="10"/>
  <c r="M341" i="10" a="1"/>
  <c r="M341" i="10" s="1"/>
  <c r="M342" i="10" a="1"/>
  <c r="M342" i="10"/>
  <c r="M343" i="10" a="1"/>
  <c r="M343" i="10" s="1"/>
  <c r="M344" i="10" a="1"/>
  <c r="M344" i="10" s="1"/>
  <c r="M345" i="10" a="1"/>
  <c r="M345" i="10" s="1"/>
  <c r="M346" i="10" a="1"/>
  <c r="M346" i="10"/>
  <c r="M347" i="10" a="1"/>
  <c r="M347" i="10" s="1"/>
  <c r="M348" i="10" a="1"/>
  <c r="M348" i="10"/>
  <c r="M349" i="10" a="1"/>
  <c r="M349" i="10" s="1"/>
  <c r="M350" i="10" a="1"/>
  <c r="M350" i="10"/>
  <c r="M351" i="10" a="1"/>
  <c r="M351" i="10" s="1"/>
  <c r="M352" i="10" a="1"/>
  <c r="M352" i="10" s="1"/>
  <c r="M353" i="10" a="1"/>
  <c r="M353" i="10" s="1"/>
  <c r="M354" i="10" a="1"/>
  <c r="M354" i="10"/>
  <c r="M355" i="10" a="1"/>
  <c r="M355" i="10" s="1"/>
  <c r="M356" i="10" a="1"/>
  <c r="M356" i="10"/>
  <c r="M357" i="10" a="1"/>
  <c r="M357" i="10" s="1"/>
  <c r="M358" i="10" a="1"/>
  <c r="M358" i="10"/>
  <c r="M359" i="10" a="1"/>
  <c r="M359" i="10" s="1"/>
  <c r="M360" i="10" a="1"/>
  <c r="M360" i="10"/>
  <c r="M361" i="10" a="1"/>
  <c r="M361" i="10" s="1"/>
  <c r="M362" i="10" a="1"/>
  <c r="M362" i="10"/>
  <c r="M363" i="10" a="1"/>
  <c r="M363" i="10" s="1"/>
  <c r="M364" i="10" a="1"/>
  <c r="M364" i="10"/>
  <c r="M365" i="10" a="1"/>
  <c r="M365" i="10" s="1"/>
  <c r="M366" i="10" a="1"/>
  <c r="M366" i="10"/>
  <c r="M367" i="10" a="1"/>
  <c r="M367" i="10" s="1"/>
  <c r="M368" i="10" a="1"/>
  <c r="M368" i="10"/>
  <c r="M369" i="10" a="1"/>
  <c r="M369" i="10" s="1"/>
  <c r="M370" i="10" a="1"/>
  <c r="M370" i="10"/>
  <c r="M371" i="10" a="1"/>
  <c r="M371" i="10" s="1"/>
  <c r="M372" i="10" a="1"/>
  <c r="M372" i="10"/>
  <c r="M373" i="10" a="1"/>
  <c r="M373" i="10" s="1"/>
  <c r="M374" i="10" a="1"/>
  <c r="M374" i="10"/>
  <c r="M375" i="10" a="1"/>
  <c r="M375" i="10" s="1"/>
  <c r="M376" i="10" a="1"/>
  <c r="M376" i="10"/>
  <c r="M377" i="10" a="1"/>
  <c r="M377" i="10" s="1"/>
  <c r="M378" i="10" a="1"/>
  <c r="M378" i="10"/>
  <c r="M379" i="10" a="1"/>
  <c r="M379" i="10" s="1"/>
  <c r="M380" i="10" a="1"/>
  <c r="M380" i="10"/>
  <c r="M381" i="10" a="1"/>
  <c r="M381" i="10" s="1"/>
  <c r="M382" i="10" a="1"/>
  <c r="M382" i="10"/>
  <c r="M383" i="10" a="1"/>
  <c r="M383" i="10" s="1"/>
  <c r="M384" i="10" a="1"/>
  <c r="M384" i="10"/>
  <c r="M385" i="10" a="1"/>
  <c r="M385" i="10" s="1"/>
  <c r="M386" i="10" a="1"/>
  <c r="M386" i="10"/>
  <c r="M387" i="10" a="1"/>
  <c r="M387" i="10" s="1"/>
  <c r="M388" i="10" a="1"/>
  <c r="M388" i="10"/>
  <c r="M389" i="10" a="1"/>
  <c r="M389" i="10" s="1"/>
  <c r="M390" i="10" a="1"/>
  <c r="M390" i="10"/>
  <c r="M391" i="10" a="1"/>
  <c r="M391" i="10" s="1"/>
  <c r="M392" i="10" a="1"/>
  <c r="M392" i="10"/>
  <c r="M393" i="10" a="1"/>
  <c r="M393" i="10" s="1"/>
  <c r="M394" i="10" a="1"/>
  <c r="M394" i="10"/>
  <c r="M395" i="10" a="1"/>
  <c r="M395" i="10" s="1"/>
  <c r="M396" i="10" a="1"/>
  <c r="M396" i="10"/>
  <c r="M397" i="10" a="1"/>
  <c r="M397" i="10" s="1"/>
  <c r="M398" i="10" a="1"/>
  <c r="M398" i="10"/>
  <c r="M399" i="10" a="1"/>
  <c r="M399" i="10" s="1"/>
  <c r="M400" i="10" a="1"/>
  <c r="M400" i="10"/>
  <c r="M401" i="10" a="1"/>
  <c r="M401" i="10" s="1"/>
  <c r="M2" i="10" a="1"/>
  <c r="M2" i="10"/>
  <c r="L3" i="10"/>
  <c r="L4" i="10"/>
  <c r="L5" i="10"/>
  <c r="L6" i="10"/>
  <c r="L7" i="10"/>
  <c r="L8" i="10"/>
  <c r="L9" i="10"/>
  <c r="L10" i="10"/>
  <c r="L11" i="10"/>
  <c r="L12" i="10"/>
  <c r="L13" i="10"/>
  <c r="L14" i="10"/>
  <c r="L15" i="10"/>
  <c r="L16" i="10"/>
  <c r="L17" i="10"/>
  <c r="L18" i="10"/>
  <c r="L19" i="10"/>
  <c r="L20" i="10"/>
  <c r="L21" i="10"/>
  <c r="L22" i="10"/>
  <c r="L23" i="10"/>
  <c r="L24" i="10"/>
  <c r="L25" i="10"/>
  <c r="L26" i="10"/>
  <c r="L27" i="10"/>
  <c r="L28" i="10"/>
  <c r="L29" i="10"/>
  <c r="L30" i="10"/>
  <c r="L31" i="10"/>
  <c r="L32" i="10"/>
  <c r="L33" i="10"/>
  <c r="L34" i="10"/>
  <c r="L35" i="10"/>
  <c r="L36" i="10"/>
  <c r="L37" i="10"/>
  <c r="L38" i="10"/>
  <c r="L39" i="10"/>
  <c r="L40" i="10"/>
  <c r="L41" i="10"/>
  <c r="L42" i="10"/>
  <c r="L43" i="10"/>
  <c r="L44" i="10"/>
  <c r="L45" i="10"/>
  <c r="L46" i="10"/>
  <c r="L47" i="10"/>
  <c r="L48" i="10"/>
  <c r="L49" i="10"/>
  <c r="L50" i="10"/>
  <c r="L51" i="10"/>
  <c r="L52" i="10"/>
  <c r="L53" i="10"/>
  <c r="L54" i="10"/>
  <c r="L55" i="10"/>
  <c r="L56" i="10"/>
  <c r="L57" i="10"/>
  <c r="L58" i="10"/>
  <c r="L59" i="10"/>
  <c r="L60" i="10"/>
  <c r="L61" i="10"/>
  <c r="L62" i="10"/>
  <c r="L63" i="10"/>
  <c r="L64" i="10"/>
  <c r="L65" i="10"/>
  <c r="L66" i="10"/>
  <c r="L67" i="10"/>
  <c r="L68" i="10"/>
  <c r="L69" i="10"/>
  <c r="L70" i="10"/>
  <c r="L71" i="10"/>
  <c r="L72" i="10"/>
  <c r="L73" i="10"/>
  <c r="L74" i="10"/>
  <c r="L75" i="10"/>
  <c r="L76" i="10"/>
  <c r="L77" i="10"/>
  <c r="L78" i="10"/>
  <c r="L79" i="10"/>
  <c r="L80" i="10"/>
  <c r="L81" i="10"/>
  <c r="L82" i="10"/>
  <c r="L83" i="10"/>
  <c r="L84" i="10"/>
  <c r="L85" i="10"/>
  <c r="L86" i="10"/>
  <c r="L87" i="10"/>
  <c r="L88" i="10"/>
  <c r="L89" i="10"/>
  <c r="L90" i="10"/>
  <c r="L91" i="10"/>
  <c r="L92" i="10"/>
  <c r="L93" i="10"/>
  <c r="L94" i="10"/>
  <c r="L95" i="10"/>
  <c r="L96" i="10"/>
  <c r="L97" i="10"/>
  <c r="L98" i="10"/>
  <c r="L99" i="10"/>
  <c r="L100" i="10"/>
  <c r="L101" i="10"/>
  <c r="L102" i="10"/>
  <c r="L103" i="10"/>
  <c r="L104" i="10"/>
  <c r="L105" i="10"/>
  <c r="L106" i="10"/>
  <c r="L107" i="10"/>
  <c r="L108" i="10"/>
  <c r="L109" i="10"/>
  <c r="L110" i="10"/>
  <c r="L111" i="10"/>
  <c r="L112" i="10"/>
  <c r="L113" i="10"/>
  <c r="L114" i="10"/>
  <c r="L115" i="10"/>
  <c r="L116" i="10"/>
  <c r="L117" i="10"/>
  <c r="L118" i="10"/>
  <c r="L119" i="10"/>
  <c r="L120" i="10"/>
  <c r="L121" i="10"/>
  <c r="L122" i="10"/>
  <c r="L123" i="10"/>
  <c r="L124" i="10"/>
  <c r="L125" i="10"/>
  <c r="L126" i="10"/>
  <c r="L127" i="10"/>
  <c r="L128" i="10"/>
  <c r="L129" i="10"/>
  <c r="L130" i="10"/>
  <c r="L131" i="10"/>
  <c r="L132" i="10"/>
  <c r="L133" i="10"/>
  <c r="L134" i="10"/>
  <c r="L135" i="10"/>
  <c r="L136" i="10"/>
  <c r="L137" i="10"/>
  <c r="L138" i="10"/>
  <c r="L139" i="10"/>
  <c r="L140" i="10"/>
  <c r="L141" i="10"/>
  <c r="L142" i="10"/>
  <c r="L143" i="10"/>
  <c r="L144" i="10"/>
  <c r="L145" i="10"/>
  <c r="L146" i="10"/>
  <c r="L147" i="10"/>
  <c r="L148" i="10"/>
  <c r="L149" i="10"/>
  <c r="L150" i="10"/>
  <c r="L151" i="10"/>
  <c r="L152" i="10"/>
  <c r="L153" i="10"/>
  <c r="L154" i="10"/>
  <c r="L155" i="10"/>
  <c r="L156" i="10"/>
  <c r="L157" i="10"/>
  <c r="L158" i="10"/>
  <c r="L159" i="10"/>
  <c r="L160" i="10"/>
  <c r="L161" i="10"/>
  <c r="L162" i="10"/>
  <c r="L163" i="10"/>
  <c r="L164" i="10"/>
  <c r="L165" i="10"/>
  <c r="L166" i="10"/>
  <c r="L167" i="10"/>
  <c r="L168" i="10"/>
  <c r="L169" i="10"/>
  <c r="L170" i="10"/>
  <c r="L171" i="10"/>
  <c r="L172" i="10"/>
  <c r="L173" i="10"/>
  <c r="L174" i="10"/>
  <c r="L175" i="10"/>
  <c r="L176" i="10"/>
  <c r="L177" i="10"/>
  <c r="L178" i="10"/>
  <c r="L179" i="10"/>
  <c r="L180" i="10"/>
  <c r="L181" i="10"/>
  <c r="L182" i="10"/>
  <c r="L183" i="10"/>
  <c r="L184" i="10"/>
  <c r="L185" i="10"/>
  <c r="L186" i="10"/>
  <c r="L187" i="10"/>
  <c r="L188" i="10"/>
  <c r="L189" i="10"/>
  <c r="L190" i="10"/>
  <c r="L191" i="10"/>
  <c r="L192" i="10"/>
  <c r="L193" i="10"/>
  <c r="L194" i="10"/>
  <c r="L195" i="10"/>
  <c r="L196" i="10"/>
  <c r="L197" i="10"/>
  <c r="L198" i="10"/>
  <c r="L199" i="10"/>
  <c r="L200" i="10"/>
  <c r="L201" i="10"/>
  <c r="L202" i="10"/>
  <c r="L203" i="10"/>
  <c r="L204" i="10"/>
  <c r="L205" i="10"/>
  <c r="L206" i="10"/>
  <c r="L207" i="10"/>
  <c r="L208" i="10"/>
  <c r="L209" i="10"/>
  <c r="L210" i="10"/>
  <c r="L211" i="10"/>
  <c r="L212" i="10"/>
  <c r="L213" i="10"/>
  <c r="L214" i="10"/>
  <c r="L215" i="10"/>
  <c r="L216" i="10"/>
  <c r="L217" i="10"/>
  <c r="L218" i="10"/>
  <c r="L219" i="10"/>
  <c r="L220" i="10"/>
  <c r="L221" i="10"/>
  <c r="L222" i="10"/>
  <c r="L223" i="10"/>
  <c r="L224" i="10"/>
  <c r="L225" i="10"/>
  <c r="L226" i="10"/>
  <c r="L227" i="10"/>
  <c r="L228" i="10"/>
  <c r="L229" i="10"/>
  <c r="L230" i="10"/>
  <c r="L231" i="10"/>
  <c r="L232" i="10"/>
  <c r="L233" i="10"/>
  <c r="L234" i="10"/>
  <c r="L235" i="10"/>
  <c r="L236" i="10"/>
  <c r="L237" i="10"/>
  <c r="L238" i="10"/>
  <c r="L239" i="10"/>
  <c r="L240" i="10"/>
  <c r="L241" i="10"/>
  <c r="L242" i="10"/>
  <c r="L243" i="10"/>
  <c r="L244" i="10"/>
  <c r="L245" i="10"/>
  <c r="L246" i="10"/>
  <c r="L247" i="10"/>
  <c r="L248" i="10"/>
  <c r="L249" i="10"/>
  <c r="L250" i="10"/>
  <c r="L251" i="10"/>
  <c r="L252" i="10"/>
  <c r="L253" i="10"/>
  <c r="L254" i="10"/>
  <c r="L255" i="10"/>
  <c r="L256" i="10"/>
  <c r="L257" i="10"/>
  <c r="L258" i="10"/>
  <c r="L259" i="10"/>
  <c r="L260" i="10"/>
  <c r="L261" i="10"/>
  <c r="L262" i="10"/>
  <c r="L263" i="10"/>
  <c r="L264" i="10"/>
  <c r="L265" i="10"/>
  <c r="L266" i="10"/>
  <c r="L267" i="10"/>
  <c r="L268" i="10"/>
  <c r="L269" i="10"/>
  <c r="L270" i="10"/>
  <c r="L271" i="10"/>
  <c r="L272" i="10"/>
  <c r="L273" i="10"/>
  <c r="L274" i="10"/>
  <c r="L275" i="10"/>
  <c r="L276" i="10"/>
  <c r="L277" i="10"/>
  <c r="L278" i="10"/>
  <c r="L279" i="10"/>
  <c r="L280" i="10"/>
  <c r="L281" i="10"/>
  <c r="L282" i="10"/>
  <c r="L283" i="10"/>
  <c r="L284" i="10"/>
  <c r="L285" i="10"/>
  <c r="L286" i="10"/>
  <c r="L287" i="10"/>
  <c r="L288" i="10"/>
  <c r="L289" i="10"/>
  <c r="L290" i="10"/>
  <c r="L291" i="10"/>
  <c r="L292" i="10"/>
  <c r="L293" i="10"/>
  <c r="L294" i="10"/>
  <c r="L295" i="10"/>
  <c r="L296" i="10"/>
  <c r="L297" i="10"/>
  <c r="L298" i="10"/>
  <c r="L299" i="10"/>
  <c r="L300" i="10"/>
  <c r="L301" i="10"/>
  <c r="L302" i="10"/>
  <c r="L303" i="10"/>
  <c r="L304" i="10"/>
  <c r="L305" i="10"/>
  <c r="L306" i="10"/>
  <c r="L307" i="10"/>
  <c r="L308" i="10"/>
  <c r="L309" i="10"/>
  <c r="L310" i="10"/>
  <c r="L311" i="10"/>
  <c r="L312" i="10"/>
  <c r="L313" i="10"/>
  <c r="L314" i="10"/>
  <c r="L315" i="10"/>
  <c r="L316" i="10"/>
  <c r="L317" i="10"/>
  <c r="L318" i="10"/>
  <c r="L319" i="10"/>
  <c r="L320" i="10"/>
  <c r="L321" i="10"/>
  <c r="L322" i="10"/>
  <c r="L323" i="10"/>
  <c r="L324" i="10"/>
  <c r="L325" i="10"/>
  <c r="L326" i="10"/>
  <c r="L327" i="10"/>
  <c r="L328" i="10"/>
  <c r="L329" i="10"/>
  <c r="L330" i="10"/>
  <c r="L331" i="10"/>
  <c r="L332" i="10"/>
  <c r="L333" i="10"/>
  <c r="L334" i="10"/>
  <c r="L335" i="10"/>
  <c r="L336" i="10"/>
  <c r="L337" i="10"/>
  <c r="L338" i="10"/>
  <c r="L339" i="10"/>
  <c r="L340" i="10"/>
  <c r="L341" i="10"/>
  <c r="L342" i="10"/>
  <c r="L343" i="10"/>
  <c r="L344" i="10"/>
  <c r="L345" i="10"/>
  <c r="L346" i="10"/>
  <c r="L347" i="10"/>
  <c r="L348" i="10"/>
  <c r="L349" i="10"/>
  <c r="L350" i="10"/>
  <c r="L351" i="10"/>
  <c r="L352" i="10"/>
  <c r="L353" i="10"/>
  <c r="L354" i="10"/>
  <c r="L355" i="10"/>
  <c r="L356" i="10"/>
  <c r="L357" i="10"/>
  <c r="L358" i="10"/>
  <c r="L359" i="10"/>
  <c r="L360" i="10"/>
  <c r="L361" i="10"/>
  <c r="L362" i="10"/>
  <c r="L363" i="10"/>
  <c r="L364" i="10"/>
  <c r="L365" i="10"/>
  <c r="L366" i="10"/>
  <c r="L367" i="10"/>
  <c r="L368" i="10"/>
  <c r="L369" i="10"/>
  <c r="L370" i="10"/>
  <c r="L371" i="10"/>
  <c r="L372" i="10"/>
  <c r="L373" i="10"/>
  <c r="L374" i="10"/>
  <c r="L375" i="10"/>
  <c r="L376" i="10"/>
  <c r="L377" i="10"/>
  <c r="L378" i="10"/>
  <c r="L379" i="10"/>
  <c r="L380" i="10"/>
  <c r="L381" i="10"/>
  <c r="L382" i="10"/>
  <c r="L383" i="10"/>
  <c r="L384" i="10"/>
  <c r="L385" i="10"/>
  <c r="L386" i="10"/>
  <c r="L387" i="10"/>
  <c r="L388" i="10"/>
  <c r="L389" i="10"/>
  <c r="L390" i="10"/>
  <c r="L391" i="10"/>
  <c r="L392" i="10"/>
  <c r="L393" i="10"/>
  <c r="L394" i="10"/>
  <c r="L395" i="10"/>
  <c r="L396" i="10"/>
  <c r="L397" i="10"/>
  <c r="L398" i="10"/>
  <c r="L399" i="10"/>
  <c r="L400" i="10"/>
  <c r="L401" i="10"/>
  <c r="L6" i="9"/>
  <c r="L3" i="9"/>
  <c r="L4" i="9"/>
  <c r="L5" i="9"/>
  <c r="L7" i="9"/>
  <c r="L8" i="9"/>
  <c r="L9" i="9"/>
  <c r="L10" i="9"/>
  <c r="L11" i="9"/>
  <c r="L12" i="9"/>
  <c r="L13" i="9"/>
  <c r="L14" i="9"/>
  <c r="L15" i="9"/>
  <c r="L16" i="9"/>
  <c r="L17" i="9"/>
  <c r="L18" i="9"/>
  <c r="L19" i="9"/>
  <c r="L20" i="9"/>
  <c r="L21" i="9"/>
  <c r="L22" i="9"/>
  <c r="L23" i="9"/>
  <c r="L24" i="9"/>
  <c r="L25" i="9"/>
  <c r="L26" i="9"/>
  <c r="L27" i="9"/>
  <c r="L28" i="9"/>
  <c r="L29" i="9"/>
  <c r="L30" i="9"/>
  <c r="L31" i="9"/>
  <c r="L32" i="9"/>
  <c r="L33" i="9"/>
  <c r="L34" i="9"/>
  <c r="L35" i="9"/>
  <c r="L36" i="9"/>
  <c r="L37" i="9"/>
  <c r="L38" i="9"/>
  <c r="L39" i="9"/>
  <c r="L40" i="9"/>
  <c r="L41" i="9"/>
  <c r="L42" i="9"/>
  <c r="L43" i="9"/>
  <c r="L44" i="9"/>
  <c r="L45" i="9"/>
  <c r="L46" i="9"/>
  <c r="L47" i="9"/>
  <c r="L48" i="9"/>
  <c r="L49" i="9"/>
  <c r="L50" i="9"/>
  <c r="L51" i="9"/>
  <c r="L52" i="9"/>
  <c r="L53" i="9"/>
  <c r="L54" i="9"/>
  <c r="L55" i="9"/>
  <c r="L56" i="9"/>
  <c r="L57" i="9"/>
  <c r="L58" i="9"/>
  <c r="L59" i="9"/>
  <c r="L60" i="9"/>
  <c r="L61" i="9"/>
  <c r="L62" i="9"/>
  <c r="L63" i="9"/>
  <c r="L64" i="9"/>
  <c r="L65" i="9"/>
  <c r="L66" i="9"/>
  <c r="L67" i="9"/>
  <c r="L68" i="9"/>
  <c r="L69" i="9"/>
  <c r="L70" i="9"/>
  <c r="L71" i="9"/>
  <c r="L72" i="9"/>
  <c r="L73" i="9"/>
  <c r="L74" i="9"/>
  <c r="L75" i="9"/>
  <c r="L76" i="9"/>
  <c r="L77" i="9"/>
  <c r="L78" i="9"/>
  <c r="L79" i="9"/>
  <c r="L80" i="9"/>
  <c r="L81" i="9"/>
  <c r="L82" i="9"/>
  <c r="L83" i="9"/>
  <c r="L84" i="9"/>
  <c r="L85" i="9"/>
  <c r="L86" i="9"/>
  <c r="L87" i="9"/>
  <c r="L88" i="9"/>
  <c r="L89" i="9"/>
  <c r="L90" i="9"/>
  <c r="L91" i="9"/>
  <c r="L92" i="9"/>
  <c r="L93" i="9"/>
  <c r="L94" i="9"/>
  <c r="L95" i="9"/>
  <c r="L96" i="9"/>
  <c r="L97" i="9"/>
  <c r="L98" i="9"/>
  <c r="L99" i="9"/>
  <c r="L100" i="9"/>
  <c r="L101" i="9"/>
  <c r="L102" i="9"/>
  <c r="L103" i="9"/>
  <c r="L104" i="9"/>
  <c r="L105" i="9"/>
  <c r="L106" i="9"/>
  <c r="L107" i="9"/>
  <c r="L108" i="9"/>
  <c r="L109" i="9"/>
  <c r="L110" i="9"/>
  <c r="L111" i="9"/>
  <c r="L112" i="9"/>
  <c r="L113" i="9"/>
  <c r="L114" i="9"/>
  <c r="L115" i="9"/>
  <c r="L116" i="9"/>
  <c r="L117" i="9"/>
  <c r="L118" i="9"/>
  <c r="L119" i="9"/>
  <c r="L120" i="9"/>
  <c r="L121" i="9"/>
  <c r="L122" i="9"/>
  <c r="L123" i="9"/>
  <c r="L124" i="9"/>
  <c r="L125" i="9"/>
  <c r="L126" i="9"/>
  <c r="L127" i="9"/>
  <c r="L128" i="9"/>
  <c r="L129" i="9"/>
  <c r="L130" i="9"/>
  <c r="L131" i="9"/>
  <c r="L132" i="9"/>
  <c r="L133" i="9"/>
  <c r="L134" i="9"/>
  <c r="L135" i="9"/>
  <c r="L136" i="9"/>
  <c r="L137" i="9"/>
  <c r="L138" i="9"/>
  <c r="L139" i="9"/>
  <c r="L140" i="9"/>
  <c r="L141" i="9"/>
  <c r="L142" i="9"/>
  <c r="L143" i="9"/>
  <c r="L144" i="9"/>
  <c r="L145" i="9"/>
  <c r="L146" i="9"/>
  <c r="L147" i="9"/>
  <c r="L148" i="9"/>
  <c r="L149" i="9"/>
  <c r="L150" i="9"/>
  <c r="L151" i="9"/>
  <c r="L152" i="9"/>
  <c r="L153" i="9"/>
  <c r="L154" i="9"/>
  <c r="L155" i="9"/>
  <c r="L156" i="9"/>
  <c r="L157" i="9"/>
  <c r="L158" i="9"/>
  <c r="L159" i="9"/>
  <c r="L160" i="9"/>
  <c r="L161" i="9"/>
  <c r="L162" i="9"/>
  <c r="L163" i="9"/>
  <c r="L164" i="9"/>
  <c r="L165" i="9"/>
  <c r="L166" i="9"/>
  <c r="L167" i="9"/>
  <c r="L168" i="9"/>
  <c r="L169" i="9"/>
  <c r="L170" i="9"/>
  <c r="L171" i="9"/>
  <c r="L172" i="9"/>
  <c r="L173" i="9"/>
  <c r="L174" i="9"/>
  <c r="L175" i="9"/>
  <c r="L176" i="9"/>
  <c r="L177" i="9"/>
  <c r="L178" i="9"/>
  <c r="L179" i="9"/>
  <c r="L180" i="9"/>
  <c r="L181" i="9"/>
  <c r="L182" i="9"/>
  <c r="L183" i="9"/>
  <c r="L184" i="9"/>
  <c r="L185" i="9"/>
  <c r="L186" i="9"/>
  <c r="L187" i="9"/>
  <c r="L188" i="9"/>
  <c r="L189" i="9"/>
  <c r="L190" i="9"/>
  <c r="L191" i="9"/>
  <c r="L192" i="9"/>
  <c r="L193" i="9"/>
  <c r="L194" i="9"/>
  <c r="L195" i="9"/>
  <c r="L196" i="9"/>
  <c r="L197" i="9"/>
  <c r="L198" i="9"/>
  <c r="L199" i="9"/>
  <c r="L200" i="9"/>
  <c r="L201" i="9"/>
  <c r="L202" i="9"/>
  <c r="L203" i="9"/>
  <c r="L204" i="9"/>
  <c r="L205" i="9"/>
  <c r="L206" i="9"/>
  <c r="L207" i="9"/>
  <c r="L208" i="9"/>
  <c r="L209" i="9"/>
  <c r="L210" i="9"/>
  <c r="L211" i="9"/>
  <c r="L212" i="9"/>
  <c r="L213" i="9"/>
  <c r="L214" i="9"/>
  <c r="L215" i="9"/>
  <c r="L216" i="9"/>
  <c r="L217" i="9"/>
  <c r="L218" i="9"/>
  <c r="L219" i="9"/>
  <c r="L220" i="9"/>
  <c r="L221" i="9"/>
  <c r="L222" i="9"/>
  <c r="L223" i="9"/>
  <c r="L224" i="9"/>
  <c r="L225" i="9"/>
  <c r="L226" i="9"/>
  <c r="L227" i="9"/>
  <c r="L228" i="9"/>
  <c r="L229" i="9"/>
  <c r="L230" i="9"/>
  <c r="L231" i="9"/>
  <c r="L232" i="9"/>
  <c r="L233" i="9"/>
  <c r="L234" i="9"/>
  <c r="L235" i="9"/>
  <c r="L236" i="9"/>
  <c r="L237" i="9"/>
  <c r="L238" i="9"/>
  <c r="L239" i="9"/>
  <c r="L240" i="9"/>
  <c r="L241" i="9"/>
  <c r="L242" i="9"/>
  <c r="L243" i="9"/>
  <c r="L244" i="9"/>
  <c r="L245" i="9"/>
  <c r="L246" i="9"/>
  <c r="L247" i="9"/>
  <c r="L248" i="9"/>
  <c r="L249" i="9"/>
  <c r="L250" i="9"/>
  <c r="L251" i="9"/>
  <c r="L252" i="9"/>
  <c r="L253" i="9"/>
  <c r="L254" i="9"/>
  <c r="L255" i="9"/>
  <c r="L256" i="9"/>
  <c r="L257" i="9"/>
  <c r="L258" i="9"/>
  <c r="L259" i="9"/>
  <c r="L260" i="9"/>
  <c r="L261" i="9"/>
  <c r="L262" i="9"/>
  <c r="L263" i="9"/>
  <c r="L264" i="9"/>
  <c r="L265" i="9"/>
  <c r="L266" i="9"/>
  <c r="L267" i="9"/>
  <c r="L268" i="9"/>
  <c r="L269" i="9"/>
  <c r="L270" i="9"/>
  <c r="L271" i="9"/>
  <c r="L272" i="9"/>
  <c r="L273" i="9"/>
  <c r="L274" i="9"/>
  <c r="L275" i="9"/>
  <c r="L276" i="9"/>
  <c r="L277" i="9"/>
  <c r="L278" i="9"/>
  <c r="L279" i="9"/>
  <c r="L280" i="9"/>
  <c r="L281" i="9"/>
  <c r="L282" i="9"/>
  <c r="L283" i="9"/>
  <c r="L284" i="9"/>
  <c r="L285" i="9"/>
  <c r="L286" i="9"/>
  <c r="L287" i="9"/>
  <c r="L288" i="9"/>
  <c r="L289" i="9"/>
  <c r="L290" i="9"/>
  <c r="L291" i="9"/>
  <c r="L292" i="9"/>
  <c r="L293" i="9"/>
  <c r="L294" i="9"/>
  <c r="L295" i="9"/>
  <c r="L296" i="9"/>
  <c r="L297" i="9"/>
  <c r="L298" i="9"/>
  <c r="L299" i="9"/>
  <c r="L300" i="9"/>
  <c r="L301" i="9"/>
  <c r="L302" i="9"/>
  <c r="L303" i="9"/>
  <c r="L304" i="9"/>
  <c r="L305" i="9"/>
  <c r="L306" i="9"/>
  <c r="L307" i="9"/>
  <c r="L308" i="9"/>
  <c r="L309" i="9"/>
  <c r="L310" i="9"/>
  <c r="L311" i="9"/>
  <c r="L312" i="9"/>
  <c r="L313" i="9"/>
  <c r="L314" i="9"/>
  <c r="L315" i="9"/>
  <c r="L316" i="9"/>
  <c r="L317" i="9"/>
  <c r="L318" i="9"/>
  <c r="L319" i="9"/>
  <c r="L320" i="9"/>
  <c r="L321" i="9"/>
  <c r="L322" i="9"/>
  <c r="L323" i="9"/>
  <c r="L324" i="9"/>
  <c r="L325" i="9"/>
  <c r="L326" i="9"/>
  <c r="L327" i="9"/>
  <c r="L328" i="9"/>
  <c r="L329" i="9"/>
  <c r="L330" i="9"/>
  <c r="L331" i="9"/>
  <c r="L332" i="9"/>
  <c r="L333" i="9"/>
  <c r="L334" i="9"/>
  <c r="L335" i="9"/>
  <c r="L336" i="9"/>
  <c r="L337" i="9"/>
  <c r="L338" i="9"/>
  <c r="L339" i="9"/>
  <c r="L340" i="9"/>
  <c r="L341" i="9"/>
  <c r="L342" i="9"/>
  <c r="L343" i="9"/>
  <c r="L344" i="9"/>
  <c r="L345" i="9"/>
  <c r="L346" i="9"/>
  <c r="L347" i="9"/>
  <c r="L348" i="9"/>
  <c r="L349" i="9"/>
  <c r="L350" i="9"/>
  <c r="L351" i="9"/>
  <c r="L352" i="9"/>
  <c r="L353" i="9"/>
  <c r="L354" i="9"/>
  <c r="L355" i="9"/>
  <c r="L356" i="9"/>
  <c r="L357" i="9"/>
  <c r="L358" i="9"/>
  <c r="L359" i="9"/>
  <c r="L360" i="9"/>
  <c r="L361" i="9"/>
  <c r="L362" i="9"/>
  <c r="L363" i="9"/>
  <c r="L364" i="9"/>
  <c r="L365" i="9"/>
  <c r="L366" i="9"/>
  <c r="L367" i="9"/>
  <c r="L368" i="9"/>
  <c r="L369" i="9"/>
  <c r="L370" i="9"/>
  <c r="L371" i="9"/>
  <c r="L372" i="9"/>
  <c r="L373" i="9"/>
  <c r="L374" i="9"/>
  <c r="L375" i="9"/>
  <c r="L376" i="9"/>
  <c r="L377" i="9"/>
  <c r="L378" i="9"/>
  <c r="L379" i="9"/>
  <c r="L380" i="9"/>
  <c r="L381" i="9"/>
  <c r="L382" i="9"/>
  <c r="L383" i="9"/>
  <c r="L384" i="9"/>
  <c r="L385" i="9"/>
  <c r="L386" i="9"/>
  <c r="L387" i="9"/>
  <c r="L388" i="9"/>
  <c r="L389" i="9"/>
  <c r="L390" i="9"/>
  <c r="L391" i="9"/>
  <c r="L392" i="9"/>
  <c r="L393" i="9"/>
  <c r="L394" i="9"/>
  <c r="L395" i="9"/>
  <c r="L396" i="9"/>
  <c r="L397" i="9"/>
  <c r="L398" i="9"/>
  <c r="L399" i="9"/>
  <c r="L400" i="9"/>
  <c r="L401" i="9"/>
  <c r="L2" i="9"/>
  <c r="L3" i="8"/>
  <c r="L4" i="8"/>
  <c r="L5" i="8"/>
  <c r="L6" i="8"/>
  <c r="L7" i="8"/>
  <c r="L8" i="8"/>
  <c r="L9" i="8"/>
  <c r="L10" i="8"/>
  <c r="L11" i="8"/>
  <c r="L12" i="8"/>
  <c r="L13" i="8"/>
  <c r="L14" i="8"/>
  <c r="L15" i="8"/>
  <c r="L16" i="8"/>
  <c r="L17" i="8"/>
  <c r="L18" i="8"/>
  <c r="L19" i="8"/>
  <c r="L20" i="8"/>
  <c r="L21" i="8"/>
  <c r="L22" i="8"/>
  <c r="L23" i="8"/>
  <c r="L24" i="8"/>
  <c r="L25" i="8"/>
  <c r="L26" i="8"/>
  <c r="L27" i="8"/>
  <c r="L28" i="8"/>
  <c r="L29" i="8"/>
  <c r="L30" i="8"/>
  <c r="L31" i="8"/>
  <c r="L32" i="8"/>
  <c r="L33" i="8"/>
  <c r="L34" i="8"/>
  <c r="L35" i="8"/>
  <c r="L36" i="8"/>
  <c r="L37" i="8"/>
  <c r="L38" i="8"/>
  <c r="L39" i="8"/>
  <c r="L40" i="8"/>
  <c r="L41" i="8"/>
  <c r="L42" i="8"/>
  <c r="L43" i="8"/>
  <c r="L44" i="8"/>
  <c r="L45" i="8"/>
  <c r="L46" i="8"/>
  <c r="L47" i="8"/>
  <c r="L48" i="8"/>
  <c r="L49" i="8"/>
  <c r="L50" i="8"/>
  <c r="L51" i="8"/>
  <c r="L52" i="8"/>
  <c r="L53" i="8"/>
  <c r="L54" i="8"/>
  <c r="L55" i="8"/>
  <c r="L56" i="8"/>
  <c r="L57" i="8"/>
  <c r="L58" i="8"/>
  <c r="L59" i="8"/>
  <c r="L60" i="8"/>
  <c r="L61" i="8"/>
  <c r="L62" i="8"/>
  <c r="L63" i="8"/>
  <c r="L64" i="8"/>
  <c r="L65" i="8"/>
  <c r="L66" i="8"/>
  <c r="L67" i="8"/>
  <c r="L68" i="8"/>
  <c r="L69" i="8"/>
  <c r="L70" i="8"/>
  <c r="L71" i="8"/>
  <c r="L72" i="8"/>
  <c r="L73" i="8"/>
  <c r="L74" i="8"/>
  <c r="L75" i="8"/>
  <c r="L76" i="8"/>
  <c r="L77" i="8"/>
  <c r="L78" i="8"/>
  <c r="L79" i="8"/>
  <c r="L80" i="8"/>
  <c r="L81" i="8"/>
  <c r="L82" i="8"/>
  <c r="L83" i="8"/>
  <c r="L84" i="8"/>
  <c r="L85" i="8"/>
  <c r="L86" i="8"/>
  <c r="L87" i="8"/>
  <c r="L88" i="8"/>
  <c r="L89" i="8"/>
  <c r="L90" i="8"/>
  <c r="L91" i="8"/>
  <c r="L92" i="8"/>
  <c r="L93" i="8"/>
  <c r="L94" i="8"/>
  <c r="L95" i="8"/>
  <c r="L96" i="8"/>
  <c r="L97" i="8"/>
  <c r="L98" i="8"/>
  <c r="L99" i="8"/>
  <c r="L100" i="8"/>
  <c r="L101" i="8"/>
  <c r="L102" i="8"/>
  <c r="L103" i="8"/>
  <c r="L104" i="8"/>
  <c r="L105" i="8"/>
  <c r="L106" i="8"/>
  <c r="L107" i="8"/>
  <c r="L108" i="8"/>
  <c r="L109" i="8"/>
  <c r="L110" i="8"/>
  <c r="L111" i="8"/>
  <c r="L112" i="8"/>
  <c r="L113" i="8"/>
  <c r="L114" i="8"/>
  <c r="L115" i="8"/>
  <c r="L116" i="8"/>
  <c r="L117" i="8"/>
  <c r="L118" i="8"/>
  <c r="L119" i="8"/>
  <c r="L120" i="8"/>
  <c r="L121" i="8"/>
  <c r="L122" i="8"/>
  <c r="L123" i="8"/>
  <c r="L124" i="8"/>
  <c r="L125" i="8"/>
  <c r="L126" i="8"/>
  <c r="L127" i="8"/>
  <c r="L128" i="8"/>
  <c r="L129" i="8"/>
  <c r="L130" i="8"/>
  <c r="L131" i="8"/>
  <c r="L132" i="8"/>
  <c r="L133" i="8"/>
  <c r="L134" i="8"/>
  <c r="L135" i="8"/>
  <c r="L136" i="8"/>
  <c r="L137" i="8"/>
  <c r="L138" i="8"/>
  <c r="L139" i="8"/>
  <c r="L140" i="8"/>
  <c r="L141" i="8"/>
  <c r="L142" i="8"/>
  <c r="L143" i="8"/>
  <c r="L144" i="8"/>
  <c r="L145" i="8"/>
  <c r="L146" i="8"/>
  <c r="L147" i="8"/>
  <c r="L148" i="8"/>
  <c r="L149" i="8"/>
  <c r="L150" i="8"/>
  <c r="L151" i="8"/>
  <c r="L152" i="8"/>
  <c r="L153" i="8"/>
  <c r="L154" i="8"/>
  <c r="L155" i="8"/>
  <c r="L156" i="8"/>
  <c r="L157" i="8"/>
  <c r="L158" i="8"/>
  <c r="L159" i="8"/>
  <c r="L160" i="8"/>
  <c r="L161" i="8"/>
  <c r="L162" i="8"/>
  <c r="L163" i="8"/>
  <c r="L164" i="8"/>
  <c r="L165" i="8"/>
  <c r="L166" i="8"/>
  <c r="L167" i="8"/>
  <c r="L168" i="8"/>
  <c r="L169" i="8"/>
  <c r="L170" i="8"/>
  <c r="L171" i="8"/>
  <c r="L172" i="8"/>
  <c r="L173" i="8"/>
  <c r="L174" i="8"/>
  <c r="L175" i="8"/>
  <c r="L176" i="8"/>
  <c r="L177" i="8"/>
  <c r="L178" i="8"/>
  <c r="L179" i="8"/>
  <c r="L180" i="8"/>
  <c r="L181" i="8"/>
  <c r="L182" i="8"/>
  <c r="L183" i="8"/>
  <c r="L184" i="8"/>
  <c r="L185" i="8"/>
  <c r="L186" i="8"/>
  <c r="L187" i="8"/>
  <c r="L188" i="8"/>
  <c r="L189" i="8"/>
  <c r="L190" i="8"/>
  <c r="L191" i="8"/>
  <c r="L192" i="8"/>
  <c r="L193" i="8"/>
  <c r="L194" i="8"/>
  <c r="L195" i="8"/>
  <c r="L196" i="8"/>
  <c r="L197" i="8"/>
  <c r="L198" i="8"/>
  <c r="L199" i="8"/>
  <c r="L200" i="8"/>
  <c r="L201" i="8"/>
  <c r="L202" i="8"/>
  <c r="L203" i="8"/>
  <c r="L204" i="8"/>
  <c r="L205" i="8"/>
  <c r="L206" i="8"/>
  <c r="L207" i="8"/>
  <c r="L208" i="8"/>
  <c r="L209" i="8"/>
  <c r="L210" i="8"/>
  <c r="L211" i="8"/>
  <c r="L212" i="8"/>
  <c r="L213" i="8"/>
  <c r="L214" i="8"/>
  <c r="L215" i="8"/>
  <c r="L216" i="8"/>
  <c r="L217" i="8"/>
  <c r="L218" i="8"/>
  <c r="L219" i="8"/>
  <c r="L220" i="8"/>
  <c r="L221" i="8"/>
  <c r="L222" i="8"/>
  <c r="L223" i="8"/>
  <c r="L224" i="8"/>
  <c r="L225" i="8"/>
  <c r="L226" i="8"/>
  <c r="L227" i="8"/>
  <c r="L228" i="8"/>
  <c r="L229" i="8"/>
  <c r="L230" i="8"/>
  <c r="L231" i="8"/>
  <c r="L232" i="8"/>
  <c r="L233" i="8"/>
  <c r="L234" i="8"/>
  <c r="L235" i="8"/>
  <c r="L236" i="8"/>
  <c r="L237" i="8"/>
  <c r="L238" i="8"/>
  <c r="L239" i="8"/>
  <c r="L240" i="8"/>
  <c r="L241" i="8"/>
  <c r="L242" i="8"/>
  <c r="L243" i="8"/>
  <c r="L244" i="8"/>
  <c r="L245" i="8"/>
  <c r="L246" i="8"/>
  <c r="L247" i="8"/>
  <c r="L248" i="8"/>
  <c r="L249" i="8"/>
  <c r="L250" i="8"/>
  <c r="L251" i="8"/>
  <c r="L252" i="8"/>
  <c r="L253" i="8"/>
  <c r="L254" i="8"/>
  <c r="L255" i="8"/>
  <c r="L256" i="8"/>
  <c r="L257" i="8"/>
  <c r="L258" i="8"/>
  <c r="L259" i="8"/>
  <c r="L260" i="8"/>
  <c r="L261" i="8"/>
  <c r="L262" i="8"/>
  <c r="L263" i="8"/>
  <c r="L264" i="8"/>
  <c r="L265" i="8"/>
  <c r="L266" i="8"/>
  <c r="L267" i="8"/>
  <c r="L268" i="8"/>
  <c r="L269" i="8"/>
  <c r="L270" i="8"/>
  <c r="L271" i="8"/>
  <c r="L272" i="8"/>
  <c r="L273" i="8"/>
  <c r="L274" i="8"/>
  <c r="L275" i="8"/>
  <c r="L276" i="8"/>
  <c r="L277" i="8"/>
  <c r="L278" i="8"/>
  <c r="L279" i="8"/>
  <c r="L280" i="8"/>
  <c r="L281" i="8"/>
  <c r="L282" i="8"/>
  <c r="L283" i="8"/>
  <c r="L284" i="8"/>
  <c r="L285" i="8"/>
  <c r="L286" i="8"/>
  <c r="L287" i="8"/>
  <c r="L288" i="8"/>
  <c r="L289" i="8"/>
  <c r="L290" i="8"/>
  <c r="L291" i="8"/>
  <c r="L292" i="8"/>
  <c r="L293" i="8"/>
  <c r="L294" i="8"/>
  <c r="L295" i="8"/>
  <c r="L296" i="8"/>
  <c r="L297" i="8"/>
  <c r="L298" i="8"/>
  <c r="L299" i="8"/>
  <c r="L300" i="8"/>
  <c r="L301" i="8"/>
  <c r="L302" i="8"/>
  <c r="L303" i="8"/>
  <c r="L304" i="8"/>
  <c r="L305" i="8"/>
  <c r="L306" i="8"/>
  <c r="L307" i="8"/>
  <c r="L308" i="8"/>
  <c r="L309" i="8"/>
  <c r="L310" i="8"/>
  <c r="L311" i="8"/>
  <c r="L312" i="8"/>
  <c r="L313" i="8"/>
  <c r="L314" i="8"/>
  <c r="L315" i="8"/>
  <c r="L316" i="8"/>
  <c r="L317" i="8"/>
  <c r="L318" i="8"/>
  <c r="L319" i="8"/>
  <c r="L320" i="8"/>
  <c r="L321" i="8"/>
  <c r="L322" i="8"/>
  <c r="L323" i="8"/>
  <c r="L324" i="8"/>
  <c r="L325" i="8"/>
  <c r="L326" i="8"/>
  <c r="L327" i="8"/>
  <c r="L328" i="8"/>
  <c r="L329" i="8"/>
  <c r="L330" i="8"/>
  <c r="L331" i="8"/>
  <c r="L332" i="8"/>
  <c r="L333" i="8"/>
  <c r="L334" i="8"/>
  <c r="L335" i="8"/>
  <c r="L336" i="8"/>
  <c r="L337" i="8"/>
  <c r="L338" i="8"/>
  <c r="L339" i="8"/>
  <c r="L340" i="8"/>
  <c r="L341" i="8"/>
  <c r="L342" i="8"/>
  <c r="L343" i="8"/>
  <c r="L344" i="8"/>
  <c r="L345" i="8"/>
  <c r="L346" i="8"/>
  <c r="L347" i="8"/>
  <c r="L348" i="8"/>
  <c r="L349" i="8"/>
  <c r="L350" i="8"/>
  <c r="L351" i="8"/>
  <c r="L352" i="8"/>
  <c r="L353" i="8"/>
  <c r="L354" i="8"/>
  <c r="L355" i="8"/>
  <c r="L356" i="8"/>
  <c r="L357" i="8"/>
  <c r="L358" i="8"/>
  <c r="L359" i="8"/>
  <c r="L360" i="8"/>
  <c r="L361" i="8"/>
  <c r="L362" i="8"/>
  <c r="L363" i="8"/>
  <c r="L364" i="8"/>
  <c r="L365" i="8"/>
  <c r="L366" i="8"/>
  <c r="L367" i="8"/>
  <c r="L368" i="8"/>
  <c r="L369" i="8"/>
  <c r="L370" i="8"/>
  <c r="L371" i="8"/>
  <c r="L372" i="8"/>
  <c r="L373" i="8"/>
  <c r="L374" i="8"/>
  <c r="L375" i="8"/>
  <c r="L376" i="8"/>
  <c r="L377" i="8"/>
  <c r="L378" i="8"/>
  <c r="L379" i="8"/>
  <c r="L380" i="8"/>
  <c r="L381" i="8"/>
  <c r="L382" i="8"/>
  <c r="L383" i="8"/>
  <c r="L384" i="8"/>
  <c r="L385" i="8"/>
  <c r="L386" i="8"/>
  <c r="L387" i="8"/>
  <c r="L388" i="8"/>
  <c r="L389" i="8"/>
  <c r="L390" i="8"/>
  <c r="L391" i="8"/>
  <c r="L392" i="8"/>
  <c r="L393" i="8"/>
  <c r="L394" i="8"/>
  <c r="L395" i="8"/>
  <c r="L396" i="8"/>
  <c r="L397" i="8"/>
  <c r="L398" i="8"/>
  <c r="L399" i="8"/>
  <c r="L400" i="8"/>
  <c r="L401" i="8"/>
  <c r="L2" i="8"/>
  <c r="L3" i="7" a="1"/>
  <c r="L3" i="7"/>
  <c r="L4" i="7" a="1"/>
  <c r="L4" i="7"/>
  <c r="L5" i="7" a="1"/>
  <c r="L5" i="7"/>
  <c r="L6" i="7" a="1"/>
  <c r="L6" i="7"/>
  <c r="L7" i="7" a="1"/>
  <c r="L7" i="7"/>
  <c r="L8" i="7" a="1"/>
  <c r="L8" i="7"/>
  <c r="L9" i="7" a="1"/>
  <c r="L9" i="7"/>
  <c r="L10" i="7" a="1"/>
  <c r="L10" i="7"/>
  <c r="L11" i="7" a="1"/>
  <c r="L11" i="7"/>
  <c r="L12" i="7" a="1"/>
  <c r="L12" i="7"/>
  <c r="L13" i="7" a="1"/>
  <c r="L13" i="7"/>
  <c r="L14" i="7" a="1"/>
  <c r="L14" i="7"/>
  <c r="L15" i="7" a="1"/>
  <c r="L15" i="7"/>
  <c r="L16" i="7" a="1"/>
  <c r="L16" i="7"/>
  <c r="L17" i="7" a="1"/>
  <c r="L17" i="7"/>
  <c r="L18" i="7" a="1"/>
  <c r="L18" i="7"/>
  <c r="L19" i="7" a="1"/>
  <c r="L19" i="7"/>
  <c r="L20" i="7" a="1"/>
  <c r="L20" i="7"/>
  <c r="L21" i="7" a="1"/>
  <c r="L21" i="7"/>
  <c r="L22" i="7" a="1"/>
  <c r="L22" i="7"/>
  <c r="L23" i="7" a="1"/>
  <c r="L23" i="7"/>
  <c r="L24" i="7" a="1"/>
  <c r="L24" i="7"/>
  <c r="L25" i="7" a="1"/>
  <c r="L25" i="7"/>
  <c r="L26" i="7" a="1"/>
  <c r="L26" i="7"/>
  <c r="L27" i="7" a="1"/>
  <c r="L27" i="7"/>
  <c r="L28" i="7" a="1"/>
  <c r="L28" i="7"/>
  <c r="L29" i="7" a="1"/>
  <c r="L29" i="7"/>
  <c r="L30" i="7" a="1"/>
  <c r="L30" i="7"/>
  <c r="L31" i="7" a="1"/>
  <c r="L31" i="7"/>
  <c r="L32" i="7" a="1"/>
  <c r="L32" i="7"/>
  <c r="L33" i="7" a="1"/>
  <c r="L33" i="7"/>
  <c r="L34" i="7" a="1"/>
  <c r="L34" i="7"/>
  <c r="L35" i="7" a="1"/>
  <c r="L35" i="7"/>
  <c r="L36" i="7" a="1"/>
  <c r="L36" i="7"/>
  <c r="L37" i="7" a="1"/>
  <c r="L37" i="7"/>
  <c r="L38" i="7" a="1"/>
  <c r="L38" i="7"/>
  <c r="L39" i="7" a="1"/>
  <c r="L39" i="7"/>
  <c r="L40" i="7" a="1"/>
  <c r="L40" i="7"/>
  <c r="L41" i="7" a="1"/>
  <c r="L41" i="7"/>
  <c r="L42" i="7" a="1"/>
  <c r="L42" i="7"/>
  <c r="L43" i="7" a="1"/>
  <c r="L43" i="7"/>
  <c r="L44" i="7" a="1"/>
  <c r="L44" i="7"/>
  <c r="L45" i="7" a="1"/>
  <c r="L45" i="7"/>
  <c r="L46" i="7" a="1"/>
  <c r="L46" i="7"/>
  <c r="L47" i="7" a="1"/>
  <c r="L47" i="7"/>
  <c r="L48" i="7" a="1"/>
  <c r="L48" i="7"/>
  <c r="L49" i="7" a="1"/>
  <c r="L49" i="7"/>
  <c r="L50" i="7" a="1"/>
  <c r="L50" i="7"/>
  <c r="L51" i="7" a="1"/>
  <c r="L51" i="7"/>
  <c r="L52" i="7" a="1"/>
  <c r="L52" i="7"/>
  <c r="L53" i="7" a="1"/>
  <c r="L53" i="7"/>
  <c r="L54" i="7" a="1"/>
  <c r="L54" i="7"/>
  <c r="L55" i="7" a="1"/>
  <c r="L55" i="7"/>
  <c r="L56" i="7" a="1"/>
  <c r="L56" i="7"/>
  <c r="L57" i="7" a="1"/>
  <c r="L57" i="7"/>
  <c r="L58" i="7" a="1"/>
  <c r="L58" i="7"/>
  <c r="L59" i="7" a="1"/>
  <c r="L59" i="7"/>
  <c r="L60" i="7" a="1"/>
  <c r="L60" i="7"/>
  <c r="L61" i="7" a="1"/>
  <c r="L61" i="7"/>
  <c r="L62" i="7" a="1"/>
  <c r="L62" i="7"/>
  <c r="L63" i="7" a="1"/>
  <c r="L63" i="7"/>
  <c r="L64" i="7" a="1"/>
  <c r="L64" i="7"/>
  <c r="L65" i="7" a="1"/>
  <c r="L65" i="7"/>
  <c r="L66" i="7" a="1"/>
  <c r="L66" i="7"/>
  <c r="L67" i="7" a="1"/>
  <c r="L67" i="7"/>
  <c r="L68" i="7" a="1"/>
  <c r="L68" i="7"/>
  <c r="L69" i="7" a="1"/>
  <c r="L69" i="7"/>
  <c r="L70" i="7" a="1"/>
  <c r="L70" i="7"/>
  <c r="L71" i="7" a="1"/>
  <c r="L71" i="7"/>
  <c r="L72" i="7" a="1"/>
  <c r="L72" i="7"/>
  <c r="L73" i="7" a="1"/>
  <c r="L73" i="7"/>
  <c r="L74" i="7" a="1"/>
  <c r="L74" i="7"/>
  <c r="L75" i="7" a="1"/>
  <c r="L75" i="7"/>
  <c r="L76" i="7" a="1"/>
  <c r="L76" i="7"/>
  <c r="L77" i="7" a="1"/>
  <c r="L77" i="7"/>
  <c r="L78" i="7" a="1"/>
  <c r="L78" i="7"/>
  <c r="L79" i="7" a="1"/>
  <c r="L79" i="7"/>
  <c r="L80" i="7" a="1"/>
  <c r="L80" i="7"/>
  <c r="L81" i="7" a="1"/>
  <c r="L81" i="7"/>
  <c r="L82" i="7" a="1"/>
  <c r="L82" i="7"/>
  <c r="L83" i="7" a="1"/>
  <c r="L83" i="7"/>
  <c r="L84" i="7" a="1"/>
  <c r="L84" i="7"/>
  <c r="L85" i="7" a="1"/>
  <c r="L85" i="7"/>
  <c r="L86" i="7" a="1"/>
  <c r="L86" i="7"/>
  <c r="L87" i="7" a="1"/>
  <c r="L87" i="7"/>
  <c r="L88" i="7" a="1"/>
  <c r="L88" i="7"/>
  <c r="L89" i="7" a="1"/>
  <c r="L89" i="7"/>
  <c r="L90" i="7" a="1"/>
  <c r="L90" i="7"/>
  <c r="L91" i="7" a="1"/>
  <c r="L91" i="7"/>
  <c r="L92" i="7" a="1"/>
  <c r="L92" i="7"/>
  <c r="L93" i="7" a="1"/>
  <c r="L93" i="7"/>
  <c r="L94" i="7" a="1"/>
  <c r="L94" i="7"/>
  <c r="L95" i="7" a="1"/>
  <c r="L95" i="7"/>
  <c r="L96" i="7" a="1"/>
  <c r="L96" i="7"/>
  <c r="L97" i="7" a="1"/>
  <c r="L97" i="7"/>
  <c r="L98" i="7" a="1"/>
  <c r="L98" i="7"/>
  <c r="L99" i="7" a="1"/>
  <c r="L99" i="7"/>
  <c r="L100" i="7" a="1"/>
  <c r="L100" i="7"/>
  <c r="L101" i="7" a="1"/>
  <c r="L101" i="7"/>
  <c r="L102" i="7" a="1"/>
  <c r="L102" i="7"/>
  <c r="L103" i="7" a="1"/>
  <c r="L103" i="7"/>
  <c r="L104" i="7" a="1"/>
  <c r="L104" i="7"/>
  <c r="L105" i="7" a="1"/>
  <c r="L105" i="7"/>
  <c r="L106" i="7" a="1"/>
  <c r="L106" i="7"/>
  <c r="L107" i="7" a="1"/>
  <c r="L107" i="7"/>
  <c r="L108" i="7" a="1"/>
  <c r="L108" i="7"/>
  <c r="L109" i="7" a="1"/>
  <c r="L109" i="7"/>
  <c r="L110" i="7" a="1"/>
  <c r="L110" i="7"/>
  <c r="L111" i="7" a="1"/>
  <c r="L111" i="7"/>
  <c r="L112" i="7" a="1"/>
  <c r="L112" i="7"/>
  <c r="L113" i="7" a="1"/>
  <c r="L113" i="7"/>
  <c r="L114" i="7" a="1"/>
  <c r="L114" i="7"/>
  <c r="L115" i="7" a="1"/>
  <c r="L115" i="7"/>
  <c r="L116" i="7" a="1"/>
  <c r="L116" i="7"/>
  <c r="L117" i="7" a="1"/>
  <c r="L117" i="7"/>
  <c r="L118" i="7" a="1"/>
  <c r="L118" i="7"/>
  <c r="L119" i="7" a="1"/>
  <c r="L119" i="7"/>
  <c r="L120" i="7" a="1"/>
  <c r="L120" i="7"/>
  <c r="L121" i="7" a="1"/>
  <c r="L121" i="7"/>
  <c r="L122" i="7" a="1"/>
  <c r="L122" i="7"/>
  <c r="L123" i="7" a="1"/>
  <c r="L123" i="7"/>
  <c r="L124" i="7" a="1"/>
  <c r="L124" i="7"/>
  <c r="L125" i="7" a="1"/>
  <c r="L125" i="7"/>
  <c r="L126" i="7" a="1"/>
  <c r="L126" i="7"/>
  <c r="L127" i="7" a="1"/>
  <c r="L127" i="7"/>
  <c r="L128" i="7" a="1"/>
  <c r="L128" i="7"/>
  <c r="L129" i="7" a="1"/>
  <c r="L129" i="7"/>
  <c r="L130" i="7" a="1"/>
  <c r="L130" i="7"/>
  <c r="L131" i="7" a="1"/>
  <c r="L131" i="7"/>
  <c r="L132" i="7" a="1"/>
  <c r="L132" i="7"/>
  <c r="L133" i="7" a="1"/>
  <c r="L133" i="7"/>
  <c r="L134" i="7" a="1"/>
  <c r="L134" i="7"/>
  <c r="L135" i="7" a="1"/>
  <c r="L135" i="7"/>
  <c r="L136" i="7" a="1"/>
  <c r="L136" i="7"/>
  <c r="L137" i="7" a="1"/>
  <c r="L137" i="7"/>
  <c r="L138" i="7" a="1"/>
  <c r="L138" i="7"/>
  <c r="L139" i="7" a="1"/>
  <c r="L139" i="7"/>
  <c r="L140" i="7" a="1"/>
  <c r="L140" i="7"/>
  <c r="L141" i="7" a="1"/>
  <c r="L141" i="7"/>
  <c r="L142" i="7" a="1"/>
  <c r="L142" i="7"/>
  <c r="L143" i="7" a="1"/>
  <c r="L143" i="7"/>
  <c r="L144" i="7" a="1"/>
  <c r="L144" i="7"/>
  <c r="L145" i="7" a="1"/>
  <c r="L145" i="7"/>
  <c r="L146" i="7" a="1"/>
  <c r="L146" i="7"/>
  <c r="L147" i="7" a="1"/>
  <c r="L147" i="7"/>
  <c r="L148" i="7" a="1"/>
  <c r="L148" i="7"/>
  <c r="L149" i="7" a="1"/>
  <c r="L149" i="7"/>
  <c r="L150" i="7" a="1"/>
  <c r="L150" i="7"/>
  <c r="L151" i="7" a="1"/>
  <c r="L151" i="7"/>
  <c r="L152" i="7" a="1"/>
  <c r="L152" i="7"/>
  <c r="L153" i="7" a="1"/>
  <c r="L153" i="7"/>
  <c r="L154" i="7" a="1"/>
  <c r="L154" i="7"/>
  <c r="L155" i="7" a="1"/>
  <c r="L155" i="7"/>
  <c r="L156" i="7" a="1"/>
  <c r="L156" i="7"/>
  <c r="L157" i="7" a="1"/>
  <c r="L157" i="7"/>
  <c r="L158" i="7" a="1"/>
  <c r="L158" i="7"/>
  <c r="L159" i="7" a="1"/>
  <c r="L159" i="7"/>
  <c r="L160" i="7" a="1"/>
  <c r="L160" i="7"/>
  <c r="L161" i="7" a="1"/>
  <c r="L161" i="7"/>
  <c r="L162" i="7" a="1"/>
  <c r="L162" i="7"/>
  <c r="L163" i="7" a="1"/>
  <c r="L163" i="7"/>
  <c r="L164" i="7" a="1"/>
  <c r="L164" i="7"/>
  <c r="L165" i="7" a="1"/>
  <c r="L165" i="7"/>
  <c r="L166" i="7" a="1"/>
  <c r="L166" i="7"/>
  <c r="L167" i="7" a="1"/>
  <c r="L167" i="7"/>
  <c r="L168" i="7" a="1"/>
  <c r="L168" i="7"/>
  <c r="L169" i="7" a="1"/>
  <c r="L169" i="7"/>
  <c r="L170" i="7" a="1"/>
  <c r="L170" i="7"/>
  <c r="L171" i="7" a="1"/>
  <c r="L171" i="7"/>
  <c r="L172" i="7" a="1"/>
  <c r="L172" i="7"/>
  <c r="L173" i="7" a="1"/>
  <c r="L173" i="7"/>
  <c r="L174" i="7" a="1"/>
  <c r="L174" i="7"/>
  <c r="L175" i="7" a="1"/>
  <c r="L175" i="7"/>
  <c r="L176" i="7" a="1"/>
  <c r="L176" i="7"/>
  <c r="L177" i="7" a="1"/>
  <c r="L177" i="7"/>
  <c r="L178" i="7" a="1"/>
  <c r="L178" i="7"/>
  <c r="L179" i="7" a="1"/>
  <c r="L179" i="7"/>
  <c r="L180" i="7" a="1"/>
  <c r="L180" i="7"/>
  <c r="L181" i="7" a="1"/>
  <c r="L181" i="7"/>
  <c r="L182" i="7" a="1"/>
  <c r="L182" i="7"/>
  <c r="L183" i="7" a="1"/>
  <c r="L183" i="7"/>
  <c r="L184" i="7" a="1"/>
  <c r="L184" i="7"/>
  <c r="L185" i="7" a="1"/>
  <c r="L185" i="7"/>
  <c r="L186" i="7" a="1"/>
  <c r="L186" i="7"/>
  <c r="L187" i="7" a="1"/>
  <c r="L187" i="7"/>
  <c r="L188" i="7" a="1"/>
  <c r="L188" i="7"/>
  <c r="L189" i="7" a="1"/>
  <c r="L189" i="7"/>
  <c r="L190" i="7" a="1"/>
  <c r="L190" i="7"/>
  <c r="L191" i="7" a="1"/>
  <c r="L191" i="7"/>
  <c r="L192" i="7" a="1"/>
  <c r="L192" i="7"/>
  <c r="L193" i="7" a="1"/>
  <c r="L193" i="7"/>
  <c r="L194" i="7" a="1"/>
  <c r="L194" i="7"/>
  <c r="L195" i="7" a="1"/>
  <c r="L195" i="7"/>
  <c r="L196" i="7" a="1"/>
  <c r="L196" i="7"/>
  <c r="L197" i="7" a="1"/>
  <c r="L197" i="7"/>
  <c r="L198" i="7" a="1"/>
  <c r="L198" i="7"/>
  <c r="L199" i="7" a="1"/>
  <c r="L199" i="7"/>
  <c r="L200" i="7" a="1"/>
  <c r="L200" i="7"/>
  <c r="L201" i="7" a="1"/>
  <c r="L201" i="7"/>
  <c r="L202" i="7" a="1"/>
  <c r="L202" i="7"/>
  <c r="L203" i="7" a="1"/>
  <c r="L203" i="7"/>
  <c r="L204" i="7" a="1"/>
  <c r="L204" i="7"/>
  <c r="L205" i="7" a="1"/>
  <c r="L205" i="7"/>
  <c r="L206" i="7" a="1"/>
  <c r="L206" i="7"/>
  <c r="L207" i="7" a="1"/>
  <c r="L207" i="7" s="1"/>
  <c r="L208" i="7" a="1"/>
  <c r="L208" i="7"/>
  <c r="L209" i="7" a="1"/>
  <c r="L209" i="7" s="1"/>
  <c r="L210" i="7" a="1"/>
  <c r="L210" i="7"/>
  <c r="L211" i="7" a="1"/>
  <c r="L211" i="7" s="1"/>
  <c r="L212" i="7" a="1"/>
  <c r="L212" i="7" s="1"/>
  <c r="L213" i="7" a="1"/>
  <c r="L213" i="7" s="1"/>
  <c r="L214" i="7" a="1"/>
  <c r="L214" i="7"/>
  <c r="L215" i="7" a="1"/>
  <c r="L215" i="7" s="1"/>
  <c r="L216" i="7" a="1"/>
  <c r="L216" i="7"/>
  <c r="L217" i="7" a="1"/>
  <c r="L217" i="7" s="1"/>
  <c r="L218" i="7" a="1"/>
  <c r="L218" i="7" s="1"/>
  <c r="L219" i="7" a="1"/>
  <c r="L219" i="7" s="1"/>
  <c r="L220" i="7" a="1"/>
  <c r="L220" i="7" s="1"/>
  <c r="L221" i="7" a="1"/>
  <c r="L221" i="7" s="1"/>
  <c r="L222" i="7" a="1"/>
  <c r="L222" i="7"/>
  <c r="L223" i="7" a="1"/>
  <c r="L223" i="7" s="1"/>
  <c r="L224" i="7" a="1"/>
  <c r="L224" i="7"/>
  <c r="L225" i="7" a="1"/>
  <c r="L225" i="7" s="1"/>
  <c r="L226" i="7" a="1"/>
  <c r="L226" i="7" s="1"/>
  <c r="L227" i="7" a="1"/>
  <c r="L227" i="7" s="1"/>
  <c r="L228" i="7" a="1"/>
  <c r="L228" i="7" s="1"/>
  <c r="L229" i="7" a="1"/>
  <c r="L229" i="7" s="1"/>
  <c r="L230" i="7" a="1"/>
  <c r="L230" i="7"/>
  <c r="L231" i="7" a="1"/>
  <c r="L231" i="7" s="1"/>
  <c r="L232" i="7" a="1"/>
  <c r="L232" i="7"/>
  <c r="L233" i="7" a="1"/>
  <c r="L233" i="7" s="1"/>
  <c r="L234" i="7" a="1"/>
  <c r="L234" i="7" s="1"/>
  <c r="L235" i="7" a="1"/>
  <c r="L235" i="7" s="1"/>
  <c r="L236" i="7" a="1"/>
  <c r="L236" i="7" s="1"/>
  <c r="L237" i="7" a="1"/>
  <c r="L237" i="7" s="1"/>
  <c r="L238" i="7" a="1"/>
  <c r="L238" i="7"/>
  <c r="L239" i="7" a="1"/>
  <c r="L239" i="7" s="1"/>
  <c r="L240" i="7" a="1"/>
  <c r="L240" i="7"/>
  <c r="L241" i="7" a="1"/>
  <c r="L241" i="7" s="1"/>
  <c r="L242" i="7" a="1"/>
  <c r="L242" i="7" s="1"/>
  <c r="L243" i="7" a="1"/>
  <c r="L243" i="7" s="1"/>
  <c r="L244" i="7" a="1"/>
  <c r="L244" i="7" s="1"/>
  <c r="L245" i="7" a="1"/>
  <c r="L245" i="7" s="1"/>
  <c r="L246" i="7" a="1"/>
  <c r="L246" i="7"/>
  <c r="L247" i="7" a="1"/>
  <c r="L247" i="7" s="1"/>
  <c r="L248" i="7" a="1"/>
  <c r="L248" i="7"/>
  <c r="L249" i="7" a="1"/>
  <c r="L249" i="7" s="1"/>
  <c r="L250" i="7" a="1"/>
  <c r="L250" i="7" s="1"/>
  <c r="L251" i="7" a="1"/>
  <c r="L251" i="7" s="1"/>
  <c r="L252" i="7" a="1"/>
  <c r="L252" i="7" s="1"/>
  <c r="L253" i="7" a="1"/>
  <c r="L253" i="7" s="1"/>
  <c r="L254" i="7" a="1"/>
  <c r="L254" i="7"/>
  <c r="L255" i="7" a="1"/>
  <c r="L255" i="7" s="1"/>
  <c r="L256" i="7" a="1"/>
  <c r="L256" i="7"/>
  <c r="L257" i="7" a="1"/>
  <c r="L257" i="7" s="1"/>
  <c r="L258" i="7" a="1"/>
  <c r="L258" i="7" s="1"/>
  <c r="L259" i="7" a="1"/>
  <c r="L259" i="7" s="1"/>
  <c r="L260" i="7" a="1"/>
  <c r="L260" i="7" s="1"/>
  <c r="L261" i="7" a="1"/>
  <c r="L261" i="7" s="1"/>
  <c r="L262" i="7" a="1"/>
  <c r="L262" i="7"/>
  <c r="L263" i="7" a="1"/>
  <c r="L263" i="7" s="1"/>
  <c r="L264" i="7" a="1"/>
  <c r="L264" i="7"/>
  <c r="L265" i="7" a="1"/>
  <c r="L265" i="7" s="1"/>
  <c r="L266" i="7" a="1"/>
  <c r="L266" i="7" s="1"/>
  <c r="L267" i="7" a="1"/>
  <c r="L267" i="7" s="1"/>
  <c r="L268" i="7" a="1"/>
  <c r="L268" i="7" s="1"/>
  <c r="L269" i="7" a="1"/>
  <c r="L269" i="7" s="1"/>
  <c r="L270" i="7" a="1"/>
  <c r="L270" i="7"/>
  <c r="L271" i="7" a="1"/>
  <c r="L271" i="7" s="1"/>
  <c r="L272" i="7" a="1"/>
  <c r="L272" i="7"/>
  <c r="L273" i="7" a="1"/>
  <c r="L273" i="7" s="1"/>
  <c r="L274" i="7" a="1"/>
  <c r="L274" i="7" s="1"/>
  <c r="L275" i="7" a="1"/>
  <c r="L275" i="7" s="1"/>
  <c r="L276" i="7" a="1"/>
  <c r="L276" i="7" s="1"/>
  <c r="L277" i="7" a="1"/>
  <c r="L277" i="7" s="1"/>
  <c r="L278" i="7" a="1"/>
  <c r="L278" i="7"/>
  <c r="L279" i="7" a="1"/>
  <c r="L279" i="7" s="1"/>
  <c r="L280" i="7" a="1"/>
  <c r="L280" i="7"/>
  <c r="L281" i="7" a="1"/>
  <c r="L281" i="7" s="1"/>
  <c r="L282" i="7" a="1"/>
  <c r="L282" i="7" s="1"/>
  <c r="L283" i="7" a="1"/>
  <c r="L283" i="7" s="1"/>
  <c r="L284" i="7" a="1"/>
  <c r="L284" i="7" s="1"/>
  <c r="L285" i="7" a="1"/>
  <c r="L285" i="7" s="1"/>
  <c r="L286" i="7" a="1"/>
  <c r="L286" i="7"/>
  <c r="L287" i="7" a="1"/>
  <c r="L287" i="7" s="1"/>
  <c r="L288" i="7" a="1"/>
  <c r="L288" i="7"/>
  <c r="L289" i="7" a="1"/>
  <c r="L289" i="7" s="1"/>
  <c r="L290" i="7" a="1"/>
  <c r="L290" i="7" s="1"/>
  <c r="L291" i="7" a="1"/>
  <c r="L291" i="7" s="1"/>
  <c r="L292" i="7" a="1"/>
  <c r="L292" i="7" s="1"/>
  <c r="L293" i="7" a="1"/>
  <c r="L293" i="7" s="1"/>
  <c r="L294" i="7" a="1"/>
  <c r="L294" i="7"/>
  <c r="L295" i="7" a="1"/>
  <c r="L295" i="7" s="1"/>
  <c r="L296" i="7" a="1"/>
  <c r="L296" i="7"/>
  <c r="L297" i="7" a="1"/>
  <c r="L297" i="7" s="1"/>
  <c r="L298" i="7" a="1"/>
  <c r="L298" i="7" s="1"/>
  <c r="L299" i="7" a="1"/>
  <c r="L299" i="7" s="1"/>
  <c r="L300" i="7" a="1"/>
  <c r="L300" i="7" s="1"/>
  <c r="L301" i="7" a="1"/>
  <c r="L301" i="7" s="1"/>
  <c r="L302" i="7" a="1"/>
  <c r="L302" i="7"/>
  <c r="L303" i="7" a="1"/>
  <c r="L303" i="7" s="1"/>
  <c r="L304" i="7" a="1"/>
  <c r="L304" i="7"/>
  <c r="L305" i="7" a="1"/>
  <c r="L305" i="7" s="1"/>
  <c r="L306" i="7" a="1"/>
  <c r="L306" i="7" s="1"/>
  <c r="L307" i="7" a="1"/>
  <c r="L307" i="7" s="1"/>
  <c r="L308" i="7" a="1"/>
  <c r="L308" i="7" s="1"/>
  <c r="L309" i="7" a="1"/>
  <c r="L309" i="7" s="1"/>
  <c r="L310" i="7" a="1"/>
  <c r="L310" i="7"/>
  <c r="L311" i="7" a="1"/>
  <c r="L311" i="7" s="1"/>
  <c r="L312" i="7" a="1"/>
  <c r="L312" i="7"/>
  <c r="L313" i="7" a="1"/>
  <c r="L313" i="7" s="1"/>
  <c r="L314" i="7" a="1"/>
  <c r="L314" i="7" s="1"/>
  <c r="L315" i="7" a="1"/>
  <c r="L315" i="7" s="1"/>
  <c r="L316" i="7" a="1"/>
  <c r="L316" i="7" s="1"/>
  <c r="L317" i="7" a="1"/>
  <c r="L317" i="7" s="1"/>
  <c r="L318" i="7" a="1"/>
  <c r="L318" i="7"/>
  <c r="L319" i="7" a="1"/>
  <c r="L319" i="7" s="1"/>
  <c r="L320" i="7" a="1"/>
  <c r="L320" i="7"/>
  <c r="L321" i="7" a="1"/>
  <c r="L321" i="7" s="1"/>
  <c r="L322" i="7" a="1"/>
  <c r="L322" i="7" s="1"/>
  <c r="L323" i="7" a="1"/>
  <c r="L323" i="7" s="1"/>
  <c r="L324" i="7" a="1"/>
  <c r="L324" i="7" s="1"/>
  <c r="L325" i="7" a="1"/>
  <c r="L325" i="7" s="1"/>
  <c r="L326" i="7" a="1"/>
  <c r="L326" i="7"/>
  <c r="L327" i="7" a="1"/>
  <c r="L327" i="7" s="1"/>
  <c r="L328" i="7" a="1"/>
  <c r="L328" i="7"/>
  <c r="L329" i="7" a="1"/>
  <c r="L329" i="7" s="1"/>
  <c r="L330" i="7" a="1"/>
  <c r="L330" i="7" s="1"/>
  <c r="L331" i="7" a="1"/>
  <c r="L331" i="7" s="1"/>
  <c r="L332" i="7" a="1"/>
  <c r="L332" i="7" s="1"/>
  <c r="L333" i="7" a="1"/>
  <c r="L333" i="7" s="1"/>
  <c r="L334" i="7" a="1"/>
  <c r="L334" i="7"/>
  <c r="L335" i="7" a="1"/>
  <c r="L335" i="7" s="1"/>
  <c r="L336" i="7" a="1"/>
  <c r="L336" i="7"/>
  <c r="L337" i="7" a="1"/>
  <c r="L337" i="7" s="1"/>
  <c r="L338" i="7" a="1"/>
  <c r="L338" i="7" s="1"/>
  <c r="L339" i="7" a="1"/>
  <c r="L339" i="7" s="1"/>
  <c r="L340" i="7" a="1"/>
  <c r="L340" i="7" s="1"/>
  <c r="L341" i="7" a="1"/>
  <c r="L341" i="7" s="1"/>
  <c r="L342" i="7" a="1"/>
  <c r="L342" i="7"/>
  <c r="L343" i="7" a="1"/>
  <c r="L343" i="7" s="1"/>
  <c r="L344" i="7" a="1"/>
  <c r="L344" i="7"/>
  <c r="L345" i="7" a="1"/>
  <c r="L345" i="7" s="1"/>
  <c r="L346" i="7" a="1"/>
  <c r="L346" i="7" s="1"/>
  <c r="L347" i="7" a="1"/>
  <c r="L347" i="7" s="1"/>
  <c r="L348" i="7" a="1"/>
  <c r="L348" i="7" s="1"/>
  <c r="L349" i="7" a="1"/>
  <c r="L349" i="7" s="1"/>
  <c r="L350" i="7" a="1"/>
  <c r="L350" i="7"/>
  <c r="L351" i="7" a="1"/>
  <c r="L351" i="7" s="1"/>
  <c r="L352" i="7" a="1"/>
  <c r="L352" i="7"/>
  <c r="L353" i="7" a="1"/>
  <c r="L353" i="7" s="1"/>
  <c r="L354" i="7" a="1"/>
  <c r="L354" i="7" s="1"/>
  <c r="L355" i="7" a="1"/>
  <c r="L355" i="7" s="1"/>
  <c r="L356" i="7" a="1"/>
  <c r="L356" i="7" s="1"/>
  <c r="L357" i="7" a="1"/>
  <c r="L357" i="7" s="1"/>
  <c r="L358" i="7" a="1"/>
  <c r="L358" i="7"/>
  <c r="L359" i="7" a="1"/>
  <c r="L359" i="7" s="1"/>
  <c r="L360" i="7" a="1"/>
  <c r="L360" i="7"/>
  <c r="L361" i="7" a="1"/>
  <c r="L361" i="7" s="1"/>
  <c r="L362" i="7" a="1"/>
  <c r="L362" i="7" s="1"/>
  <c r="L363" i="7" a="1"/>
  <c r="L363" i="7" s="1"/>
  <c r="L364" i="7" a="1"/>
  <c r="L364" i="7" s="1"/>
  <c r="L365" i="7" a="1"/>
  <c r="L365" i="7" s="1"/>
  <c r="L366" i="7" a="1"/>
  <c r="L366" i="7"/>
  <c r="L367" i="7" a="1"/>
  <c r="L367" i="7" s="1"/>
  <c r="L368" i="7" a="1"/>
  <c r="L368" i="7"/>
  <c r="L369" i="7" a="1"/>
  <c r="L369" i="7" s="1"/>
  <c r="L370" i="7" a="1"/>
  <c r="L370" i="7" s="1"/>
  <c r="L371" i="7" a="1"/>
  <c r="L371" i="7" s="1"/>
  <c r="L372" i="7" a="1"/>
  <c r="L372" i="7" s="1"/>
  <c r="L373" i="7" a="1"/>
  <c r="L373" i="7" s="1"/>
  <c r="L374" i="7" a="1"/>
  <c r="L374" i="7"/>
  <c r="L375" i="7" a="1"/>
  <c r="L375" i="7" s="1"/>
  <c r="L376" i="7" a="1"/>
  <c r="L376" i="7"/>
  <c r="L377" i="7" a="1"/>
  <c r="L377" i="7" s="1"/>
  <c r="L378" i="7" a="1"/>
  <c r="L378" i="7"/>
  <c r="L379" i="7" a="1"/>
  <c r="L379" i="7" s="1"/>
  <c r="L380" i="7" a="1"/>
  <c r="L380" i="7"/>
  <c r="L381" i="7" a="1"/>
  <c r="L381" i="7" s="1"/>
  <c r="L382" i="7" a="1"/>
  <c r="L382" i="7"/>
  <c r="L383" i="7" a="1"/>
  <c r="L383" i="7" s="1"/>
  <c r="L384" i="7" a="1"/>
  <c r="L384" i="7"/>
  <c r="L385" i="7" a="1"/>
  <c r="L385" i="7" s="1"/>
  <c r="L386" i="7" a="1"/>
  <c r="L386" i="7"/>
  <c r="L387" i="7" a="1"/>
  <c r="L387" i="7" s="1"/>
  <c r="L388" i="7" a="1"/>
  <c r="L388" i="7"/>
  <c r="L389" i="7" a="1"/>
  <c r="L389" i="7" s="1"/>
  <c r="L390" i="7" a="1"/>
  <c r="L390" i="7"/>
  <c r="L391" i="7" a="1"/>
  <c r="L391" i="7" s="1"/>
  <c r="L392" i="7" a="1"/>
  <c r="L392" i="7"/>
  <c r="L393" i="7" a="1"/>
  <c r="L393" i="7" s="1"/>
  <c r="L394" i="7" a="1"/>
  <c r="L394" i="7"/>
  <c r="L395" i="7" a="1"/>
  <c r="L395" i="7" s="1"/>
  <c r="L396" i="7" a="1"/>
  <c r="L396" i="7"/>
  <c r="L397" i="7" a="1"/>
  <c r="L397" i="7" s="1"/>
  <c r="L398" i="7" a="1"/>
  <c r="L398" i="7"/>
  <c r="L399" i="7" a="1"/>
  <c r="L399" i="7" s="1"/>
  <c r="L400" i="7" a="1"/>
  <c r="L400" i="7"/>
  <c r="L401" i="7" a="1"/>
  <c r="L401" i="7" s="1"/>
  <c r="L2" i="7" a="1"/>
  <c r="L2" i="7" s="1"/>
  <c r="E2" i="6"/>
  <c r="D2" i="6"/>
  <c r="C2" i="6"/>
  <c r="B2" i="6"/>
  <c r="A2" i="6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<sst xmlns="http://schemas.openxmlformats.org/spreadsheetml/2006/main" count="26209" uniqueCount="86">
  <si>
    <t>Order_ID</t>
  </si>
  <si>
    <t>Customer</t>
  </si>
  <si>
    <t>City</t>
  </si>
  <si>
    <t>Category</t>
  </si>
  <si>
    <t>Product</t>
  </si>
  <si>
    <t>Quantity</t>
  </si>
  <si>
    <t>Unit_Price</t>
  </si>
  <si>
    <t>Discount_%</t>
  </si>
  <si>
    <t>Order_Date</t>
  </si>
  <si>
    <t>Delivery_Date</t>
  </si>
  <si>
    <t>Salesperson</t>
  </si>
  <si>
    <t>Ritesh</t>
  </si>
  <si>
    <t>Nashik</t>
  </si>
  <si>
    <t>Stationery</t>
  </si>
  <si>
    <t>Notebook</t>
  </si>
  <si>
    <t>Kavya</t>
  </si>
  <si>
    <t>Pooja</t>
  </si>
  <si>
    <t>Solapur</t>
  </si>
  <si>
    <t>Furniture</t>
  </si>
  <si>
    <t>Desk</t>
  </si>
  <si>
    <t>Amit</t>
  </si>
  <si>
    <t>Meera</t>
  </si>
  <si>
    <t>Satara</t>
  </si>
  <si>
    <t>Table</t>
  </si>
  <si>
    <t>Rahul</t>
  </si>
  <si>
    <t>Aurangabad</t>
  </si>
  <si>
    <t>Vikram</t>
  </si>
  <si>
    <t>Arjun</t>
  </si>
  <si>
    <t>Chair</t>
  </si>
  <si>
    <t>Priya</t>
  </si>
  <si>
    <t>Neha</t>
  </si>
  <si>
    <t>Kolhapur</t>
  </si>
  <si>
    <t>Asha</t>
  </si>
  <si>
    <t>Nagpur</t>
  </si>
  <si>
    <t>Electronics</t>
  </si>
  <si>
    <t>Printer</t>
  </si>
  <si>
    <t>Stapler</t>
  </si>
  <si>
    <t>Pen Pack</t>
  </si>
  <si>
    <t>Mumbai</t>
  </si>
  <si>
    <t>Keyboard</t>
  </si>
  <si>
    <t>Deepak</t>
  </si>
  <si>
    <t>Headset</t>
  </si>
  <si>
    <t>Nisha</t>
  </si>
  <si>
    <t>Pune</t>
  </si>
  <si>
    <t>Bookshelf</t>
  </si>
  <si>
    <t>Monitor</t>
  </si>
  <si>
    <t>Kiran</t>
  </si>
  <si>
    <t>Yash</t>
  </si>
  <si>
    <t>Nitin</t>
  </si>
  <si>
    <t>Ajay</t>
  </si>
  <si>
    <t>Marker</t>
  </si>
  <si>
    <t>Suresh</t>
  </si>
  <si>
    <t>Komal</t>
  </si>
  <si>
    <t>Diary</t>
  </si>
  <si>
    <t>Manoj</t>
  </si>
  <si>
    <t>Sneha</t>
  </si>
  <si>
    <t>Cabinet</t>
  </si>
  <si>
    <t>Sara</t>
  </si>
  <si>
    <t>Rohan</t>
  </si>
  <si>
    <t>Anita</t>
  </si>
  <si>
    <t>Laptop</t>
  </si>
  <si>
    <t>Mouse</t>
  </si>
  <si>
    <t>TOTAL QUANTITY SOLD</t>
  </si>
  <si>
    <t>AVERAGE UNIT PRICE</t>
  </si>
  <si>
    <t>MAX UNIT PRICE</t>
  </si>
  <si>
    <t>MIN UNIT PRICE</t>
  </si>
  <si>
    <t>TOTAL NO OF ORDERS</t>
  </si>
  <si>
    <t>Order Type</t>
  </si>
  <si>
    <t>Discount Eligibility</t>
  </si>
  <si>
    <t>Priority Order</t>
  </si>
  <si>
    <t>Final Amount</t>
  </si>
  <si>
    <t>Sales Grade</t>
  </si>
  <si>
    <t>Customer_Product</t>
  </si>
  <si>
    <t>Customer Code</t>
  </si>
  <si>
    <t>Product_Code</t>
  </si>
  <si>
    <t>Short Product Name</t>
  </si>
  <si>
    <t>Customer Name (Upper Case)</t>
  </si>
  <si>
    <t>Product Name (Lower Case)</t>
  </si>
  <si>
    <t>Product Name (lenth)</t>
  </si>
  <si>
    <t>Current Date</t>
  </si>
  <si>
    <t>Current Date &amp; Time</t>
  </si>
  <si>
    <t>Delivery_Days</t>
  </si>
  <si>
    <t>FY_START_DATE</t>
  </si>
  <si>
    <t>Total_sales</t>
  </si>
  <si>
    <t>Highest Final Amount with Customer</t>
  </si>
  <si>
    <t>Highest Number of Order with 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</si>
</sst>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sz val="11"/>
      <name val="Aptos Narrow"/>
      <family val="2"/>
      <scheme val="minor"/>
    </font>
    <font>
      <b/>
      <sz val="11"/>
      <color rgb="FFE40000"/>
      <name val="Calibri"/>
      <family val="2"/>
    </font>
    <font>
      <b/>
      <sz val="11"/>
      <color rgb="FFE40000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749992370372631"/>
        <bgColor indexed="64"/>
      </patternFill>
    </fill>
  </fills>
  <borders count="10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/>
      <bottom/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medium">
        <color rgb="FFCCCCCC"/>
      </left>
      <right/>
      <top/>
      <bottom style="medium">
        <color rgb="FFCCCCCC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right" wrapText="1"/>
    </xf>
    <xf numFmtId="14" fontId="1" fillId="0" borderId="1" xfId="0" applyNumberFormat="1" applyFont="1" applyBorder="1" applyAlignment="1">
      <alignment horizontal="right" wrapText="1"/>
    </xf>
    <xf numFmtId="0" fontId="1" fillId="0" borderId="1" xfId="0" applyFont="1" applyBorder="1" applyAlignment="1">
      <alignment horizontal="center" vertical="center" wrapText="1"/>
    </xf>
    <xf numFmtId="14" fontId="1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0" fillId="0" borderId="2" xfId="0" applyBorder="1"/>
    <xf numFmtId="0" fontId="0" fillId="0" borderId="0" xfId="0" applyAlignment="1">
      <alignment horizontal="center"/>
    </xf>
    <xf numFmtId="0" fontId="1" fillId="0" borderId="4" xfId="0" applyFont="1" applyBorder="1" applyAlignment="1">
      <alignment horizontal="center" vertical="center" wrapText="1"/>
    </xf>
    <xf numFmtId="0" fontId="0" fillId="4" borderId="2" xfId="0" applyFill="1" applyBorder="1" applyAlignment="1">
      <alignment horizontal="center"/>
    </xf>
    <xf numFmtId="0" fontId="0" fillId="7" borderId="2" xfId="0" applyFill="1" applyBorder="1" applyAlignment="1">
      <alignment horizontal="center"/>
    </xf>
    <xf numFmtId="0" fontId="0" fillId="6" borderId="2" xfId="0" applyFill="1" applyBorder="1" applyAlignment="1">
      <alignment horizontal="center"/>
    </xf>
    <xf numFmtId="0" fontId="0" fillId="5" borderId="2" xfId="0" applyFill="1" applyBorder="1"/>
    <xf numFmtId="0" fontId="0" fillId="6" borderId="2" xfId="0" applyFill="1" applyBorder="1"/>
    <xf numFmtId="0" fontId="0" fillId="4" borderId="2" xfId="0" applyFill="1" applyBorder="1"/>
    <xf numFmtId="0" fontId="0" fillId="3" borderId="2" xfId="0" applyFill="1" applyBorder="1"/>
    <xf numFmtId="0" fontId="0" fillId="3" borderId="2" xfId="0" applyFill="1" applyBorder="1" applyAlignment="1">
      <alignment horizontal="center" vertical="center"/>
    </xf>
    <xf numFmtId="14" fontId="0" fillId="3" borderId="0" xfId="0" applyNumberFormat="1" applyFill="1"/>
    <xf numFmtId="22" fontId="0" fillId="3" borderId="0" xfId="0" applyNumberFormat="1" applyFill="1"/>
    <xf numFmtId="0" fontId="2" fillId="0" borderId="2" xfId="0" applyFont="1" applyBorder="1"/>
    <xf numFmtId="0" fontId="2" fillId="0" borderId="0" xfId="0" applyFont="1"/>
    <xf numFmtId="0" fontId="0" fillId="8" borderId="2" xfId="0" applyFill="1" applyBorder="1"/>
    <xf numFmtId="0" fontId="2" fillId="9" borderId="2" xfId="0" applyFont="1" applyFill="1" applyBorder="1"/>
    <xf numFmtId="0" fontId="1" fillId="0" borderId="7" xfId="0" applyFont="1" applyBorder="1" applyAlignment="1">
      <alignment horizontal="center" vertical="center" wrapText="1"/>
    </xf>
    <xf numFmtId="14" fontId="1" fillId="0" borderId="7" xfId="0" applyNumberFormat="1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2" fillId="0" borderId="9" xfId="0" applyFont="1" applyBorder="1"/>
    <xf numFmtId="0" fontId="1" fillId="9" borderId="2" xfId="0" applyFont="1" applyFill="1" applyBorder="1" applyAlignment="1">
      <alignment horizontal="center" vertical="center" wrapText="1"/>
    </xf>
    <xf numFmtId="14" fontId="1" fillId="9" borderId="2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4" fillId="2" borderId="2" xfId="0" applyFont="1" applyFill="1" applyBorder="1"/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4" fillId="2" borderId="0" xfId="0" applyFont="1" applyFill="1"/>
    <xf numFmtId="0" fontId="3" fillId="2" borderId="5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08A215-7644-4862-BD13-6C5E041EFDB6}">
  <dimension ref="A1:K401"/>
  <sheetViews>
    <sheetView workbookViewId="0">
      <selection activeCell="H16" sqref="H16"/>
    </sheetView>
  </sheetViews>
  <sheetFormatPr defaultRowHeight="14.5" x14ac:dyDescent="0.35"/>
  <cols>
    <col min="1" max="1" width="8.54296875" bestFit="1" customWidth="1"/>
    <col min="2" max="2" width="8.1796875" bestFit="1" customWidth="1"/>
    <col min="3" max="3" width="8.36328125" bestFit="1" customWidth="1"/>
    <col min="4" max="4" width="8.54296875" bestFit="1" customWidth="1"/>
    <col min="6" max="6" width="8" bestFit="1" customWidth="1"/>
    <col min="7" max="7" width="8.26953125" bestFit="1" customWidth="1"/>
    <col min="8" max="8" width="8.08984375" bestFit="1" customWidth="1"/>
    <col min="9" max="10" width="10.08984375" bestFit="1" customWidth="1"/>
    <col min="11" max="11" width="10.81640625" bestFit="1" customWidth="1"/>
  </cols>
  <sheetData>
    <row r="1" spans="1:11" ht="29.5" thickBo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</row>
    <row r="2" spans="1:11" ht="29.5" thickBot="1" x14ac:dyDescent="0.4">
      <c r="A2" s="3">
        <v>1001</v>
      </c>
      <c r="B2" s="1" t="s">
        <v>11</v>
      </c>
      <c r="C2" s="1" t="s">
        <v>12</v>
      </c>
      <c r="D2" s="1" t="s">
        <v>13</v>
      </c>
      <c r="E2" s="1" t="s">
        <v>14</v>
      </c>
      <c r="F2" s="3">
        <v>3</v>
      </c>
      <c r="G2" s="3">
        <v>222</v>
      </c>
      <c r="H2" s="3">
        <v>15</v>
      </c>
      <c r="I2" s="4">
        <v>46081</v>
      </c>
      <c r="J2" s="4">
        <v>46083</v>
      </c>
      <c r="K2" s="1" t="s">
        <v>15</v>
      </c>
    </row>
    <row r="3" spans="1:11" ht="15" thickBot="1" x14ac:dyDescent="0.4">
      <c r="A3" s="3">
        <v>1002</v>
      </c>
      <c r="B3" s="1" t="s">
        <v>16</v>
      </c>
      <c r="C3" s="1" t="s">
        <v>17</v>
      </c>
      <c r="D3" s="1" t="s">
        <v>18</v>
      </c>
      <c r="E3" s="1" t="s">
        <v>19</v>
      </c>
      <c r="F3" s="3">
        <v>7</v>
      </c>
      <c r="G3" s="3">
        <v>8448</v>
      </c>
      <c r="H3" s="3">
        <v>12</v>
      </c>
      <c r="I3" s="4">
        <v>46174</v>
      </c>
      <c r="J3" s="4">
        <v>46179</v>
      </c>
      <c r="K3" s="1" t="s">
        <v>20</v>
      </c>
    </row>
    <row r="4" spans="1:11" ht="15" thickBot="1" x14ac:dyDescent="0.4">
      <c r="A4" s="3">
        <v>1003</v>
      </c>
      <c r="B4" s="1" t="s">
        <v>21</v>
      </c>
      <c r="C4" s="1" t="s">
        <v>22</v>
      </c>
      <c r="D4" s="1" t="s">
        <v>18</v>
      </c>
      <c r="E4" s="1" t="s">
        <v>23</v>
      </c>
      <c r="F4" s="3">
        <v>20</v>
      </c>
      <c r="G4" s="3">
        <v>2123</v>
      </c>
      <c r="H4" s="3">
        <v>15</v>
      </c>
      <c r="I4" s="4">
        <v>46183</v>
      </c>
      <c r="J4" s="4">
        <v>46192</v>
      </c>
      <c r="K4" s="1" t="s">
        <v>24</v>
      </c>
    </row>
    <row r="5" spans="1:11" ht="29.5" thickBot="1" x14ac:dyDescent="0.4">
      <c r="A5" s="3">
        <v>1004</v>
      </c>
      <c r="B5" s="1" t="s">
        <v>16</v>
      </c>
      <c r="C5" s="1" t="s">
        <v>25</v>
      </c>
      <c r="D5" s="1" t="s">
        <v>18</v>
      </c>
      <c r="E5" s="1" t="s">
        <v>23</v>
      </c>
      <c r="F5" s="3">
        <v>16</v>
      </c>
      <c r="G5" s="3">
        <v>11739</v>
      </c>
      <c r="H5" s="3">
        <v>12</v>
      </c>
      <c r="I5" s="4">
        <v>46034</v>
      </c>
      <c r="J5" s="4">
        <v>46040</v>
      </c>
      <c r="K5" s="1" t="s">
        <v>20</v>
      </c>
    </row>
    <row r="6" spans="1:11" ht="29.5" thickBot="1" x14ac:dyDescent="0.4">
      <c r="A6" s="3">
        <v>1005</v>
      </c>
      <c r="B6" s="1" t="s">
        <v>26</v>
      </c>
      <c r="C6" s="1" t="s">
        <v>17</v>
      </c>
      <c r="D6" s="1" t="s">
        <v>13</v>
      </c>
      <c r="E6" s="1" t="s">
        <v>14</v>
      </c>
      <c r="F6" s="3">
        <v>18</v>
      </c>
      <c r="G6" s="3">
        <v>70</v>
      </c>
      <c r="H6" s="3">
        <v>0</v>
      </c>
      <c r="I6" s="4">
        <v>46171</v>
      </c>
      <c r="J6" s="4">
        <v>46179</v>
      </c>
      <c r="K6" s="1" t="s">
        <v>24</v>
      </c>
    </row>
    <row r="7" spans="1:11" ht="29.5" thickBot="1" x14ac:dyDescent="0.4">
      <c r="A7" s="3">
        <v>1006</v>
      </c>
      <c r="B7" s="1" t="s">
        <v>27</v>
      </c>
      <c r="C7" s="1" t="s">
        <v>25</v>
      </c>
      <c r="D7" s="1" t="s">
        <v>18</v>
      </c>
      <c r="E7" s="1" t="s">
        <v>28</v>
      </c>
      <c r="F7" s="3">
        <v>3</v>
      </c>
      <c r="G7" s="3">
        <v>2714</v>
      </c>
      <c r="H7" s="3">
        <v>5</v>
      </c>
      <c r="I7" s="4">
        <v>46055</v>
      </c>
      <c r="J7" s="4">
        <v>46062</v>
      </c>
      <c r="K7" s="1" t="s">
        <v>29</v>
      </c>
    </row>
    <row r="8" spans="1:11" ht="29.5" thickBot="1" x14ac:dyDescent="0.4">
      <c r="A8" s="3">
        <v>1007</v>
      </c>
      <c r="B8" s="1" t="s">
        <v>21</v>
      </c>
      <c r="C8" s="1" t="s">
        <v>22</v>
      </c>
      <c r="D8" s="1" t="s">
        <v>13</v>
      </c>
      <c r="E8" s="1" t="s">
        <v>14</v>
      </c>
      <c r="F8" s="3">
        <v>19</v>
      </c>
      <c r="G8" s="3">
        <v>149</v>
      </c>
      <c r="H8" s="3">
        <v>7</v>
      </c>
      <c r="I8" s="4">
        <v>46162</v>
      </c>
      <c r="J8" s="4">
        <v>46168</v>
      </c>
      <c r="K8" s="1" t="s">
        <v>24</v>
      </c>
    </row>
    <row r="9" spans="1:11" ht="15" thickBot="1" x14ac:dyDescent="0.4">
      <c r="A9" s="3">
        <v>1008</v>
      </c>
      <c r="B9" s="1" t="s">
        <v>30</v>
      </c>
      <c r="C9" s="1" t="s">
        <v>31</v>
      </c>
      <c r="D9" s="1" t="s">
        <v>18</v>
      </c>
      <c r="E9" s="1" t="s">
        <v>28</v>
      </c>
      <c r="F9" s="3">
        <v>1</v>
      </c>
      <c r="G9" s="3">
        <v>1134</v>
      </c>
      <c r="H9" s="3">
        <v>0</v>
      </c>
      <c r="I9" s="4">
        <v>46033</v>
      </c>
      <c r="J9" s="4">
        <v>46041</v>
      </c>
      <c r="K9" s="1" t="s">
        <v>24</v>
      </c>
    </row>
    <row r="10" spans="1:11" ht="29.5" thickBot="1" x14ac:dyDescent="0.4">
      <c r="A10" s="3">
        <v>1009</v>
      </c>
      <c r="B10" s="1" t="s">
        <v>32</v>
      </c>
      <c r="C10" s="1" t="s">
        <v>33</v>
      </c>
      <c r="D10" s="1" t="s">
        <v>34</v>
      </c>
      <c r="E10" s="1" t="s">
        <v>35</v>
      </c>
      <c r="F10" s="3">
        <v>10</v>
      </c>
      <c r="G10" s="3">
        <v>40671</v>
      </c>
      <c r="H10" s="3">
        <v>12</v>
      </c>
      <c r="I10" s="4">
        <v>46183</v>
      </c>
      <c r="J10" s="4">
        <v>46193</v>
      </c>
      <c r="K10" s="1" t="s">
        <v>24</v>
      </c>
    </row>
    <row r="11" spans="1:11" ht="29.5" thickBot="1" x14ac:dyDescent="0.4">
      <c r="A11" s="3">
        <v>1010</v>
      </c>
      <c r="B11" s="1" t="s">
        <v>11</v>
      </c>
      <c r="C11" s="1" t="s">
        <v>17</v>
      </c>
      <c r="D11" s="1" t="s">
        <v>13</v>
      </c>
      <c r="E11" s="1" t="s">
        <v>36</v>
      </c>
      <c r="F11" s="3">
        <v>14</v>
      </c>
      <c r="G11" s="3">
        <v>470</v>
      </c>
      <c r="H11" s="3">
        <v>5</v>
      </c>
      <c r="I11" s="4">
        <v>46062</v>
      </c>
      <c r="J11" s="4">
        <v>46068</v>
      </c>
      <c r="K11" s="1" t="s">
        <v>15</v>
      </c>
    </row>
    <row r="12" spans="1:11" ht="29.5" thickBot="1" x14ac:dyDescent="0.4">
      <c r="A12" s="3">
        <v>1011</v>
      </c>
      <c r="B12" s="1" t="s">
        <v>11</v>
      </c>
      <c r="C12" s="1" t="s">
        <v>17</v>
      </c>
      <c r="D12" s="1" t="s">
        <v>13</v>
      </c>
      <c r="E12" s="1" t="s">
        <v>37</v>
      </c>
      <c r="F12" s="3">
        <v>14</v>
      </c>
      <c r="G12" s="3">
        <v>88</v>
      </c>
      <c r="H12" s="3">
        <v>12</v>
      </c>
      <c r="I12" s="4">
        <v>46161</v>
      </c>
      <c r="J12" s="4">
        <v>46163</v>
      </c>
      <c r="K12" s="1" t="s">
        <v>15</v>
      </c>
    </row>
    <row r="13" spans="1:11" ht="29.5" thickBot="1" x14ac:dyDescent="0.4">
      <c r="A13" s="3">
        <v>1012</v>
      </c>
      <c r="B13" s="1" t="s">
        <v>26</v>
      </c>
      <c r="C13" s="1" t="s">
        <v>38</v>
      </c>
      <c r="D13" s="1" t="s">
        <v>34</v>
      </c>
      <c r="E13" s="1" t="s">
        <v>39</v>
      </c>
      <c r="F13" s="3">
        <v>3</v>
      </c>
      <c r="G13" s="3">
        <v>64615</v>
      </c>
      <c r="H13" s="3">
        <v>10</v>
      </c>
      <c r="I13" s="4">
        <v>46086</v>
      </c>
      <c r="J13" s="4">
        <v>46095</v>
      </c>
      <c r="K13" s="1" t="s">
        <v>29</v>
      </c>
    </row>
    <row r="14" spans="1:11" ht="29.5" thickBot="1" x14ac:dyDescent="0.4">
      <c r="A14" s="3">
        <v>1013</v>
      </c>
      <c r="B14" s="1" t="s">
        <v>16</v>
      </c>
      <c r="C14" s="1" t="s">
        <v>31</v>
      </c>
      <c r="D14" s="1" t="s">
        <v>13</v>
      </c>
      <c r="E14" s="1" t="s">
        <v>36</v>
      </c>
      <c r="F14" s="3">
        <v>17</v>
      </c>
      <c r="G14" s="3">
        <v>459</v>
      </c>
      <c r="H14" s="3">
        <v>12</v>
      </c>
      <c r="I14" s="4">
        <v>46095</v>
      </c>
      <c r="J14" s="4">
        <v>46105</v>
      </c>
      <c r="K14" s="1" t="s">
        <v>29</v>
      </c>
    </row>
    <row r="15" spans="1:11" ht="29.5" thickBot="1" x14ac:dyDescent="0.4">
      <c r="A15" s="3">
        <v>1014</v>
      </c>
      <c r="B15" s="1" t="s">
        <v>40</v>
      </c>
      <c r="C15" s="1" t="s">
        <v>17</v>
      </c>
      <c r="D15" s="1" t="s">
        <v>34</v>
      </c>
      <c r="E15" s="1" t="s">
        <v>41</v>
      </c>
      <c r="F15" s="3">
        <v>19</v>
      </c>
      <c r="G15" s="3">
        <v>53683</v>
      </c>
      <c r="H15" s="3">
        <v>12</v>
      </c>
      <c r="I15" s="4">
        <v>46129</v>
      </c>
      <c r="J15" s="4">
        <v>46134</v>
      </c>
      <c r="K15" s="1" t="s">
        <v>29</v>
      </c>
    </row>
    <row r="16" spans="1:11" ht="29.5" thickBot="1" x14ac:dyDescent="0.4">
      <c r="A16" s="3">
        <v>1015</v>
      </c>
      <c r="B16" s="1" t="s">
        <v>42</v>
      </c>
      <c r="C16" s="1" t="s">
        <v>43</v>
      </c>
      <c r="D16" s="1" t="s">
        <v>18</v>
      </c>
      <c r="E16" s="1" t="s">
        <v>44</v>
      </c>
      <c r="F16" s="3">
        <v>11</v>
      </c>
      <c r="G16" s="3">
        <v>14511</v>
      </c>
      <c r="H16" s="3">
        <v>2</v>
      </c>
      <c r="I16" s="4">
        <v>46175</v>
      </c>
      <c r="J16" s="4">
        <v>46185</v>
      </c>
      <c r="K16" s="1" t="s">
        <v>20</v>
      </c>
    </row>
    <row r="17" spans="1:11" ht="29.5" thickBot="1" x14ac:dyDescent="0.4">
      <c r="A17" s="3">
        <v>1016</v>
      </c>
      <c r="B17" s="1" t="s">
        <v>32</v>
      </c>
      <c r="C17" s="1" t="s">
        <v>33</v>
      </c>
      <c r="D17" s="1" t="s">
        <v>34</v>
      </c>
      <c r="E17" s="1" t="s">
        <v>45</v>
      </c>
      <c r="F17" s="3">
        <v>16</v>
      </c>
      <c r="G17" s="3">
        <v>30234</v>
      </c>
      <c r="H17" s="3">
        <v>15</v>
      </c>
      <c r="I17" s="4">
        <v>46137</v>
      </c>
      <c r="J17" s="4">
        <v>46140</v>
      </c>
      <c r="K17" s="1" t="s">
        <v>24</v>
      </c>
    </row>
    <row r="18" spans="1:11" ht="29.5" thickBot="1" x14ac:dyDescent="0.4">
      <c r="A18" s="3">
        <v>1017</v>
      </c>
      <c r="B18" s="1" t="s">
        <v>46</v>
      </c>
      <c r="C18" s="1" t="s">
        <v>38</v>
      </c>
      <c r="D18" s="1" t="s">
        <v>13</v>
      </c>
      <c r="E18" s="1" t="s">
        <v>36</v>
      </c>
      <c r="F18" s="3">
        <v>8</v>
      </c>
      <c r="G18" s="3">
        <v>179</v>
      </c>
      <c r="H18" s="3">
        <v>15</v>
      </c>
      <c r="I18" s="4">
        <v>46082</v>
      </c>
      <c r="J18" s="4">
        <v>46084</v>
      </c>
      <c r="K18" s="1" t="s">
        <v>15</v>
      </c>
    </row>
    <row r="19" spans="1:11" ht="29.5" thickBot="1" x14ac:dyDescent="0.4">
      <c r="A19" s="3">
        <v>1018</v>
      </c>
      <c r="B19" s="1" t="s">
        <v>47</v>
      </c>
      <c r="C19" s="1" t="s">
        <v>25</v>
      </c>
      <c r="D19" s="1" t="s">
        <v>13</v>
      </c>
      <c r="E19" s="1" t="s">
        <v>14</v>
      </c>
      <c r="F19" s="3">
        <v>20</v>
      </c>
      <c r="G19" s="3">
        <v>301</v>
      </c>
      <c r="H19" s="3">
        <v>0</v>
      </c>
      <c r="I19" s="4">
        <v>46089</v>
      </c>
      <c r="J19" s="4">
        <v>46094</v>
      </c>
      <c r="K19" s="1" t="s">
        <v>29</v>
      </c>
    </row>
    <row r="20" spans="1:11" ht="29.5" thickBot="1" x14ac:dyDescent="0.4">
      <c r="A20" s="3">
        <v>1019</v>
      </c>
      <c r="B20" s="1" t="s">
        <v>11</v>
      </c>
      <c r="C20" s="1" t="s">
        <v>43</v>
      </c>
      <c r="D20" s="1" t="s">
        <v>34</v>
      </c>
      <c r="E20" s="1" t="s">
        <v>41</v>
      </c>
      <c r="F20" s="3">
        <v>18</v>
      </c>
      <c r="G20" s="3">
        <v>45652</v>
      </c>
      <c r="H20" s="3">
        <v>10</v>
      </c>
      <c r="I20" s="4">
        <v>46023</v>
      </c>
      <c r="J20" s="4">
        <v>46030</v>
      </c>
      <c r="K20" s="1" t="s">
        <v>20</v>
      </c>
    </row>
    <row r="21" spans="1:11" ht="15" thickBot="1" x14ac:dyDescent="0.4">
      <c r="A21" s="3">
        <v>1020</v>
      </c>
      <c r="B21" s="1" t="s">
        <v>46</v>
      </c>
      <c r="C21" s="1" t="s">
        <v>12</v>
      </c>
      <c r="D21" s="1" t="s">
        <v>18</v>
      </c>
      <c r="E21" s="1" t="s">
        <v>19</v>
      </c>
      <c r="F21" s="3">
        <v>5</v>
      </c>
      <c r="G21" s="3">
        <v>4582</v>
      </c>
      <c r="H21" s="3">
        <v>5</v>
      </c>
      <c r="I21" s="4">
        <v>46078</v>
      </c>
      <c r="J21" s="4">
        <v>46083</v>
      </c>
      <c r="K21" s="1" t="s">
        <v>15</v>
      </c>
    </row>
    <row r="22" spans="1:11" ht="29.5" thickBot="1" x14ac:dyDescent="0.4">
      <c r="A22" s="3">
        <v>1021</v>
      </c>
      <c r="B22" s="1" t="s">
        <v>48</v>
      </c>
      <c r="C22" s="1" t="s">
        <v>43</v>
      </c>
      <c r="D22" s="1" t="s">
        <v>13</v>
      </c>
      <c r="E22" s="1" t="s">
        <v>14</v>
      </c>
      <c r="F22" s="3">
        <v>3</v>
      </c>
      <c r="G22" s="3">
        <v>484</v>
      </c>
      <c r="H22" s="3">
        <v>2</v>
      </c>
      <c r="I22" s="4">
        <v>46144</v>
      </c>
      <c r="J22" s="4">
        <v>46148</v>
      </c>
      <c r="K22" s="1" t="s">
        <v>24</v>
      </c>
    </row>
    <row r="23" spans="1:11" ht="29.5" thickBot="1" x14ac:dyDescent="0.4">
      <c r="A23" s="3">
        <v>1022</v>
      </c>
      <c r="B23" s="1" t="s">
        <v>26</v>
      </c>
      <c r="C23" s="1" t="s">
        <v>17</v>
      </c>
      <c r="D23" s="1" t="s">
        <v>34</v>
      </c>
      <c r="E23" s="1" t="s">
        <v>45</v>
      </c>
      <c r="F23" s="3">
        <v>15</v>
      </c>
      <c r="G23" s="3">
        <v>11596</v>
      </c>
      <c r="H23" s="3">
        <v>0</v>
      </c>
      <c r="I23" s="4">
        <v>46117</v>
      </c>
      <c r="J23" s="4">
        <v>46121</v>
      </c>
      <c r="K23" s="1" t="s">
        <v>29</v>
      </c>
    </row>
    <row r="24" spans="1:11" ht="29.5" thickBot="1" x14ac:dyDescent="0.4">
      <c r="A24" s="3">
        <v>1023</v>
      </c>
      <c r="B24" s="1" t="s">
        <v>40</v>
      </c>
      <c r="C24" s="1" t="s">
        <v>12</v>
      </c>
      <c r="D24" s="1" t="s">
        <v>18</v>
      </c>
      <c r="E24" s="1" t="s">
        <v>44</v>
      </c>
      <c r="F24" s="3">
        <v>15</v>
      </c>
      <c r="G24" s="3">
        <v>3506</v>
      </c>
      <c r="H24" s="3">
        <v>2</v>
      </c>
      <c r="I24" s="4">
        <v>46193</v>
      </c>
      <c r="J24" s="4">
        <v>46194</v>
      </c>
      <c r="K24" s="1" t="s">
        <v>29</v>
      </c>
    </row>
    <row r="25" spans="1:11" ht="29.5" thickBot="1" x14ac:dyDescent="0.4">
      <c r="A25" s="3">
        <v>1024</v>
      </c>
      <c r="B25" s="1" t="s">
        <v>32</v>
      </c>
      <c r="C25" s="1" t="s">
        <v>38</v>
      </c>
      <c r="D25" s="1" t="s">
        <v>34</v>
      </c>
      <c r="E25" s="1" t="s">
        <v>41</v>
      </c>
      <c r="F25" s="3">
        <v>12</v>
      </c>
      <c r="G25" s="3">
        <v>1682</v>
      </c>
      <c r="H25" s="3">
        <v>5</v>
      </c>
      <c r="I25" s="4">
        <v>46161</v>
      </c>
      <c r="J25" s="4">
        <v>46165</v>
      </c>
      <c r="K25" s="1" t="s">
        <v>15</v>
      </c>
    </row>
    <row r="26" spans="1:11" ht="15" thickBot="1" x14ac:dyDescent="0.4">
      <c r="A26" s="3">
        <v>1025</v>
      </c>
      <c r="B26" s="1" t="s">
        <v>21</v>
      </c>
      <c r="C26" s="1" t="s">
        <v>12</v>
      </c>
      <c r="D26" s="1" t="s">
        <v>18</v>
      </c>
      <c r="E26" s="1" t="s">
        <v>19</v>
      </c>
      <c r="F26" s="3">
        <v>18</v>
      </c>
      <c r="G26" s="3">
        <v>7924</v>
      </c>
      <c r="H26" s="3">
        <v>0</v>
      </c>
      <c r="I26" s="4">
        <v>46175</v>
      </c>
      <c r="J26" s="4">
        <v>46181</v>
      </c>
      <c r="K26" s="1" t="s">
        <v>15</v>
      </c>
    </row>
    <row r="27" spans="1:11" ht="29.5" thickBot="1" x14ac:dyDescent="0.4">
      <c r="A27" s="3">
        <v>1026</v>
      </c>
      <c r="B27" s="1" t="s">
        <v>49</v>
      </c>
      <c r="C27" s="1" t="s">
        <v>31</v>
      </c>
      <c r="D27" s="1" t="s">
        <v>13</v>
      </c>
      <c r="E27" s="1" t="s">
        <v>50</v>
      </c>
      <c r="F27" s="3">
        <v>17</v>
      </c>
      <c r="G27" s="3">
        <v>323</v>
      </c>
      <c r="H27" s="3">
        <v>10</v>
      </c>
      <c r="I27" s="4">
        <v>46039</v>
      </c>
      <c r="J27" s="4">
        <v>46040</v>
      </c>
      <c r="K27" s="1" t="s">
        <v>29</v>
      </c>
    </row>
    <row r="28" spans="1:11" ht="29.5" thickBot="1" x14ac:dyDescent="0.4">
      <c r="A28" s="3">
        <v>1027</v>
      </c>
      <c r="B28" s="1" t="s">
        <v>29</v>
      </c>
      <c r="C28" s="1" t="s">
        <v>43</v>
      </c>
      <c r="D28" s="1" t="s">
        <v>13</v>
      </c>
      <c r="E28" s="1" t="s">
        <v>50</v>
      </c>
      <c r="F28" s="3">
        <v>4</v>
      </c>
      <c r="G28" s="3">
        <v>264</v>
      </c>
      <c r="H28" s="3">
        <v>0</v>
      </c>
      <c r="I28" s="4">
        <v>46155</v>
      </c>
      <c r="J28" s="4">
        <v>46161</v>
      </c>
      <c r="K28" s="1" t="s">
        <v>51</v>
      </c>
    </row>
    <row r="29" spans="1:11" ht="29.5" thickBot="1" x14ac:dyDescent="0.4">
      <c r="A29" s="3">
        <v>1028</v>
      </c>
      <c r="B29" s="1" t="s">
        <v>47</v>
      </c>
      <c r="C29" s="1" t="s">
        <v>22</v>
      </c>
      <c r="D29" s="1" t="s">
        <v>13</v>
      </c>
      <c r="E29" s="1" t="s">
        <v>36</v>
      </c>
      <c r="F29" s="3">
        <v>13</v>
      </c>
      <c r="G29" s="3">
        <v>433</v>
      </c>
      <c r="H29" s="3">
        <v>2</v>
      </c>
      <c r="I29" s="4">
        <v>46116</v>
      </c>
      <c r="J29" s="4">
        <v>46121</v>
      </c>
      <c r="K29" s="1" t="s">
        <v>24</v>
      </c>
    </row>
    <row r="30" spans="1:11" ht="29.5" thickBot="1" x14ac:dyDescent="0.4">
      <c r="A30" s="3">
        <v>1029</v>
      </c>
      <c r="B30" s="1" t="s">
        <v>30</v>
      </c>
      <c r="C30" s="1" t="s">
        <v>25</v>
      </c>
      <c r="D30" s="1" t="s">
        <v>13</v>
      </c>
      <c r="E30" s="1" t="s">
        <v>36</v>
      </c>
      <c r="F30" s="3">
        <v>18</v>
      </c>
      <c r="G30" s="3">
        <v>443</v>
      </c>
      <c r="H30" s="3">
        <v>5</v>
      </c>
      <c r="I30" s="4">
        <v>46046</v>
      </c>
      <c r="J30" s="4">
        <v>46054</v>
      </c>
      <c r="K30" s="1" t="s">
        <v>24</v>
      </c>
    </row>
    <row r="31" spans="1:11" ht="29.5" thickBot="1" x14ac:dyDescent="0.4">
      <c r="A31" s="3">
        <v>1030</v>
      </c>
      <c r="B31" s="1" t="s">
        <v>52</v>
      </c>
      <c r="C31" s="1" t="s">
        <v>12</v>
      </c>
      <c r="D31" s="1" t="s">
        <v>13</v>
      </c>
      <c r="E31" s="1" t="s">
        <v>53</v>
      </c>
      <c r="F31" s="3">
        <v>13</v>
      </c>
      <c r="G31" s="3">
        <v>336</v>
      </c>
      <c r="H31" s="3">
        <v>10</v>
      </c>
      <c r="I31" s="4">
        <v>46098</v>
      </c>
      <c r="J31" s="4">
        <v>46108</v>
      </c>
      <c r="K31" s="1" t="s">
        <v>15</v>
      </c>
    </row>
    <row r="32" spans="1:11" ht="29.5" thickBot="1" x14ac:dyDescent="0.4">
      <c r="A32" s="3">
        <v>1031</v>
      </c>
      <c r="B32" s="1" t="s">
        <v>54</v>
      </c>
      <c r="C32" s="1" t="s">
        <v>31</v>
      </c>
      <c r="D32" s="1" t="s">
        <v>13</v>
      </c>
      <c r="E32" s="1" t="s">
        <v>53</v>
      </c>
      <c r="F32" s="3">
        <v>2</v>
      </c>
      <c r="G32" s="3">
        <v>184</v>
      </c>
      <c r="H32" s="3">
        <v>5</v>
      </c>
      <c r="I32" s="4">
        <v>46089</v>
      </c>
      <c r="J32" s="4">
        <v>46093</v>
      </c>
      <c r="K32" s="1" t="s">
        <v>20</v>
      </c>
    </row>
    <row r="33" spans="1:11" ht="29.5" thickBot="1" x14ac:dyDescent="0.4">
      <c r="A33" s="3">
        <v>1032</v>
      </c>
      <c r="B33" s="1" t="s">
        <v>54</v>
      </c>
      <c r="C33" s="1" t="s">
        <v>43</v>
      </c>
      <c r="D33" s="1" t="s">
        <v>34</v>
      </c>
      <c r="E33" s="1" t="s">
        <v>39</v>
      </c>
      <c r="F33" s="3">
        <v>20</v>
      </c>
      <c r="G33" s="3">
        <v>11305</v>
      </c>
      <c r="H33" s="3">
        <v>2</v>
      </c>
      <c r="I33" s="4">
        <v>46163</v>
      </c>
      <c r="J33" s="4">
        <v>46165</v>
      </c>
      <c r="K33" s="1" t="s">
        <v>29</v>
      </c>
    </row>
    <row r="34" spans="1:11" ht="15" thickBot="1" x14ac:dyDescent="0.4">
      <c r="A34" s="3">
        <v>1033</v>
      </c>
      <c r="B34" s="1" t="s">
        <v>11</v>
      </c>
      <c r="C34" s="1" t="s">
        <v>43</v>
      </c>
      <c r="D34" s="1" t="s">
        <v>18</v>
      </c>
      <c r="E34" s="1" t="s">
        <v>19</v>
      </c>
      <c r="F34" s="3">
        <v>9</v>
      </c>
      <c r="G34" s="3">
        <v>4895</v>
      </c>
      <c r="H34" s="3">
        <v>2</v>
      </c>
      <c r="I34" s="4">
        <v>46082</v>
      </c>
      <c r="J34" s="4">
        <v>46084</v>
      </c>
      <c r="K34" s="1" t="s">
        <v>29</v>
      </c>
    </row>
    <row r="35" spans="1:11" ht="15" thickBot="1" x14ac:dyDescent="0.4">
      <c r="A35" s="3">
        <v>1034</v>
      </c>
      <c r="B35" s="1" t="s">
        <v>55</v>
      </c>
      <c r="C35" s="1" t="s">
        <v>33</v>
      </c>
      <c r="D35" s="1" t="s">
        <v>18</v>
      </c>
      <c r="E35" s="1" t="s">
        <v>28</v>
      </c>
      <c r="F35" s="3">
        <v>17</v>
      </c>
      <c r="G35" s="3">
        <v>5104</v>
      </c>
      <c r="H35" s="3">
        <v>12</v>
      </c>
      <c r="I35" s="4">
        <v>46052</v>
      </c>
      <c r="J35" s="4">
        <v>46061</v>
      </c>
      <c r="K35" s="1" t="s">
        <v>51</v>
      </c>
    </row>
    <row r="36" spans="1:11" ht="15" thickBot="1" x14ac:dyDescent="0.4">
      <c r="A36" s="3">
        <v>1035</v>
      </c>
      <c r="B36" s="1" t="s">
        <v>49</v>
      </c>
      <c r="C36" s="1" t="s">
        <v>43</v>
      </c>
      <c r="D36" s="1" t="s">
        <v>18</v>
      </c>
      <c r="E36" s="1" t="s">
        <v>56</v>
      </c>
      <c r="F36" s="3">
        <v>3</v>
      </c>
      <c r="G36" s="3">
        <v>9149</v>
      </c>
      <c r="H36" s="3">
        <v>0</v>
      </c>
      <c r="I36" s="4">
        <v>46031</v>
      </c>
      <c r="J36" s="4">
        <v>46034</v>
      </c>
      <c r="K36" s="1" t="s">
        <v>24</v>
      </c>
    </row>
    <row r="37" spans="1:11" ht="29.5" thickBot="1" x14ac:dyDescent="0.4">
      <c r="A37" s="3">
        <v>1036</v>
      </c>
      <c r="B37" s="1" t="s">
        <v>11</v>
      </c>
      <c r="C37" s="1" t="s">
        <v>25</v>
      </c>
      <c r="D37" s="1" t="s">
        <v>13</v>
      </c>
      <c r="E37" s="1" t="s">
        <v>36</v>
      </c>
      <c r="F37" s="3">
        <v>20</v>
      </c>
      <c r="G37" s="3">
        <v>161</v>
      </c>
      <c r="H37" s="3">
        <v>7</v>
      </c>
      <c r="I37" s="4">
        <v>46071</v>
      </c>
      <c r="J37" s="4">
        <v>46077</v>
      </c>
      <c r="K37" s="1" t="s">
        <v>24</v>
      </c>
    </row>
    <row r="38" spans="1:11" ht="15" thickBot="1" x14ac:dyDescent="0.4">
      <c r="A38" s="3">
        <v>1037</v>
      </c>
      <c r="B38" s="1" t="s">
        <v>46</v>
      </c>
      <c r="C38" s="1" t="s">
        <v>43</v>
      </c>
      <c r="D38" s="1" t="s">
        <v>18</v>
      </c>
      <c r="E38" s="1" t="s">
        <v>56</v>
      </c>
      <c r="F38" s="3">
        <v>6</v>
      </c>
      <c r="G38" s="3">
        <v>14385</v>
      </c>
      <c r="H38" s="3">
        <v>12</v>
      </c>
      <c r="I38" s="4">
        <v>46033</v>
      </c>
      <c r="J38" s="4">
        <v>46043</v>
      </c>
      <c r="K38" s="1" t="s">
        <v>24</v>
      </c>
    </row>
    <row r="39" spans="1:11" ht="29.5" thickBot="1" x14ac:dyDescent="0.4">
      <c r="A39" s="3">
        <v>1038</v>
      </c>
      <c r="B39" s="1" t="s">
        <v>55</v>
      </c>
      <c r="C39" s="1" t="s">
        <v>17</v>
      </c>
      <c r="D39" s="1" t="s">
        <v>13</v>
      </c>
      <c r="E39" s="1" t="s">
        <v>36</v>
      </c>
      <c r="F39" s="3">
        <v>17</v>
      </c>
      <c r="G39" s="3">
        <v>223</v>
      </c>
      <c r="H39" s="3">
        <v>7</v>
      </c>
      <c r="I39" s="4">
        <v>46030</v>
      </c>
      <c r="J39" s="4">
        <v>46031</v>
      </c>
      <c r="K39" s="1" t="s">
        <v>51</v>
      </c>
    </row>
    <row r="40" spans="1:11" ht="29.5" thickBot="1" x14ac:dyDescent="0.4">
      <c r="A40" s="3">
        <v>1039</v>
      </c>
      <c r="B40" s="1" t="s">
        <v>48</v>
      </c>
      <c r="C40" s="1" t="s">
        <v>38</v>
      </c>
      <c r="D40" s="1" t="s">
        <v>34</v>
      </c>
      <c r="E40" s="1" t="s">
        <v>45</v>
      </c>
      <c r="F40" s="3">
        <v>5</v>
      </c>
      <c r="G40" s="3">
        <v>60236</v>
      </c>
      <c r="H40" s="3">
        <v>10</v>
      </c>
      <c r="I40" s="4">
        <v>46107</v>
      </c>
      <c r="J40" s="4">
        <v>46110</v>
      </c>
      <c r="K40" s="1" t="s">
        <v>20</v>
      </c>
    </row>
    <row r="41" spans="1:11" ht="15" thickBot="1" x14ac:dyDescent="0.4">
      <c r="A41" s="3">
        <v>1040</v>
      </c>
      <c r="B41" s="1" t="s">
        <v>49</v>
      </c>
      <c r="C41" s="1" t="s">
        <v>38</v>
      </c>
      <c r="D41" s="1" t="s">
        <v>18</v>
      </c>
      <c r="E41" s="1" t="s">
        <v>28</v>
      </c>
      <c r="F41" s="3">
        <v>10</v>
      </c>
      <c r="G41" s="3">
        <v>7531</v>
      </c>
      <c r="H41" s="3">
        <v>2</v>
      </c>
      <c r="I41" s="4">
        <v>46171</v>
      </c>
      <c r="J41" s="4">
        <v>46178</v>
      </c>
      <c r="K41" s="1" t="s">
        <v>24</v>
      </c>
    </row>
    <row r="42" spans="1:11" ht="29.5" thickBot="1" x14ac:dyDescent="0.4">
      <c r="A42" s="3">
        <v>1041</v>
      </c>
      <c r="B42" s="1" t="s">
        <v>54</v>
      </c>
      <c r="C42" s="1" t="s">
        <v>38</v>
      </c>
      <c r="D42" s="1" t="s">
        <v>13</v>
      </c>
      <c r="E42" s="1" t="s">
        <v>50</v>
      </c>
      <c r="F42" s="3">
        <v>9</v>
      </c>
      <c r="G42" s="3">
        <v>71</v>
      </c>
      <c r="H42" s="3">
        <v>7</v>
      </c>
      <c r="I42" s="4">
        <v>46185</v>
      </c>
      <c r="J42" s="4">
        <v>46188</v>
      </c>
      <c r="K42" s="1" t="s">
        <v>15</v>
      </c>
    </row>
    <row r="43" spans="1:11" ht="29.5" thickBot="1" x14ac:dyDescent="0.4">
      <c r="A43" s="3">
        <v>1042</v>
      </c>
      <c r="B43" s="1" t="s">
        <v>46</v>
      </c>
      <c r="C43" s="1" t="s">
        <v>33</v>
      </c>
      <c r="D43" s="1" t="s">
        <v>13</v>
      </c>
      <c r="E43" s="1" t="s">
        <v>53</v>
      </c>
      <c r="F43" s="3">
        <v>16</v>
      </c>
      <c r="G43" s="3">
        <v>232</v>
      </c>
      <c r="H43" s="3">
        <v>0</v>
      </c>
      <c r="I43" s="4">
        <v>46081</v>
      </c>
      <c r="J43" s="4">
        <v>46088</v>
      </c>
      <c r="K43" s="1" t="s">
        <v>29</v>
      </c>
    </row>
    <row r="44" spans="1:11" ht="29.5" thickBot="1" x14ac:dyDescent="0.4">
      <c r="A44" s="3">
        <v>1043</v>
      </c>
      <c r="B44" s="1" t="s">
        <v>49</v>
      </c>
      <c r="C44" s="1" t="s">
        <v>38</v>
      </c>
      <c r="D44" s="1" t="s">
        <v>34</v>
      </c>
      <c r="E44" s="1" t="s">
        <v>35</v>
      </c>
      <c r="F44" s="3">
        <v>20</v>
      </c>
      <c r="G44" s="3">
        <v>46093</v>
      </c>
      <c r="H44" s="3">
        <v>5</v>
      </c>
      <c r="I44" s="4">
        <v>46091</v>
      </c>
      <c r="J44" s="4">
        <v>46098</v>
      </c>
      <c r="K44" s="1" t="s">
        <v>29</v>
      </c>
    </row>
    <row r="45" spans="1:11" ht="15" thickBot="1" x14ac:dyDescent="0.4">
      <c r="A45" s="3">
        <v>1044</v>
      </c>
      <c r="B45" s="1" t="s">
        <v>48</v>
      </c>
      <c r="C45" s="1" t="s">
        <v>38</v>
      </c>
      <c r="D45" s="1" t="s">
        <v>18</v>
      </c>
      <c r="E45" s="1" t="s">
        <v>19</v>
      </c>
      <c r="F45" s="3">
        <v>4</v>
      </c>
      <c r="G45" s="3">
        <v>14731</v>
      </c>
      <c r="H45" s="3">
        <v>2</v>
      </c>
      <c r="I45" s="4">
        <v>46173</v>
      </c>
      <c r="J45" s="4">
        <v>46176</v>
      </c>
      <c r="K45" s="1" t="s">
        <v>20</v>
      </c>
    </row>
    <row r="46" spans="1:11" ht="29.5" thickBot="1" x14ac:dyDescent="0.4">
      <c r="A46" s="3">
        <v>1045</v>
      </c>
      <c r="B46" s="1" t="s">
        <v>32</v>
      </c>
      <c r="C46" s="1" t="s">
        <v>38</v>
      </c>
      <c r="D46" s="1" t="s">
        <v>34</v>
      </c>
      <c r="E46" s="1" t="s">
        <v>35</v>
      </c>
      <c r="F46" s="3">
        <v>3</v>
      </c>
      <c r="G46" s="3">
        <v>62762</v>
      </c>
      <c r="H46" s="3">
        <v>7</v>
      </c>
      <c r="I46" s="4">
        <v>46038</v>
      </c>
      <c r="J46" s="4">
        <v>46039</v>
      </c>
      <c r="K46" s="1" t="s">
        <v>29</v>
      </c>
    </row>
    <row r="47" spans="1:11" ht="29.5" thickBot="1" x14ac:dyDescent="0.4">
      <c r="A47" s="3">
        <v>1046</v>
      </c>
      <c r="B47" s="1" t="s">
        <v>57</v>
      </c>
      <c r="C47" s="1" t="s">
        <v>38</v>
      </c>
      <c r="D47" s="1" t="s">
        <v>34</v>
      </c>
      <c r="E47" s="1" t="s">
        <v>45</v>
      </c>
      <c r="F47" s="3">
        <v>3</v>
      </c>
      <c r="G47" s="3">
        <v>19443</v>
      </c>
      <c r="H47" s="3">
        <v>10</v>
      </c>
      <c r="I47" s="4">
        <v>46153</v>
      </c>
      <c r="J47" s="4">
        <v>46158</v>
      </c>
      <c r="K47" s="1" t="s">
        <v>29</v>
      </c>
    </row>
    <row r="48" spans="1:11" ht="15" thickBot="1" x14ac:dyDescent="0.4">
      <c r="A48" s="3">
        <v>1047</v>
      </c>
      <c r="B48" s="1" t="s">
        <v>58</v>
      </c>
      <c r="C48" s="1" t="s">
        <v>38</v>
      </c>
      <c r="D48" s="1" t="s">
        <v>18</v>
      </c>
      <c r="E48" s="1" t="s">
        <v>56</v>
      </c>
      <c r="F48" s="3">
        <v>11</v>
      </c>
      <c r="G48" s="3">
        <v>9976</v>
      </c>
      <c r="H48" s="3">
        <v>12</v>
      </c>
      <c r="I48" s="4">
        <v>46200</v>
      </c>
      <c r="J48" s="4">
        <v>46209</v>
      </c>
      <c r="K48" s="1" t="s">
        <v>15</v>
      </c>
    </row>
    <row r="49" spans="1:11" ht="29.5" thickBot="1" x14ac:dyDescent="0.4">
      <c r="A49" s="3">
        <v>1048</v>
      </c>
      <c r="B49" s="1" t="s">
        <v>59</v>
      </c>
      <c r="C49" s="1" t="s">
        <v>25</v>
      </c>
      <c r="D49" s="1" t="s">
        <v>34</v>
      </c>
      <c r="E49" s="1" t="s">
        <v>60</v>
      </c>
      <c r="F49" s="3">
        <v>14</v>
      </c>
      <c r="G49" s="3">
        <v>11762</v>
      </c>
      <c r="H49" s="3">
        <v>7</v>
      </c>
      <c r="I49" s="4">
        <v>46180</v>
      </c>
      <c r="J49" s="4">
        <v>46186</v>
      </c>
      <c r="K49" s="1" t="s">
        <v>24</v>
      </c>
    </row>
    <row r="50" spans="1:11" ht="29.5" thickBot="1" x14ac:dyDescent="0.4">
      <c r="A50" s="3">
        <v>1049</v>
      </c>
      <c r="B50" s="1" t="s">
        <v>52</v>
      </c>
      <c r="C50" s="1" t="s">
        <v>25</v>
      </c>
      <c r="D50" s="1" t="s">
        <v>34</v>
      </c>
      <c r="E50" s="1" t="s">
        <v>45</v>
      </c>
      <c r="F50" s="3">
        <v>2</v>
      </c>
      <c r="G50" s="3">
        <v>40789</v>
      </c>
      <c r="H50" s="3">
        <v>0</v>
      </c>
      <c r="I50" s="4">
        <v>46102</v>
      </c>
      <c r="J50" s="4">
        <v>46108</v>
      </c>
      <c r="K50" s="1" t="s">
        <v>24</v>
      </c>
    </row>
    <row r="51" spans="1:11" ht="29.5" thickBot="1" x14ac:dyDescent="0.4">
      <c r="A51" s="3">
        <v>1050</v>
      </c>
      <c r="B51" s="1" t="s">
        <v>32</v>
      </c>
      <c r="C51" s="1" t="s">
        <v>25</v>
      </c>
      <c r="D51" s="1" t="s">
        <v>13</v>
      </c>
      <c r="E51" s="1" t="s">
        <v>53</v>
      </c>
      <c r="F51" s="3">
        <v>12</v>
      </c>
      <c r="G51" s="3">
        <v>360</v>
      </c>
      <c r="H51" s="3">
        <v>5</v>
      </c>
      <c r="I51" s="4">
        <v>46127</v>
      </c>
      <c r="J51" s="4">
        <v>46137</v>
      </c>
      <c r="K51" s="1" t="s">
        <v>29</v>
      </c>
    </row>
    <row r="52" spans="1:11" ht="29.5" thickBot="1" x14ac:dyDescent="0.4">
      <c r="A52" s="3">
        <v>1051</v>
      </c>
      <c r="B52" s="1" t="s">
        <v>58</v>
      </c>
      <c r="C52" s="1" t="s">
        <v>17</v>
      </c>
      <c r="D52" s="1" t="s">
        <v>13</v>
      </c>
      <c r="E52" s="1" t="s">
        <v>36</v>
      </c>
      <c r="F52" s="3">
        <v>12</v>
      </c>
      <c r="G52" s="3">
        <v>47</v>
      </c>
      <c r="H52" s="3">
        <v>2</v>
      </c>
      <c r="I52" s="4">
        <v>46037</v>
      </c>
      <c r="J52" s="4">
        <v>46045</v>
      </c>
      <c r="K52" s="1" t="s">
        <v>15</v>
      </c>
    </row>
    <row r="53" spans="1:11" ht="29.5" thickBot="1" x14ac:dyDescent="0.4">
      <c r="A53" s="3">
        <v>1052</v>
      </c>
      <c r="B53" s="1" t="s">
        <v>55</v>
      </c>
      <c r="C53" s="1" t="s">
        <v>12</v>
      </c>
      <c r="D53" s="1" t="s">
        <v>13</v>
      </c>
      <c r="E53" s="1" t="s">
        <v>14</v>
      </c>
      <c r="F53" s="3">
        <v>17</v>
      </c>
      <c r="G53" s="3">
        <v>172</v>
      </c>
      <c r="H53" s="3">
        <v>10</v>
      </c>
      <c r="I53" s="4">
        <v>46159</v>
      </c>
      <c r="J53" s="4">
        <v>46165</v>
      </c>
      <c r="K53" s="1" t="s">
        <v>20</v>
      </c>
    </row>
    <row r="54" spans="1:11" ht="15" thickBot="1" x14ac:dyDescent="0.4">
      <c r="A54" s="3">
        <v>1053</v>
      </c>
      <c r="B54" s="1" t="s">
        <v>16</v>
      </c>
      <c r="C54" s="1" t="s">
        <v>33</v>
      </c>
      <c r="D54" s="1" t="s">
        <v>18</v>
      </c>
      <c r="E54" s="1" t="s">
        <v>28</v>
      </c>
      <c r="F54" s="3">
        <v>1</v>
      </c>
      <c r="G54" s="3">
        <v>9749</v>
      </c>
      <c r="H54" s="3">
        <v>15</v>
      </c>
      <c r="I54" s="4">
        <v>46064</v>
      </c>
      <c r="J54" s="4">
        <v>46070</v>
      </c>
      <c r="K54" s="1" t="s">
        <v>24</v>
      </c>
    </row>
    <row r="55" spans="1:11" ht="29.5" thickBot="1" x14ac:dyDescent="0.4">
      <c r="A55" s="3">
        <v>1054</v>
      </c>
      <c r="B55" s="1" t="s">
        <v>26</v>
      </c>
      <c r="C55" s="1" t="s">
        <v>25</v>
      </c>
      <c r="D55" s="1" t="s">
        <v>18</v>
      </c>
      <c r="E55" s="1" t="s">
        <v>23</v>
      </c>
      <c r="F55" s="3">
        <v>8</v>
      </c>
      <c r="G55" s="3">
        <v>9798</v>
      </c>
      <c r="H55" s="3">
        <v>12</v>
      </c>
      <c r="I55" s="4">
        <v>46200</v>
      </c>
      <c r="J55" s="4">
        <v>46201</v>
      </c>
      <c r="K55" s="1" t="s">
        <v>51</v>
      </c>
    </row>
    <row r="56" spans="1:11" ht="29.5" thickBot="1" x14ac:dyDescent="0.4">
      <c r="A56" s="3">
        <v>1055</v>
      </c>
      <c r="B56" s="1" t="s">
        <v>48</v>
      </c>
      <c r="C56" s="1" t="s">
        <v>12</v>
      </c>
      <c r="D56" s="1" t="s">
        <v>13</v>
      </c>
      <c r="E56" s="1" t="s">
        <v>37</v>
      </c>
      <c r="F56" s="3">
        <v>18</v>
      </c>
      <c r="G56" s="3">
        <v>185</v>
      </c>
      <c r="H56" s="3">
        <v>15</v>
      </c>
      <c r="I56" s="4">
        <v>46077</v>
      </c>
      <c r="J56" s="4">
        <v>46078</v>
      </c>
      <c r="K56" s="1" t="s">
        <v>15</v>
      </c>
    </row>
    <row r="57" spans="1:11" ht="15" thickBot="1" x14ac:dyDescent="0.4">
      <c r="A57" s="3">
        <v>1056</v>
      </c>
      <c r="B57" s="1" t="s">
        <v>11</v>
      </c>
      <c r="C57" s="1" t="s">
        <v>22</v>
      </c>
      <c r="D57" s="1" t="s">
        <v>18</v>
      </c>
      <c r="E57" s="1" t="s">
        <v>19</v>
      </c>
      <c r="F57" s="3">
        <v>3</v>
      </c>
      <c r="G57" s="3">
        <v>9771</v>
      </c>
      <c r="H57" s="3">
        <v>5</v>
      </c>
      <c r="I57" s="4">
        <v>46133</v>
      </c>
      <c r="J57" s="4">
        <v>46139</v>
      </c>
      <c r="K57" s="1" t="s">
        <v>24</v>
      </c>
    </row>
    <row r="58" spans="1:11" ht="15" thickBot="1" x14ac:dyDescent="0.4">
      <c r="A58" s="3">
        <v>1057</v>
      </c>
      <c r="B58" s="1" t="s">
        <v>59</v>
      </c>
      <c r="C58" s="1" t="s">
        <v>22</v>
      </c>
      <c r="D58" s="1" t="s">
        <v>18</v>
      </c>
      <c r="E58" s="1" t="s">
        <v>28</v>
      </c>
      <c r="F58" s="3">
        <v>2</v>
      </c>
      <c r="G58" s="3">
        <v>9531</v>
      </c>
      <c r="H58" s="3">
        <v>15</v>
      </c>
      <c r="I58" s="4">
        <v>46067</v>
      </c>
      <c r="J58" s="4">
        <v>46076</v>
      </c>
      <c r="K58" s="1" t="s">
        <v>51</v>
      </c>
    </row>
    <row r="59" spans="1:11" ht="15" thickBot="1" x14ac:dyDescent="0.4">
      <c r="A59" s="3">
        <v>1058</v>
      </c>
      <c r="B59" s="1" t="s">
        <v>52</v>
      </c>
      <c r="C59" s="1" t="s">
        <v>38</v>
      </c>
      <c r="D59" s="1" t="s">
        <v>18</v>
      </c>
      <c r="E59" s="1" t="s">
        <v>28</v>
      </c>
      <c r="F59" s="3">
        <v>10</v>
      </c>
      <c r="G59" s="3">
        <v>5532</v>
      </c>
      <c r="H59" s="3">
        <v>7</v>
      </c>
      <c r="I59" s="4">
        <v>46074</v>
      </c>
      <c r="J59" s="4">
        <v>46084</v>
      </c>
      <c r="K59" s="1" t="s">
        <v>24</v>
      </c>
    </row>
    <row r="60" spans="1:11" ht="29.5" thickBot="1" x14ac:dyDescent="0.4">
      <c r="A60" s="3">
        <v>1059</v>
      </c>
      <c r="B60" s="1" t="s">
        <v>54</v>
      </c>
      <c r="C60" s="1" t="s">
        <v>25</v>
      </c>
      <c r="D60" s="1" t="s">
        <v>13</v>
      </c>
      <c r="E60" s="1" t="s">
        <v>50</v>
      </c>
      <c r="F60" s="3">
        <v>20</v>
      </c>
      <c r="G60" s="3">
        <v>112</v>
      </c>
      <c r="H60" s="3">
        <v>10</v>
      </c>
      <c r="I60" s="4">
        <v>46113</v>
      </c>
      <c r="J60" s="4">
        <v>46122</v>
      </c>
      <c r="K60" s="1" t="s">
        <v>51</v>
      </c>
    </row>
    <row r="61" spans="1:11" ht="29.5" thickBot="1" x14ac:dyDescent="0.4">
      <c r="A61" s="3">
        <v>1060</v>
      </c>
      <c r="B61" s="1" t="s">
        <v>49</v>
      </c>
      <c r="C61" s="1" t="s">
        <v>12</v>
      </c>
      <c r="D61" s="1" t="s">
        <v>18</v>
      </c>
      <c r="E61" s="1" t="s">
        <v>44</v>
      </c>
      <c r="F61" s="3">
        <v>9</v>
      </c>
      <c r="G61" s="3">
        <v>9727</v>
      </c>
      <c r="H61" s="3">
        <v>2</v>
      </c>
      <c r="I61" s="4">
        <v>46024</v>
      </c>
      <c r="J61" s="4">
        <v>46030</v>
      </c>
      <c r="K61" s="1" t="s">
        <v>20</v>
      </c>
    </row>
    <row r="62" spans="1:11" ht="29.5" thickBot="1" x14ac:dyDescent="0.4">
      <c r="A62" s="3">
        <v>1061</v>
      </c>
      <c r="B62" s="1" t="s">
        <v>57</v>
      </c>
      <c r="C62" s="1" t="s">
        <v>12</v>
      </c>
      <c r="D62" s="1" t="s">
        <v>34</v>
      </c>
      <c r="E62" s="1" t="s">
        <v>41</v>
      </c>
      <c r="F62" s="3">
        <v>16</v>
      </c>
      <c r="G62" s="3">
        <v>59084</v>
      </c>
      <c r="H62" s="3">
        <v>0</v>
      </c>
      <c r="I62" s="4">
        <v>46060</v>
      </c>
      <c r="J62" s="4">
        <v>46069</v>
      </c>
      <c r="K62" s="1" t="s">
        <v>20</v>
      </c>
    </row>
    <row r="63" spans="1:11" ht="15" thickBot="1" x14ac:dyDescent="0.4">
      <c r="A63" s="3">
        <v>1062</v>
      </c>
      <c r="B63" s="1" t="s">
        <v>40</v>
      </c>
      <c r="C63" s="1" t="s">
        <v>43</v>
      </c>
      <c r="D63" s="1" t="s">
        <v>18</v>
      </c>
      <c r="E63" s="1" t="s">
        <v>23</v>
      </c>
      <c r="F63" s="3">
        <v>8</v>
      </c>
      <c r="G63" s="3">
        <v>8360</v>
      </c>
      <c r="H63" s="3">
        <v>2</v>
      </c>
      <c r="I63" s="4">
        <v>46190</v>
      </c>
      <c r="J63" s="4">
        <v>46200</v>
      </c>
      <c r="K63" s="1" t="s">
        <v>51</v>
      </c>
    </row>
    <row r="64" spans="1:11" ht="29.5" thickBot="1" x14ac:dyDescent="0.4">
      <c r="A64" s="3">
        <v>1063</v>
      </c>
      <c r="B64" s="1" t="s">
        <v>54</v>
      </c>
      <c r="C64" s="1" t="s">
        <v>22</v>
      </c>
      <c r="D64" s="1" t="s">
        <v>34</v>
      </c>
      <c r="E64" s="1" t="s">
        <v>45</v>
      </c>
      <c r="F64" s="3">
        <v>7</v>
      </c>
      <c r="G64" s="3">
        <v>66744</v>
      </c>
      <c r="H64" s="3">
        <v>7</v>
      </c>
      <c r="I64" s="4">
        <v>46148</v>
      </c>
      <c r="J64" s="4">
        <v>46155</v>
      </c>
      <c r="K64" s="1" t="s">
        <v>15</v>
      </c>
    </row>
    <row r="65" spans="1:11" ht="29.5" thickBot="1" x14ac:dyDescent="0.4">
      <c r="A65" s="3">
        <v>1064</v>
      </c>
      <c r="B65" s="1" t="s">
        <v>26</v>
      </c>
      <c r="C65" s="1" t="s">
        <v>17</v>
      </c>
      <c r="D65" s="1" t="s">
        <v>13</v>
      </c>
      <c r="E65" s="1" t="s">
        <v>50</v>
      </c>
      <c r="F65" s="3">
        <v>20</v>
      </c>
      <c r="G65" s="3">
        <v>191</v>
      </c>
      <c r="H65" s="3">
        <v>7</v>
      </c>
      <c r="I65" s="4">
        <v>46185</v>
      </c>
      <c r="J65" s="4">
        <v>46195</v>
      </c>
      <c r="K65" s="1" t="s">
        <v>29</v>
      </c>
    </row>
    <row r="66" spans="1:11" ht="29.5" thickBot="1" x14ac:dyDescent="0.4">
      <c r="A66" s="3">
        <v>1065</v>
      </c>
      <c r="B66" s="1" t="s">
        <v>42</v>
      </c>
      <c r="C66" s="1" t="s">
        <v>43</v>
      </c>
      <c r="D66" s="1" t="s">
        <v>18</v>
      </c>
      <c r="E66" s="1" t="s">
        <v>44</v>
      </c>
      <c r="F66" s="3">
        <v>1</v>
      </c>
      <c r="G66" s="3">
        <v>7730</v>
      </c>
      <c r="H66" s="3">
        <v>5</v>
      </c>
      <c r="I66" s="4">
        <v>46192</v>
      </c>
      <c r="J66" s="4">
        <v>46195</v>
      </c>
      <c r="K66" s="1" t="s">
        <v>51</v>
      </c>
    </row>
    <row r="67" spans="1:11" ht="29.5" thickBot="1" x14ac:dyDescent="0.4">
      <c r="A67" s="3">
        <v>1066</v>
      </c>
      <c r="B67" s="1" t="s">
        <v>47</v>
      </c>
      <c r="C67" s="1" t="s">
        <v>25</v>
      </c>
      <c r="D67" s="1" t="s">
        <v>18</v>
      </c>
      <c r="E67" s="1" t="s">
        <v>44</v>
      </c>
      <c r="F67" s="3">
        <v>15</v>
      </c>
      <c r="G67" s="3">
        <v>11987</v>
      </c>
      <c r="H67" s="3">
        <v>5</v>
      </c>
      <c r="I67" s="4">
        <v>46082</v>
      </c>
      <c r="J67" s="4">
        <v>46083</v>
      </c>
      <c r="K67" s="1" t="s">
        <v>15</v>
      </c>
    </row>
    <row r="68" spans="1:11" ht="15" thickBot="1" x14ac:dyDescent="0.4">
      <c r="A68" s="3">
        <v>1067</v>
      </c>
      <c r="B68" s="1" t="s">
        <v>32</v>
      </c>
      <c r="C68" s="1" t="s">
        <v>43</v>
      </c>
      <c r="D68" s="1" t="s">
        <v>18</v>
      </c>
      <c r="E68" s="1" t="s">
        <v>56</v>
      </c>
      <c r="F68" s="3">
        <v>14</v>
      </c>
      <c r="G68" s="3">
        <v>10869</v>
      </c>
      <c r="H68" s="3">
        <v>0</v>
      </c>
      <c r="I68" s="4">
        <v>46058</v>
      </c>
      <c r="J68" s="4">
        <v>46062</v>
      </c>
      <c r="K68" s="1" t="s">
        <v>29</v>
      </c>
    </row>
    <row r="69" spans="1:11" ht="29.5" thickBot="1" x14ac:dyDescent="0.4">
      <c r="A69" s="3">
        <v>1068</v>
      </c>
      <c r="B69" s="1" t="s">
        <v>52</v>
      </c>
      <c r="C69" s="1" t="s">
        <v>43</v>
      </c>
      <c r="D69" s="1" t="s">
        <v>34</v>
      </c>
      <c r="E69" s="1" t="s">
        <v>60</v>
      </c>
      <c r="F69" s="3">
        <v>15</v>
      </c>
      <c r="G69" s="3">
        <v>14534</v>
      </c>
      <c r="H69" s="3">
        <v>5</v>
      </c>
      <c r="I69" s="4">
        <v>46196</v>
      </c>
      <c r="J69" s="4">
        <v>46199</v>
      </c>
      <c r="K69" s="1" t="s">
        <v>29</v>
      </c>
    </row>
    <row r="70" spans="1:11" ht="15" thickBot="1" x14ac:dyDescent="0.4">
      <c r="A70" s="3">
        <v>1069</v>
      </c>
      <c r="B70" s="1" t="s">
        <v>52</v>
      </c>
      <c r="C70" s="1" t="s">
        <v>31</v>
      </c>
      <c r="D70" s="1" t="s">
        <v>18</v>
      </c>
      <c r="E70" s="1" t="s">
        <v>28</v>
      </c>
      <c r="F70" s="3">
        <v>9</v>
      </c>
      <c r="G70" s="3">
        <v>4415</v>
      </c>
      <c r="H70" s="3">
        <v>5</v>
      </c>
      <c r="I70" s="4">
        <v>46039</v>
      </c>
      <c r="J70" s="4">
        <v>46046</v>
      </c>
      <c r="K70" s="1" t="s">
        <v>15</v>
      </c>
    </row>
    <row r="71" spans="1:11" ht="29.5" thickBot="1" x14ac:dyDescent="0.4">
      <c r="A71" s="3">
        <v>1070</v>
      </c>
      <c r="B71" s="1" t="s">
        <v>52</v>
      </c>
      <c r="C71" s="1" t="s">
        <v>43</v>
      </c>
      <c r="D71" s="1" t="s">
        <v>13</v>
      </c>
      <c r="E71" s="1" t="s">
        <v>36</v>
      </c>
      <c r="F71" s="3">
        <v>10</v>
      </c>
      <c r="G71" s="3">
        <v>233</v>
      </c>
      <c r="H71" s="3">
        <v>7</v>
      </c>
      <c r="I71" s="4">
        <v>46076</v>
      </c>
      <c r="J71" s="4">
        <v>46077</v>
      </c>
      <c r="K71" s="1" t="s">
        <v>29</v>
      </c>
    </row>
    <row r="72" spans="1:11" ht="29.5" thickBot="1" x14ac:dyDescent="0.4">
      <c r="A72" s="3">
        <v>1071</v>
      </c>
      <c r="B72" s="1" t="s">
        <v>59</v>
      </c>
      <c r="C72" s="1" t="s">
        <v>22</v>
      </c>
      <c r="D72" s="1" t="s">
        <v>34</v>
      </c>
      <c r="E72" s="1" t="s">
        <v>61</v>
      </c>
      <c r="F72" s="3">
        <v>18</v>
      </c>
      <c r="G72" s="3">
        <v>32197</v>
      </c>
      <c r="H72" s="3">
        <v>5</v>
      </c>
      <c r="I72" s="4">
        <v>46129</v>
      </c>
      <c r="J72" s="4">
        <v>46137</v>
      </c>
      <c r="K72" s="1" t="s">
        <v>20</v>
      </c>
    </row>
    <row r="73" spans="1:11" ht="29.5" thickBot="1" x14ac:dyDescent="0.4">
      <c r="A73" s="3">
        <v>1072</v>
      </c>
      <c r="B73" s="1" t="s">
        <v>16</v>
      </c>
      <c r="C73" s="1" t="s">
        <v>25</v>
      </c>
      <c r="D73" s="1" t="s">
        <v>34</v>
      </c>
      <c r="E73" s="1" t="s">
        <v>61</v>
      </c>
      <c r="F73" s="3">
        <v>20</v>
      </c>
      <c r="G73" s="3">
        <v>58779</v>
      </c>
      <c r="H73" s="3">
        <v>0</v>
      </c>
      <c r="I73" s="4">
        <v>46035</v>
      </c>
      <c r="J73" s="4">
        <v>46036</v>
      </c>
      <c r="K73" s="1" t="s">
        <v>24</v>
      </c>
    </row>
    <row r="74" spans="1:11" ht="15" thickBot="1" x14ac:dyDescent="0.4">
      <c r="A74" s="3">
        <v>1073</v>
      </c>
      <c r="B74" s="1" t="s">
        <v>58</v>
      </c>
      <c r="C74" s="1" t="s">
        <v>17</v>
      </c>
      <c r="D74" s="1" t="s">
        <v>18</v>
      </c>
      <c r="E74" s="1" t="s">
        <v>56</v>
      </c>
      <c r="F74" s="3">
        <v>4</v>
      </c>
      <c r="G74" s="3">
        <v>2453</v>
      </c>
      <c r="H74" s="3">
        <v>7</v>
      </c>
      <c r="I74" s="4">
        <v>46126</v>
      </c>
      <c r="J74" s="4">
        <v>46129</v>
      </c>
      <c r="K74" s="1" t="s">
        <v>51</v>
      </c>
    </row>
    <row r="75" spans="1:11" ht="29.5" thickBot="1" x14ac:dyDescent="0.4">
      <c r="A75" s="3">
        <v>1074</v>
      </c>
      <c r="B75" s="1" t="s">
        <v>26</v>
      </c>
      <c r="C75" s="1" t="s">
        <v>31</v>
      </c>
      <c r="D75" s="1" t="s">
        <v>13</v>
      </c>
      <c r="E75" s="1" t="s">
        <v>50</v>
      </c>
      <c r="F75" s="3">
        <v>11</v>
      </c>
      <c r="G75" s="3">
        <v>390</v>
      </c>
      <c r="H75" s="3">
        <v>15</v>
      </c>
      <c r="I75" s="4">
        <v>46114</v>
      </c>
      <c r="J75" s="4">
        <v>46123</v>
      </c>
      <c r="K75" s="1" t="s">
        <v>29</v>
      </c>
    </row>
    <row r="76" spans="1:11" ht="29.5" thickBot="1" x14ac:dyDescent="0.4">
      <c r="A76" s="3">
        <v>1075</v>
      </c>
      <c r="B76" s="1" t="s">
        <v>42</v>
      </c>
      <c r="C76" s="1" t="s">
        <v>43</v>
      </c>
      <c r="D76" s="1" t="s">
        <v>34</v>
      </c>
      <c r="E76" s="1" t="s">
        <v>61</v>
      </c>
      <c r="F76" s="3">
        <v>4</v>
      </c>
      <c r="G76" s="3">
        <v>64773</v>
      </c>
      <c r="H76" s="3">
        <v>10</v>
      </c>
      <c r="I76" s="4">
        <v>46185</v>
      </c>
      <c r="J76" s="4">
        <v>46186</v>
      </c>
      <c r="K76" s="1" t="s">
        <v>51</v>
      </c>
    </row>
    <row r="77" spans="1:11" ht="29.5" thickBot="1" x14ac:dyDescent="0.4">
      <c r="A77" s="3">
        <v>1076</v>
      </c>
      <c r="B77" s="1" t="s">
        <v>29</v>
      </c>
      <c r="C77" s="1" t="s">
        <v>17</v>
      </c>
      <c r="D77" s="1" t="s">
        <v>34</v>
      </c>
      <c r="E77" s="1" t="s">
        <v>35</v>
      </c>
      <c r="F77" s="3">
        <v>19</v>
      </c>
      <c r="G77" s="3">
        <v>26714</v>
      </c>
      <c r="H77" s="3">
        <v>5</v>
      </c>
      <c r="I77" s="4">
        <v>46045</v>
      </c>
      <c r="J77" s="4">
        <v>46055</v>
      </c>
      <c r="K77" s="1" t="s">
        <v>29</v>
      </c>
    </row>
    <row r="78" spans="1:11" ht="29.5" thickBot="1" x14ac:dyDescent="0.4">
      <c r="A78" s="3">
        <v>1077</v>
      </c>
      <c r="B78" s="1" t="s">
        <v>55</v>
      </c>
      <c r="C78" s="1" t="s">
        <v>25</v>
      </c>
      <c r="D78" s="1" t="s">
        <v>13</v>
      </c>
      <c r="E78" s="1" t="s">
        <v>14</v>
      </c>
      <c r="F78" s="3">
        <v>1</v>
      </c>
      <c r="G78" s="3">
        <v>123</v>
      </c>
      <c r="H78" s="3">
        <v>10</v>
      </c>
      <c r="I78" s="4">
        <v>46113</v>
      </c>
      <c r="J78" s="4">
        <v>46121</v>
      </c>
      <c r="K78" s="1" t="s">
        <v>51</v>
      </c>
    </row>
    <row r="79" spans="1:11" ht="29.5" thickBot="1" x14ac:dyDescent="0.4">
      <c r="A79" s="3">
        <v>1078</v>
      </c>
      <c r="B79" s="1" t="s">
        <v>52</v>
      </c>
      <c r="C79" s="1" t="s">
        <v>17</v>
      </c>
      <c r="D79" s="1" t="s">
        <v>34</v>
      </c>
      <c r="E79" s="1" t="s">
        <v>39</v>
      </c>
      <c r="F79" s="3">
        <v>11</v>
      </c>
      <c r="G79" s="3">
        <v>24278</v>
      </c>
      <c r="H79" s="3">
        <v>12</v>
      </c>
      <c r="I79" s="4">
        <v>46084</v>
      </c>
      <c r="J79" s="4">
        <v>46090</v>
      </c>
      <c r="K79" s="1" t="s">
        <v>29</v>
      </c>
    </row>
    <row r="80" spans="1:11" ht="29.5" thickBot="1" x14ac:dyDescent="0.4">
      <c r="A80" s="3">
        <v>1079</v>
      </c>
      <c r="B80" s="1" t="s">
        <v>26</v>
      </c>
      <c r="C80" s="1" t="s">
        <v>38</v>
      </c>
      <c r="D80" s="1" t="s">
        <v>34</v>
      </c>
      <c r="E80" s="1" t="s">
        <v>41</v>
      </c>
      <c r="F80" s="3">
        <v>19</v>
      </c>
      <c r="G80" s="3">
        <v>48956</v>
      </c>
      <c r="H80" s="3">
        <v>12</v>
      </c>
      <c r="I80" s="4">
        <v>46170</v>
      </c>
      <c r="J80" s="4">
        <v>46177</v>
      </c>
      <c r="K80" s="1" t="s">
        <v>51</v>
      </c>
    </row>
    <row r="81" spans="1:11" ht="29.5" thickBot="1" x14ac:dyDescent="0.4">
      <c r="A81" s="3">
        <v>1080</v>
      </c>
      <c r="B81" s="1" t="s">
        <v>21</v>
      </c>
      <c r="C81" s="1" t="s">
        <v>22</v>
      </c>
      <c r="D81" s="1" t="s">
        <v>34</v>
      </c>
      <c r="E81" s="1" t="s">
        <v>41</v>
      </c>
      <c r="F81" s="3">
        <v>12</v>
      </c>
      <c r="G81" s="3">
        <v>54161</v>
      </c>
      <c r="H81" s="3">
        <v>15</v>
      </c>
      <c r="I81" s="4">
        <v>46133</v>
      </c>
      <c r="J81" s="4">
        <v>46143</v>
      </c>
      <c r="K81" s="1" t="s">
        <v>24</v>
      </c>
    </row>
    <row r="82" spans="1:11" ht="29.5" thickBot="1" x14ac:dyDescent="0.4">
      <c r="A82" s="3">
        <v>1081</v>
      </c>
      <c r="B82" s="1" t="s">
        <v>47</v>
      </c>
      <c r="C82" s="1" t="s">
        <v>12</v>
      </c>
      <c r="D82" s="1" t="s">
        <v>34</v>
      </c>
      <c r="E82" s="1" t="s">
        <v>35</v>
      </c>
      <c r="F82" s="3">
        <v>15</v>
      </c>
      <c r="G82" s="3">
        <v>59912</v>
      </c>
      <c r="H82" s="3">
        <v>7</v>
      </c>
      <c r="I82" s="4">
        <v>46058</v>
      </c>
      <c r="J82" s="4">
        <v>46060</v>
      </c>
      <c r="K82" s="1" t="s">
        <v>51</v>
      </c>
    </row>
    <row r="83" spans="1:11" ht="29.5" thickBot="1" x14ac:dyDescent="0.4">
      <c r="A83" s="3">
        <v>1082</v>
      </c>
      <c r="B83" s="1" t="s">
        <v>21</v>
      </c>
      <c r="C83" s="1" t="s">
        <v>12</v>
      </c>
      <c r="D83" s="1" t="s">
        <v>13</v>
      </c>
      <c r="E83" s="1" t="s">
        <v>14</v>
      </c>
      <c r="F83" s="3">
        <v>7</v>
      </c>
      <c r="G83" s="3">
        <v>133</v>
      </c>
      <c r="H83" s="3">
        <v>10</v>
      </c>
      <c r="I83" s="4">
        <v>46075</v>
      </c>
      <c r="J83" s="4">
        <v>46085</v>
      </c>
      <c r="K83" s="1" t="s">
        <v>51</v>
      </c>
    </row>
    <row r="84" spans="1:11" ht="29.5" thickBot="1" x14ac:dyDescent="0.4">
      <c r="A84" s="3">
        <v>1083</v>
      </c>
      <c r="B84" s="1" t="s">
        <v>55</v>
      </c>
      <c r="C84" s="1" t="s">
        <v>33</v>
      </c>
      <c r="D84" s="1" t="s">
        <v>13</v>
      </c>
      <c r="E84" s="1" t="s">
        <v>53</v>
      </c>
      <c r="F84" s="3">
        <v>4</v>
      </c>
      <c r="G84" s="3">
        <v>397</v>
      </c>
      <c r="H84" s="3">
        <v>7</v>
      </c>
      <c r="I84" s="4">
        <v>46185</v>
      </c>
      <c r="J84" s="4">
        <v>46193</v>
      </c>
      <c r="K84" s="1" t="s">
        <v>15</v>
      </c>
    </row>
    <row r="85" spans="1:11" ht="15" thickBot="1" x14ac:dyDescent="0.4">
      <c r="A85" s="3">
        <v>1084</v>
      </c>
      <c r="B85" s="1" t="s">
        <v>49</v>
      </c>
      <c r="C85" s="1" t="s">
        <v>31</v>
      </c>
      <c r="D85" s="1" t="s">
        <v>18</v>
      </c>
      <c r="E85" s="1" t="s">
        <v>28</v>
      </c>
      <c r="F85" s="3">
        <v>4</v>
      </c>
      <c r="G85" s="3">
        <v>6901</v>
      </c>
      <c r="H85" s="3">
        <v>10</v>
      </c>
      <c r="I85" s="4">
        <v>46047</v>
      </c>
      <c r="J85" s="4">
        <v>46057</v>
      </c>
      <c r="K85" s="1" t="s">
        <v>20</v>
      </c>
    </row>
    <row r="86" spans="1:11" ht="29.5" thickBot="1" x14ac:dyDescent="0.4">
      <c r="A86" s="3">
        <v>1085</v>
      </c>
      <c r="B86" s="1" t="s">
        <v>32</v>
      </c>
      <c r="C86" s="1" t="s">
        <v>38</v>
      </c>
      <c r="D86" s="1" t="s">
        <v>34</v>
      </c>
      <c r="E86" s="1" t="s">
        <v>60</v>
      </c>
      <c r="F86" s="3">
        <v>19</v>
      </c>
      <c r="G86" s="3">
        <v>45307</v>
      </c>
      <c r="H86" s="3">
        <v>12</v>
      </c>
      <c r="I86" s="4">
        <v>46146</v>
      </c>
      <c r="J86" s="4">
        <v>46150</v>
      </c>
      <c r="K86" s="1" t="s">
        <v>24</v>
      </c>
    </row>
    <row r="87" spans="1:11" ht="29.5" thickBot="1" x14ac:dyDescent="0.4">
      <c r="A87" s="3">
        <v>1086</v>
      </c>
      <c r="B87" s="1" t="s">
        <v>32</v>
      </c>
      <c r="C87" s="1" t="s">
        <v>12</v>
      </c>
      <c r="D87" s="1" t="s">
        <v>13</v>
      </c>
      <c r="E87" s="1" t="s">
        <v>53</v>
      </c>
      <c r="F87" s="3">
        <v>15</v>
      </c>
      <c r="G87" s="3">
        <v>40</v>
      </c>
      <c r="H87" s="3">
        <v>10</v>
      </c>
      <c r="I87" s="4">
        <v>46045</v>
      </c>
      <c r="J87" s="4">
        <v>46049</v>
      </c>
      <c r="K87" s="1" t="s">
        <v>24</v>
      </c>
    </row>
    <row r="88" spans="1:11" ht="29.5" thickBot="1" x14ac:dyDescent="0.4">
      <c r="A88" s="3">
        <v>1087</v>
      </c>
      <c r="B88" s="1" t="s">
        <v>11</v>
      </c>
      <c r="C88" s="1" t="s">
        <v>31</v>
      </c>
      <c r="D88" s="1" t="s">
        <v>13</v>
      </c>
      <c r="E88" s="1" t="s">
        <v>37</v>
      </c>
      <c r="F88" s="3">
        <v>13</v>
      </c>
      <c r="G88" s="3">
        <v>387</v>
      </c>
      <c r="H88" s="3">
        <v>7</v>
      </c>
      <c r="I88" s="4">
        <v>46171</v>
      </c>
      <c r="J88" s="4">
        <v>46176</v>
      </c>
      <c r="K88" s="1" t="s">
        <v>24</v>
      </c>
    </row>
    <row r="89" spans="1:11" ht="29.5" thickBot="1" x14ac:dyDescent="0.4">
      <c r="A89" s="3">
        <v>1088</v>
      </c>
      <c r="B89" s="1" t="s">
        <v>40</v>
      </c>
      <c r="C89" s="1" t="s">
        <v>33</v>
      </c>
      <c r="D89" s="1" t="s">
        <v>34</v>
      </c>
      <c r="E89" s="1" t="s">
        <v>41</v>
      </c>
      <c r="F89" s="3">
        <v>20</v>
      </c>
      <c r="G89" s="3">
        <v>41165</v>
      </c>
      <c r="H89" s="3">
        <v>0</v>
      </c>
      <c r="I89" s="4">
        <v>46068</v>
      </c>
      <c r="J89" s="4">
        <v>46069</v>
      </c>
      <c r="K89" s="1" t="s">
        <v>20</v>
      </c>
    </row>
    <row r="90" spans="1:11" ht="29.5" thickBot="1" x14ac:dyDescent="0.4">
      <c r="A90" s="3">
        <v>1089</v>
      </c>
      <c r="B90" s="1" t="s">
        <v>46</v>
      </c>
      <c r="C90" s="1" t="s">
        <v>12</v>
      </c>
      <c r="D90" s="1" t="s">
        <v>34</v>
      </c>
      <c r="E90" s="1" t="s">
        <v>35</v>
      </c>
      <c r="F90" s="3">
        <v>10</v>
      </c>
      <c r="G90" s="3">
        <v>17041</v>
      </c>
      <c r="H90" s="3">
        <v>2</v>
      </c>
      <c r="I90" s="4">
        <v>46066</v>
      </c>
      <c r="J90" s="4">
        <v>46071</v>
      </c>
      <c r="K90" s="1" t="s">
        <v>24</v>
      </c>
    </row>
    <row r="91" spans="1:11" ht="29.5" thickBot="1" x14ac:dyDescent="0.4">
      <c r="A91" s="3">
        <v>1090</v>
      </c>
      <c r="B91" s="1" t="s">
        <v>49</v>
      </c>
      <c r="C91" s="1" t="s">
        <v>31</v>
      </c>
      <c r="D91" s="1" t="s">
        <v>34</v>
      </c>
      <c r="E91" s="1" t="s">
        <v>45</v>
      </c>
      <c r="F91" s="3">
        <v>19</v>
      </c>
      <c r="G91" s="3">
        <v>66139</v>
      </c>
      <c r="H91" s="3">
        <v>5</v>
      </c>
      <c r="I91" s="4">
        <v>46088</v>
      </c>
      <c r="J91" s="4">
        <v>46095</v>
      </c>
      <c r="K91" s="1" t="s">
        <v>24</v>
      </c>
    </row>
    <row r="92" spans="1:11" ht="29.5" thickBot="1" x14ac:dyDescent="0.4">
      <c r="A92" s="3">
        <v>1091</v>
      </c>
      <c r="B92" s="1" t="s">
        <v>55</v>
      </c>
      <c r="C92" s="1" t="s">
        <v>17</v>
      </c>
      <c r="D92" s="1" t="s">
        <v>13</v>
      </c>
      <c r="E92" s="1" t="s">
        <v>53</v>
      </c>
      <c r="F92" s="3">
        <v>2</v>
      </c>
      <c r="G92" s="3">
        <v>305</v>
      </c>
      <c r="H92" s="3">
        <v>0</v>
      </c>
      <c r="I92" s="4">
        <v>46136</v>
      </c>
      <c r="J92" s="4">
        <v>46144</v>
      </c>
      <c r="K92" s="1" t="s">
        <v>15</v>
      </c>
    </row>
    <row r="93" spans="1:11" ht="29.5" thickBot="1" x14ac:dyDescent="0.4">
      <c r="A93" s="3">
        <v>1092</v>
      </c>
      <c r="B93" s="1" t="s">
        <v>21</v>
      </c>
      <c r="C93" s="1" t="s">
        <v>22</v>
      </c>
      <c r="D93" s="1" t="s">
        <v>34</v>
      </c>
      <c r="E93" s="1" t="s">
        <v>41</v>
      </c>
      <c r="F93" s="3">
        <v>9</v>
      </c>
      <c r="G93" s="3">
        <v>23438</v>
      </c>
      <c r="H93" s="3">
        <v>2</v>
      </c>
      <c r="I93" s="4">
        <v>46049</v>
      </c>
      <c r="J93" s="4">
        <v>46055</v>
      </c>
      <c r="K93" s="1" t="s">
        <v>29</v>
      </c>
    </row>
    <row r="94" spans="1:11" ht="29.5" thickBot="1" x14ac:dyDescent="0.4">
      <c r="A94" s="3">
        <v>1093</v>
      </c>
      <c r="B94" s="1" t="s">
        <v>47</v>
      </c>
      <c r="C94" s="1" t="s">
        <v>25</v>
      </c>
      <c r="D94" s="1" t="s">
        <v>18</v>
      </c>
      <c r="E94" s="1" t="s">
        <v>23</v>
      </c>
      <c r="F94" s="3">
        <v>6</v>
      </c>
      <c r="G94" s="3">
        <v>8224</v>
      </c>
      <c r="H94" s="3">
        <v>15</v>
      </c>
      <c r="I94" s="4">
        <v>46175</v>
      </c>
      <c r="J94" s="4">
        <v>46185</v>
      </c>
      <c r="K94" s="1" t="s">
        <v>51</v>
      </c>
    </row>
    <row r="95" spans="1:11" ht="29.5" thickBot="1" x14ac:dyDescent="0.4">
      <c r="A95" s="3">
        <v>1094</v>
      </c>
      <c r="B95" s="1" t="s">
        <v>47</v>
      </c>
      <c r="C95" s="1" t="s">
        <v>43</v>
      </c>
      <c r="D95" s="1" t="s">
        <v>34</v>
      </c>
      <c r="E95" s="1" t="s">
        <v>61</v>
      </c>
      <c r="F95" s="3">
        <v>4</v>
      </c>
      <c r="G95" s="3">
        <v>7073</v>
      </c>
      <c r="H95" s="3">
        <v>0</v>
      </c>
      <c r="I95" s="4">
        <v>46101</v>
      </c>
      <c r="J95" s="4">
        <v>46105</v>
      </c>
      <c r="K95" s="1" t="s">
        <v>29</v>
      </c>
    </row>
    <row r="96" spans="1:11" ht="29.5" thickBot="1" x14ac:dyDescent="0.4">
      <c r="A96" s="3">
        <v>1095</v>
      </c>
      <c r="B96" s="1" t="s">
        <v>47</v>
      </c>
      <c r="C96" s="1" t="s">
        <v>25</v>
      </c>
      <c r="D96" s="1" t="s">
        <v>34</v>
      </c>
      <c r="E96" s="1" t="s">
        <v>41</v>
      </c>
      <c r="F96" s="3">
        <v>18</v>
      </c>
      <c r="G96" s="3">
        <v>587</v>
      </c>
      <c r="H96" s="3">
        <v>2</v>
      </c>
      <c r="I96" s="4">
        <v>46167</v>
      </c>
      <c r="J96" s="4">
        <v>46171</v>
      </c>
      <c r="K96" s="1" t="s">
        <v>20</v>
      </c>
    </row>
    <row r="97" spans="1:11" ht="15" thickBot="1" x14ac:dyDescent="0.4">
      <c r="A97" s="3">
        <v>1096</v>
      </c>
      <c r="B97" s="1" t="s">
        <v>49</v>
      </c>
      <c r="C97" s="1" t="s">
        <v>17</v>
      </c>
      <c r="D97" s="1" t="s">
        <v>18</v>
      </c>
      <c r="E97" s="1" t="s">
        <v>23</v>
      </c>
      <c r="F97" s="3">
        <v>15</v>
      </c>
      <c r="G97" s="3">
        <v>14724</v>
      </c>
      <c r="H97" s="3">
        <v>15</v>
      </c>
      <c r="I97" s="4">
        <v>46054</v>
      </c>
      <c r="J97" s="4">
        <v>46061</v>
      </c>
      <c r="K97" s="1" t="s">
        <v>20</v>
      </c>
    </row>
    <row r="98" spans="1:11" ht="29.5" thickBot="1" x14ac:dyDescent="0.4">
      <c r="A98" s="3">
        <v>1097</v>
      </c>
      <c r="B98" s="1" t="s">
        <v>52</v>
      </c>
      <c r="C98" s="1" t="s">
        <v>22</v>
      </c>
      <c r="D98" s="1" t="s">
        <v>34</v>
      </c>
      <c r="E98" s="1" t="s">
        <v>61</v>
      </c>
      <c r="F98" s="3">
        <v>10</v>
      </c>
      <c r="G98" s="3">
        <v>28980</v>
      </c>
      <c r="H98" s="3">
        <v>10</v>
      </c>
      <c r="I98" s="4">
        <v>46089</v>
      </c>
      <c r="J98" s="4">
        <v>46094</v>
      </c>
      <c r="K98" s="1" t="s">
        <v>24</v>
      </c>
    </row>
    <row r="99" spans="1:11" ht="29.5" thickBot="1" x14ac:dyDescent="0.4">
      <c r="A99" s="3">
        <v>1098</v>
      </c>
      <c r="B99" s="1" t="s">
        <v>26</v>
      </c>
      <c r="C99" s="1" t="s">
        <v>25</v>
      </c>
      <c r="D99" s="1" t="s">
        <v>13</v>
      </c>
      <c r="E99" s="1" t="s">
        <v>53</v>
      </c>
      <c r="F99" s="3">
        <v>17</v>
      </c>
      <c r="G99" s="3">
        <v>345</v>
      </c>
      <c r="H99" s="3">
        <v>2</v>
      </c>
      <c r="I99" s="4">
        <v>46126</v>
      </c>
      <c r="J99" s="4">
        <v>46127</v>
      </c>
      <c r="K99" s="1" t="s">
        <v>51</v>
      </c>
    </row>
    <row r="100" spans="1:11" ht="15" thickBot="1" x14ac:dyDescent="0.4">
      <c r="A100" s="3">
        <v>1099</v>
      </c>
      <c r="B100" s="1" t="s">
        <v>26</v>
      </c>
      <c r="C100" s="1" t="s">
        <v>31</v>
      </c>
      <c r="D100" s="1" t="s">
        <v>18</v>
      </c>
      <c r="E100" s="1" t="s">
        <v>19</v>
      </c>
      <c r="F100" s="3">
        <v>1</v>
      </c>
      <c r="G100" s="3">
        <v>5165</v>
      </c>
      <c r="H100" s="3">
        <v>2</v>
      </c>
      <c r="I100" s="4">
        <v>46058</v>
      </c>
      <c r="J100" s="4">
        <v>46060</v>
      </c>
      <c r="K100" s="1" t="s">
        <v>15</v>
      </c>
    </row>
    <row r="101" spans="1:11" ht="29.5" thickBot="1" x14ac:dyDescent="0.4">
      <c r="A101" s="3">
        <v>1100</v>
      </c>
      <c r="B101" s="1" t="s">
        <v>11</v>
      </c>
      <c r="C101" s="1" t="s">
        <v>31</v>
      </c>
      <c r="D101" s="1" t="s">
        <v>13</v>
      </c>
      <c r="E101" s="1" t="s">
        <v>14</v>
      </c>
      <c r="F101" s="3">
        <v>11</v>
      </c>
      <c r="G101" s="3">
        <v>296</v>
      </c>
      <c r="H101" s="3">
        <v>10</v>
      </c>
      <c r="I101" s="4">
        <v>46027</v>
      </c>
      <c r="J101" s="4">
        <v>46031</v>
      </c>
      <c r="K101" s="1" t="s">
        <v>51</v>
      </c>
    </row>
    <row r="102" spans="1:11" ht="29.5" thickBot="1" x14ac:dyDescent="0.4">
      <c r="A102" s="3">
        <v>1101</v>
      </c>
      <c r="B102" s="1" t="s">
        <v>27</v>
      </c>
      <c r="C102" s="1" t="s">
        <v>22</v>
      </c>
      <c r="D102" s="1" t="s">
        <v>34</v>
      </c>
      <c r="E102" s="1" t="s">
        <v>61</v>
      </c>
      <c r="F102" s="3">
        <v>9</v>
      </c>
      <c r="G102" s="3">
        <v>37361</v>
      </c>
      <c r="H102" s="3">
        <v>10</v>
      </c>
      <c r="I102" s="4">
        <v>46141</v>
      </c>
      <c r="J102" s="4">
        <v>46142</v>
      </c>
      <c r="K102" s="1" t="s">
        <v>24</v>
      </c>
    </row>
    <row r="103" spans="1:11" ht="29.5" thickBot="1" x14ac:dyDescent="0.4">
      <c r="A103" s="3">
        <v>1102</v>
      </c>
      <c r="B103" s="1" t="s">
        <v>54</v>
      </c>
      <c r="C103" s="1" t="s">
        <v>25</v>
      </c>
      <c r="D103" s="1" t="s">
        <v>34</v>
      </c>
      <c r="E103" s="1" t="s">
        <v>45</v>
      </c>
      <c r="F103" s="3">
        <v>12</v>
      </c>
      <c r="G103" s="3">
        <v>63402</v>
      </c>
      <c r="H103" s="3">
        <v>7</v>
      </c>
      <c r="I103" s="4">
        <v>46106</v>
      </c>
      <c r="J103" s="4">
        <v>46113</v>
      </c>
      <c r="K103" s="1" t="s">
        <v>51</v>
      </c>
    </row>
    <row r="104" spans="1:11" ht="15" thickBot="1" x14ac:dyDescent="0.4">
      <c r="A104" s="3">
        <v>1103</v>
      </c>
      <c r="B104" s="1" t="s">
        <v>16</v>
      </c>
      <c r="C104" s="1" t="s">
        <v>12</v>
      </c>
      <c r="D104" s="1" t="s">
        <v>18</v>
      </c>
      <c r="E104" s="1" t="s">
        <v>23</v>
      </c>
      <c r="F104" s="3">
        <v>7</v>
      </c>
      <c r="G104" s="3">
        <v>11925</v>
      </c>
      <c r="H104" s="3">
        <v>5</v>
      </c>
      <c r="I104" s="4">
        <v>46040</v>
      </c>
      <c r="J104" s="4">
        <v>46041</v>
      </c>
      <c r="K104" s="1" t="s">
        <v>29</v>
      </c>
    </row>
    <row r="105" spans="1:11" ht="15" thickBot="1" x14ac:dyDescent="0.4">
      <c r="A105" s="3">
        <v>1104</v>
      </c>
      <c r="B105" s="1" t="s">
        <v>16</v>
      </c>
      <c r="C105" s="1" t="s">
        <v>43</v>
      </c>
      <c r="D105" s="1" t="s">
        <v>18</v>
      </c>
      <c r="E105" s="1" t="s">
        <v>19</v>
      </c>
      <c r="F105" s="3">
        <v>10</v>
      </c>
      <c r="G105" s="3">
        <v>12848</v>
      </c>
      <c r="H105" s="3">
        <v>15</v>
      </c>
      <c r="I105" s="4">
        <v>46060</v>
      </c>
      <c r="J105" s="4">
        <v>46064</v>
      </c>
      <c r="K105" s="1" t="s">
        <v>29</v>
      </c>
    </row>
    <row r="106" spans="1:11" ht="29.5" thickBot="1" x14ac:dyDescent="0.4">
      <c r="A106" s="3">
        <v>1105</v>
      </c>
      <c r="B106" s="1" t="s">
        <v>59</v>
      </c>
      <c r="C106" s="1" t="s">
        <v>25</v>
      </c>
      <c r="D106" s="1" t="s">
        <v>13</v>
      </c>
      <c r="E106" s="1" t="s">
        <v>50</v>
      </c>
      <c r="F106" s="3">
        <v>2</v>
      </c>
      <c r="G106" s="3">
        <v>493</v>
      </c>
      <c r="H106" s="3">
        <v>12</v>
      </c>
      <c r="I106" s="4">
        <v>46057</v>
      </c>
      <c r="J106" s="4">
        <v>46066</v>
      </c>
      <c r="K106" s="1" t="s">
        <v>51</v>
      </c>
    </row>
    <row r="107" spans="1:11" ht="15" thickBot="1" x14ac:dyDescent="0.4">
      <c r="A107" s="3">
        <v>1106</v>
      </c>
      <c r="B107" s="1" t="s">
        <v>27</v>
      </c>
      <c r="C107" s="1" t="s">
        <v>43</v>
      </c>
      <c r="D107" s="1" t="s">
        <v>18</v>
      </c>
      <c r="E107" s="1" t="s">
        <v>23</v>
      </c>
      <c r="F107" s="3">
        <v>20</v>
      </c>
      <c r="G107" s="3">
        <v>2141</v>
      </c>
      <c r="H107" s="3">
        <v>2</v>
      </c>
      <c r="I107" s="4">
        <v>46091</v>
      </c>
      <c r="J107" s="4">
        <v>46097</v>
      </c>
      <c r="K107" s="1" t="s">
        <v>29</v>
      </c>
    </row>
    <row r="108" spans="1:11" ht="29.5" thickBot="1" x14ac:dyDescent="0.4">
      <c r="A108" s="3">
        <v>1107</v>
      </c>
      <c r="B108" s="1" t="s">
        <v>52</v>
      </c>
      <c r="C108" s="1" t="s">
        <v>17</v>
      </c>
      <c r="D108" s="1" t="s">
        <v>34</v>
      </c>
      <c r="E108" s="1" t="s">
        <v>60</v>
      </c>
      <c r="F108" s="3">
        <v>4</v>
      </c>
      <c r="G108" s="3">
        <v>14291</v>
      </c>
      <c r="H108" s="3">
        <v>2</v>
      </c>
      <c r="I108" s="4">
        <v>46076</v>
      </c>
      <c r="J108" s="4">
        <v>46078</v>
      </c>
      <c r="K108" s="1" t="s">
        <v>15</v>
      </c>
    </row>
    <row r="109" spans="1:11" ht="15" thickBot="1" x14ac:dyDescent="0.4">
      <c r="A109" s="3">
        <v>1108</v>
      </c>
      <c r="B109" s="1" t="s">
        <v>42</v>
      </c>
      <c r="C109" s="1" t="s">
        <v>33</v>
      </c>
      <c r="D109" s="1" t="s">
        <v>18</v>
      </c>
      <c r="E109" s="1" t="s">
        <v>28</v>
      </c>
      <c r="F109" s="3">
        <v>15</v>
      </c>
      <c r="G109" s="3">
        <v>13843</v>
      </c>
      <c r="H109" s="3">
        <v>7</v>
      </c>
      <c r="I109" s="4">
        <v>46119</v>
      </c>
      <c r="J109" s="4">
        <v>46127</v>
      </c>
      <c r="K109" s="1" t="s">
        <v>20</v>
      </c>
    </row>
    <row r="110" spans="1:11" ht="29.5" thickBot="1" x14ac:dyDescent="0.4">
      <c r="A110" s="3">
        <v>1109</v>
      </c>
      <c r="B110" s="1" t="s">
        <v>21</v>
      </c>
      <c r="C110" s="1" t="s">
        <v>31</v>
      </c>
      <c r="D110" s="1" t="s">
        <v>18</v>
      </c>
      <c r="E110" s="1" t="s">
        <v>44</v>
      </c>
      <c r="F110" s="3">
        <v>19</v>
      </c>
      <c r="G110" s="3">
        <v>6512</v>
      </c>
      <c r="H110" s="3">
        <v>10</v>
      </c>
      <c r="I110" s="4">
        <v>46033</v>
      </c>
      <c r="J110" s="4">
        <v>46037</v>
      </c>
      <c r="K110" s="1" t="s">
        <v>20</v>
      </c>
    </row>
    <row r="111" spans="1:11" ht="15" thickBot="1" x14ac:dyDescent="0.4">
      <c r="A111" s="3">
        <v>1110</v>
      </c>
      <c r="B111" s="1" t="s">
        <v>49</v>
      </c>
      <c r="C111" s="1" t="s">
        <v>38</v>
      </c>
      <c r="D111" s="1" t="s">
        <v>18</v>
      </c>
      <c r="E111" s="1" t="s">
        <v>23</v>
      </c>
      <c r="F111" s="3">
        <v>14</v>
      </c>
      <c r="G111" s="3">
        <v>6793</v>
      </c>
      <c r="H111" s="3">
        <v>7</v>
      </c>
      <c r="I111" s="4">
        <v>46077</v>
      </c>
      <c r="J111" s="4">
        <v>46082</v>
      </c>
      <c r="K111" s="1" t="s">
        <v>29</v>
      </c>
    </row>
    <row r="112" spans="1:11" ht="29.5" thickBot="1" x14ac:dyDescent="0.4">
      <c r="A112" s="3">
        <v>1111</v>
      </c>
      <c r="B112" s="1" t="s">
        <v>47</v>
      </c>
      <c r="C112" s="1" t="s">
        <v>17</v>
      </c>
      <c r="D112" s="1" t="s">
        <v>34</v>
      </c>
      <c r="E112" s="1" t="s">
        <v>35</v>
      </c>
      <c r="F112" s="3">
        <v>5</v>
      </c>
      <c r="G112" s="3">
        <v>49945</v>
      </c>
      <c r="H112" s="3">
        <v>12</v>
      </c>
      <c r="I112" s="4">
        <v>46133</v>
      </c>
      <c r="J112" s="4">
        <v>46141</v>
      </c>
      <c r="K112" s="1" t="s">
        <v>29</v>
      </c>
    </row>
    <row r="113" spans="1:11" ht="29.5" thickBot="1" x14ac:dyDescent="0.4">
      <c r="A113" s="3">
        <v>1112</v>
      </c>
      <c r="B113" s="1" t="s">
        <v>21</v>
      </c>
      <c r="C113" s="1" t="s">
        <v>43</v>
      </c>
      <c r="D113" s="1" t="s">
        <v>18</v>
      </c>
      <c r="E113" s="1" t="s">
        <v>44</v>
      </c>
      <c r="F113" s="3">
        <v>7</v>
      </c>
      <c r="G113" s="3">
        <v>1959</v>
      </c>
      <c r="H113" s="3">
        <v>15</v>
      </c>
      <c r="I113" s="4">
        <v>46090</v>
      </c>
      <c r="J113" s="4">
        <v>46100</v>
      </c>
      <c r="K113" s="1" t="s">
        <v>15</v>
      </c>
    </row>
    <row r="114" spans="1:11" ht="15" thickBot="1" x14ac:dyDescent="0.4">
      <c r="A114" s="3">
        <v>1113</v>
      </c>
      <c r="B114" s="1" t="s">
        <v>26</v>
      </c>
      <c r="C114" s="1" t="s">
        <v>43</v>
      </c>
      <c r="D114" s="1" t="s">
        <v>18</v>
      </c>
      <c r="E114" s="1" t="s">
        <v>56</v>
      </c>
      <c r="F114" s="3">
        <v>13</v>
      </c>
      <c r="G114" s="3">
        <v>6719</v>
      </c>
      <c r="H114" s="3">
        <v>15</v>
      </c>
      <c r="I114" s="4">
        <v>46076</v>
      </c>
      <c r="J114" s="4">
        <v>46081</v>
      </c>
      <c r="K114" s="1" t="s">
        <v>24</v>
      </c>
    </row>
    <row r="115" spans="1:11" ht="29.5" thickBot="1" x14ac:dyDescent="0.4">
      <c r="A115" s="3">
        <v>1114</v>
      </c>
      <c r="B115" s="1" t="s">
        <v>16</v>
      </c>
      <c r="C115" s="1" t="s">
        <v>25</v>
      </c>
      <c r="D115" s="1" t="s">
        <v>13</v>
      </c>
      <c r="E115" s="1" t="s">
        <v>50</v>
      </c>
      <c r="F115" s="3">
        <v>13</v>
      </c>
      <c r="G115" s="3">
        <v>32</v>
      </c>
      <c r="H115" s="3">
        <v>15</v>
      </c>
      <c r="I115" s="4">
        <v>46066</v>
      </c>
      <c r="J115" s="4">
        <v>46069</v>
      </c>
      <c r="K115" s="1" t="s">
        <v>15</v>
      </c>
    </row>
    <row r="116" spans="1:11" ht="29.5" thickBot="1" x14ac:dyDescent="0.4">
      <c r="A116" s="3">
        <v>1115</v>
      </c>
      <c r="B116" s="1" t="s">
        <v>59</v>
      </c>
      <c r="C116" s="1" t="s">
        <v>43</v>
      </c>
      <c r="D116" s="1" t="s">
        <v>13</v>
      </c>
      <c r="E116" s="1" t="s">
        <v>50</v>
      </c>
      <c r="F116" s="3">
        <v>9</v>
      </c>
      <c r="G116" s="3">
        <v>303</v>
      </c>
      <c r="H116" s="3">
        <v>10</v>
      </c>
      <c r="I116" s="4">
        <v>46149</v>
      </c>
      <c r="J116" s="4">
        <v>46157</v>
      </c>
      <c r="K116" s="1" t="s">
        <v>29</v>
      </c>
    </row>
    <row r="117" spans="1:11" ht="29.5" thickBot="1" x14ac:dyDescent="0.4">
      <c r="A117" s="3">
        <v>1116</v>
      </c>
      <c r="B117" s="1" t="s">
        <v>16</v>
      </c>
      <c r="C117" s="1" t="s">
        <v>25</v>
      </c>
      <c r="D117" s="1" t="s">
        <v>18</v>
      </c>
      <c r="E117" s="1" t="s">
        <v>56</v>
      </c>
      <c r="F117" s="3">
        <v>2</v>
      </c>
      <c r="G117" s="3">
        <v>12692</v>
      </c>
      <c r="H117" s="3">
        <v>15</v>
      </c>
      <c r="I117" s="4">
        <v>46049</v>
      </c>
      <c r="J117" s="4">
        <v>46051</v>
      </c>
      <c r="K117" s="1" t="s">
        <v>15</v>
      </c>
    </row>
    <row r="118" spans="1:11" ht="29.5" thickBot="1" x14ac:dyDescent="0.4">
      <c r="A118" s="3">
        <v>1117</v>
      </c>
      <c r="B118" s="1" t="s">
        <v>55</v>
      </c>
      <c r="C118" s="1" t="s">
        <v>43</v>
      </c>
      <c r="D118" s="1" t="s">
        <v>34</v>
      </c>
      <c r="E118" s="1" t="s">
        <v>39</v>
      </c>
      <c r="F118" s="3">
        <v>16</v>
      </c>
      <c r="G118" s="3">
        <v>33162</v>
      </c>
      <c r="H118" s="3">
        <v>7</v>
      </c>
      <c r="I118" s="4">
        <v>46147</v>
      </c>
      <c r="J118" s="4">
        <v>46155</v>
      </c>
      <c r="K118" s="1" t="s">
        <v>29</v>
      </c>
    </row>
    <row r="119" spans="1:11" ht="15" thickBot="1" x14ac:dyDescent="0.4">
      <c r="A119" s="3">
        <v>1118</v>
      </c>
      <c r="B119" s="1" t="s">
        <v>21</v>
      </c>
      <c r="C119" s="1" t="s">
        <v>22</v>
      </c>
      <c r="D119" s="1" t="s">
        <v>18</v>
      </c>
      <c r="E119" s="1" t="s">
        <v>23</v>
      </c>
      <c r="F119" s="3">
        <v>18</v>
      </c>
      <c r="G119" s="3">
        <v>9118</v>
      </c>
      <c r="H119" s="3">
        <v>5</v>
      </c>
      <c r="I119" s="4">
        <v>46178</v>
      </c>
      <c r="J119" s="4">
        <v>46187</v>
      </c>
      <c r="K119" s="1" t="s">
        <v>29</v>
      </c>
    </row>
    <row r="120" spans="1:11" ht="15" thickBot="1" x14ac:dyDescent="0.4">
      <c r="A120" s="3">
        <v>1119</v>
      </c>
      <c r="B120" s="1" t="s">
        <v>30</v>
      </c>
      <c r="C120" s="1" t="s">
        <v>43</v>
      </c>
      <c r="D120" s="1" t="s">
        <v>18</v>
      </c>
      <c r="E120" s="1" t="s">
        <v>28</v>
      </c>
      <c r="F120" s="3">
        <v>2</v>
      </c>
      <c r="G120" s="3">
        <v>3706</v>
      </c>
      <c r="H120" s="3">
        <v>5</v>
      </c>
      <c r="I120" s="4">
        <v>46184</v>
      </c>
      <c r="J120" s="4">
        <v>46192</v>
      </c>
      <c r="K120" s="1" t="s">
        <v>51</v>
      </c>
    </row>
    <row r="121" spans="1:11" ht="29.5" thickBot="1" x14ac:dyDescent="0.4">
      <c r="A121" s="3">
        <v>1120</v>
      </c>
      <c r="B121" s="1" t="s">
        <v>32</v>
      </c>
      <c r="C121" s="1" t="s">
        <v>38</v>
      </c>
      <c r="D121" s="1" t="s">
        <v>13</v>
      </c>
      <c r="E121" s="1" t="s">
        <v>36</v>
      </c>
      <c r="F121" s="3">
        <v>10</v>
      </c>
      <c r="G121" s="3">
        <v>438</v>
      </c>
      <c r="H121" s="3">
        <v>10</v>
      </c>
      <c r="I121" s="4">
        <v>46061</v>
      </c>
      <c r="J121" s="4">
        <v>46065</v>
      </c>
      <c r="K121" s="1" t="s">
        <v>51</v>
      </c>
    </row>
    <row r="122" spans="1:11" ht="29.5" thickBot="1" x14ac:dyDescent="0.4">
      <c r="A122" s="3">
        <v>1121</v>
      </c>
      <c r="B122" s="1" t="s">
        <v>29</v>
      </c>
      <c r="C122" s="1" t="s">
        <v>12</v>
      </c>
      <c r="D122" s="1" t="s">
        <v>34</v>
      </c>
      <c r="E122" s="1" t="s">
        <v>39</v>
      </c>
      <c r="F122" s="3">
        <v>4</v>
      </c>
      <c r="G122" s="3">
        <v>55809</v>
      </c>
      <c r="H122" s="3">
        <v>2</v>
      </c>
      <c r="I122" s="4">
        <v>46103</v>
      </c>
      <c r="J122" s="4">
        <v>46108</v>
      </c>
      <c r="K122" s="1" t="s">
        <v>29</v>
      </c>
    </row>
    <row r="123" spans="1:11" ht="29.5" thickBot="1" x14ac:dyDescent="0.4">
      <c r="A123" s="3">
        <v>1122</v>
      </c>
      <c r="B123" s="1" t="s">
        <v>40</v>
      </c>
      <c r="C123" s="1" t="s">
        <v>22</v>
      </c>
      <c r="D123" s="1" t="s">
        <v>34</v>
      </c>
      <c r="E123" s="1" t="s">
        <v>39</v>
      </c>
      <c r="F123" s="3">
        <v>14</v>
      </c>
      <c r="G123" s="3">
        <v>49990</v>
      </c>
      <c r="H123" s="3">
        <v>10</v>
      </c>
      <c r="I123" s="4">
        <v>46132</v>
      </c>
      <c r="J123" s="4">
        <v>46135</v>
      </c>
      <c r="K123" s="1" t="s">
        <v>29</v>
      </c>
    </row>
    <row r="124" spans="1:11" ht="29.5" thickBot="1" x14ac:dyDescent="0.4">
      <c r="A124" s="3">
        <v>1123</v>
      </c>
      <c r="B124" s="1" t="s">
        <v>32</v>
      </c>
      <c r="C124" s="1" t="s">
        <v>31</v>
      </c>
      <c r="D124" s="1" t="s">
        <v>34</v>
      </c>
      <c r="E124" s="1" t="s">
        <v>45</v>
      </c>
      <c r="F124" s="3">
        <v>16</v>
      </c>
      <c r="G124" s="3">
        <v>1332</v>
      </c>
      <c r="H124" s="3">
        <v>7</v>
      </c>
      <c r="I124" s="4">
        <v>46107</v>
      </c>
      <c r="J124" s="4">
        <v>46109</v>
      </c>
      <c r="K124" s="1" t="s">
        <v>29</v>
      </c>
    </row>
    <row r="125" spans="1:11" ht="15" thickBot="1" x14ac:dyDescent="0.4">
      <c r="A125" s="3">
        <v>1124</v>
      </c>
      <c r="B125" s="1" t="s">
        <v>27</v>
      </c>
      <c r="C125" s="1" t="s">
        <v>38</v>
      </c>
      <c r="D125" s="1" t="s">
        <v>18</v>
      </c>
      <c r="E125" s="1" t="s">
        <v>56</v>
      </c>
      <c r="F125" s="3">
        <v>4</v>
      </c>
      <c r="G125" s="3">
        <v>14195</v>
      </c>
      <c r="H125" s="3">
        <v>15</v>
      </c>
      <c r="I125" s="4">
        <v>46182</v>
      </c>
      <c r="J125" s="4">
        <v>46189</v>
      </c>
      <c r="K125" s="1" t="s">
        <v>51</v>
      </c>
    </row>
    <row r="126" spans="1:11" ht="29.5" thickBot="1" x14ac:dyDescent="0.4">
      <c r="A126" s="3">
        <v>1125</v>
      </c>
      <c r="B126" s="1" t="s">
        <v>49</v>
      </c>
      <c r="C126" s="1" t="s">
        <v>33</v>
      </c>
      <c r="D126" s="1" t="s">
        <v>13</v>
      </c>
      <c r="E126" s="1" t="s">
        <v>14</v>
      </c>
      <c r="F126" s="3">
        <v>6</v>
      </c>
      <c r="G126" s="3">
        <v>30</v>
      </c>
      <c r="H126" s="3">
        <v>2</v>
      </c>
      <c r="I126" s="4">
        <v>46133</v>
      </c>
      <c r="J126" s="4">
        <v>46138</v>
      </c>
      <c r="K126" s="1" t="s">
        <v>24</v>
      </c>
    </row>
    <row r="127" spans="1:11" ht="29.5" thickBot="1" x14ac:dyDescent="0.4">
      <c r="A127" s="3">
        <v>1126</v>
      </c>
      <c r="B127" s="1" t="s">
        <v>46</v>
      </c>
      <c r="C127" s="1" t="s">
        <v>22</v>
      </c>
      <c r="D127" s="1" t="s">
        <v>34</v>
      </c>
      <c r="E127" s="1" t="s">
        <v>39</v>
      </c>
      <c r="F127" s="3">
        <v>17</v>
      </c>
      <c r="G127" s="3">
        <v>19390</v>
      </c>
      <c r="H127" s="3">
        <v>12</v>
      </c>
      <c r="I127" s="4">
        <v>46201</v>
      </c>
      <c r="J127" s="4">
        <v>46206</v>
      </c>
      <c r="K127" s="1" t="s">
        <v>29</v>
      </c>
    </row>
    <row r="128" spans="1:11" ht="15" thickBot="1" x14ac:dyDescent="0.4">
      <c r="A128" s="3">
        <v>1127</v>
      </c>
      <c r="B128" s="1" t="s">
        <v>26</v>
      </c>
      <c r="C128" s="1" t="s">
        <v>33</v>
      </c>
      <c r="D128" s="1" t="s">
        <v>18</v>
      </c>
      <c r="E128" s="1" t="s">
        <v>28</v>
      </c>
      <c r="F128" s="3">
        <v>15</v>
      </c>
      <c r="G128" s="3">
        <v>11694</v>
      </c>
      <c r="H128" s="3">
        <v>12</v>
      </c>
      <c r="I128" s="4">
        <v>46170</v>
      </c>
      <c r="J128" s="4">
        <v>46179</v>
      </c>
      <c r="K128" s="1" t="s">
        <v>29</v>
      </c>
    </row>
    <row r="129" spans="1:11" ht="29.5" thickBot="1" x14ac:dyDescent="0.4">
      <c r="A129" s="3">
        <v>1128</v>
      </c>
      <c r="B129" s="1" t="s">
        <v>30</v>
      </c>
      <c r="C129" s="1" t="s">
        <v>22</v>
      </c>
      <c r="D129" s="1" t="s">
        <v>34</v>
      </c>
      <c r="E129" s="1" t="s">
        <v>61</v>
      </c>
      <c r="F129" s="3">
        <v>6</v>
      </c>
      <c r="G129" s="3">
        <v>5001</v>
      </c>
      <c r="H129" s="3">
        <v>7</v>
      </c>
      <c r="I129" s="4">
        <v>46044</v>
      </c>
      <c r="J129" s="4">
        <v>46050</v>
      </c>
      <c r="K129" s="1" t="s">
        <v>29</v>
      </c>
    </row>
    <row r="130" spans="1:11" ht="29.5" thickBot="1" x14ac:dyDescent="0.4">
      <c r="A130" s="3">
        <v>1129</v>
      </c>
      <c r="B130" s="1" t="s">
        <v>58</v>
      </c>
      <c r="C130" s="1" t="s">
        <v>17</v>
      </c>
      <c r="D130" s="1" t="s">
        <v>13</v>
      </c>
      <c r="E130" s="1" t="s">
        <v>50</v>
      </c>
      <c r="F130" s="3">
        <v>15</v>
      </c>
      <c r="G130" s="3">
        <v>75</v>
      </c>
      <c r="H130" s="3">
        <v>7</v>
      </c>
      <c r="I130" s="4">
        <v>46160</v>
      </c>
      <c r="J130" s="4">
        <v>46164</v>
      </c>
      <c r="K130" s="1" t="s">
        <v>29</v>
      </c>
    </row>
    <row r="131" spans="1:11" ht="29.5" thickBot="1" x14ac:dyDescent="0.4">
      <c r="A131" s="3">
        <v>1130</v>
      </c>
      <c r="B131" s="1" t="s">
        <v>48</v>
      </c>
      <c r="C131" s="1" t="s">
        <v>33</v>
      </c>
      <c r="D131" s="1" t="s">
        <v>13</v>
      </c>
      <c r="E131" s="1" t="s">
        <v>14</v>
      </c>
      <c r="F131" s="3">
        <v>12</v>
      </c>
      <c r="G131" s="3">
        <v>50</v>
      </c>
      <c r="H131" s="3">
        <v>2</v>
      </c>
      <c r="I131" s="4">
        <v>46125</v>
      </c>
      <c r="J131" s="4">
        <v>46131</v>
      </c>
      <c r="K131" s="1" t="s">
        <v>24</v>
      </c>
    </row>
    <row r="132" spans="1:11" ht="15" thickBot="1" x14ac:dyDescent="0.4">
      <c r="A132" s="3">
        <v>1131</v>
      </c>
      <c r="B132" s="1" t="s">
        <v>21</v>
      </c>
      <c r="C132" s="1" t="s">
        <v>31</v>
      </c>
      <c r="D132" s="1" t="s">
        <v>18</v>
      </c>
      <c r="E132" s="1" t="s">
        <v>23</v>
      </c>
      <c r="F132" s="3">
        <v>13</v>
      </c>
      <c r="G132" s="3">
        <v>3083</v>
      </c>
      <c r="H132" s="3">
        <v>7</v>
      </c>
      <c r="I132" s="4">
        <v>46168</v>
      </c>
      <c r="J132" s="4">
        <v>46173</v>
      </c>
      <c r="K132" s="1" t="s">
        <v>51</v>
      </c>
    </row>
    <row r="133" spans="1:11" ht="29.5" thickBot="1" x14ac:dyDescent="0.4">
      <c r="A133" s="3">
        <v>1132</v>
      </c>
      <c r="B133" s="1" t="s">
        <v>11</v>
      </c>
      <c r="C133" s="1" t="s">
        <v>31</v>
      </c>
      <c r="D133" s="1" t="s">
        <v>13</v>
      </c>
      <c r="E133" s="1" t="s">
        <v>50</v>
      </c>
      <c r="F133" s="3">
        <v>10</v>
      </c>
      <c r="G133" s="3">
        <v>270</v>
      </c>
      <c r="H133" s="3">
        <v>7</v>
      </c>
      <c r="I133" s="4">
        <v>46024</v>
      </c>
      <c r="J133" s="4">
        <v>46034</v>
      </c>
      <c r="K133" s="1" t="s">
        <v>24</v>
      </c>
    </row>
    <row r="134" spans="1:11" ht="15" thickBot="1" x14ac:dyDescent="0.4">
      <c r="A134" s="3">
        <v>1133</v>
      </c>
      <c r="B134" s="1" t="s">
        <v>11</v>
      </c>
      <c r="C134" s="1" t="s">
        <v>12</v>
      </c>
      <c r="D134" s="1" t="s">
        <v>18</v>
      </c>
      <c r="E134" s="1" t="s">
        <v>56</v>
      </c>
      <c r="F134" s="3">
        <v>6</v>
      </c>
      <c r="G134" s="3">
        <v>9037</v>
      </c>
      <c r="H134" s="3">
        <v>2</v>
      </c>
      <c r="I134" s="4">
        <v>46112</v>
      </c>
      <c r="J134" s="4">
        <v>46121</v>
      </c>
      <c r="K134" s="1" t="s">
        <v>51</v>
      </c>
    </row>
    <row r="135" spans="1:11" ht="29.5" thickBot="1" x14ac:dyDescent="0.4">
      <c r="A135" s="3">
        <v>1134</v>
      </c>
      <c r="B135" s="1" t="s">
        <v>57</v>
      </c>
      <c r="C135" s="1" t="s">
        <v>31</v>
      </c>
      <c r="D135" s="1" t="s">
        <v>34</v>
      </c>
      <c r="E135" s="1" t="s">
        <v>61</v>
      </c>
      <c r="F135" s="3">
        <v>10</v>
      </c>
      <c r="G135" s="3">
        <v>29217</v>
      </c>
      <c r="H135" s="3">
        <v>15</v>
      </c>
      <c r="I135" s="4">
        <v>46148</v>
      </c>
      <c r="J135" s="4">
        <v>46150</v>
      </c>
      <c r="K135" s="1" t="s">
        <v>24</v>
      </c>
    </row>
    <row r="136" spans="1:11" ht="29.5" thickBot="1" x14ac:dyDescent="0.4">
      <c r="A136" s="3">
        <v>1135</v>
      </c>
      <c r="B136" s="1" t="s">
        <v>49</v>
      </c>
      <c r="C136" s="1" t="s">
        <v>43</v>
      </c>
      <c r="D136" s="1" t="s">
        <v>34</v>
      </c>
      <c r="E136" s="1" t="s">
        <v>39</v>
      </c>
      <c r="F136" s="3">
        <v>14</v>
      </c>
      <c r="G136" s="3">
        <v>68534</v>
      </c>
      <c r="H136" s="3">
        <v>0</v>
      </c>
      <c r="I136" s="4">
        <v>46041</v>
      </c>
      <c r="J136" s="4">
        <v>46042</v>
      </c>
      <c r="K136" s="1" t="s">
        <v>15</v>
      </c>
    </row>
    <row r="137" spans="1:11" ht="15" thickBot="1" x14ac:dyDescent="0.4">
      <c r="A137" s="3">
        <v>1136</v>
      </c>
      <c r="B137" s="1" t="s">
        <v>27</v>
      </c>
      <c r="C137" s="1" t="s">
        <v>43</v>
      </c>
      <c r="D137" s="1" t="s">
        <v>18</v>
      </c>
      <c r="E137" s="1" t="s">
        <v>56</v>
      </c>
      <c r="F137" s="3">
        <v>19</v>
      </c>
      <c r="G137" s="3">
        <v>14528</v>
      </c>
      <c r="H137" s="3">
        <v>12</v>
      </c>
      <c r="I137" s="4">
        <v>46056</v>
      </c>
      <c r="J137" s="4">
        <v>46062</v>
      </c>
      <c r="K137" s="1" t="s">
        <v>24</v>
      </c>
    </row>
    <row r="138" spans="1:11" ht="29.5" thickBot="1" x14ac:dyDescent="0.4">
      <c r="A138" s="3">
        <v>1137</v>
      </c>
      <c r="B138" s="1" t="s">
        <v>52</v>
      </c>
      <c r="C138" s="1" t="s">
        <v>12</v>
      </c>
      <c r="D138" s="1" t="s">
        <v>13</v>
      </c>
      <c r="E138" s="1" t="s">
        <v>37</v>
      </c>
      <c r="F138" s="3">
        <v>16</v>
      </c>
      <c r="G138" s="3">
        <v>270</v>
      </c>
      <c r="H138" s="3">
        <v>10</v>
      </c>
      <c r="I138" s="4">
        <v>46184</v>
      </c>
      <c r="J138" s="4">
        <v>46190</v>
      </c>
      <c r="K138" s="1" t="s">
        <v>29</v>
      </c>
    </row>
    <row r="139" spans="1:11" ht="15" thickBot="1" x14ac:dyDescent="0.4">
      <c r="A139" s="3">
        <v>1138</v>
      </c>
      <c r="B139" s="1" t="s">
        <v>55</v>
      </c>
      <c r="C139" s="1" t="s">
        <v>43</v>
      </c>
      <c r="D139" s="1" t="s">
        <v>18</v>
      </c>
      <c r="E139" s="1" t="s">
        <v>19</v>
      </c>
      <c r="F139" s="3">
        <v>5</v>
      </c>
      <c r="G139" s="3">
        <v>14466</v>
      </c>
      <c r="H139" s="3">
        <v>2</v>
      </c>
      <c r="I139" s="4">
        <v>46084</v>
      </c>
      <c r="J139" s="4">
        <v>46092</v>
      </c>
      <c r="K139" s="1" t="s">
        <v>51</v>
      </c>
    </row>
    <row r="140" spans="1:11" ht="29.5" thickBot="1" x14ac:dyDescent="0.4">
      <c r="A140" s="3">
        <v>1139</v>
      </c>
      <c r="B140" s="1" t="s">
        <v>55</v>
      </c>
      <c r="C140" s="1" t="s">
        <v>33</v>
      </c>
      <c r="D140" s="1" t="s">
        <v>34</v>
      </c>
      <c r="E140" s="1" t="s">
        <v>61</v>
      </c>
      <c r="F140" s="3">
        <v>17</v>
      </c>
      <c r="G140" s="3">
        <v>28839</v>
      </c>
      <c r="H140" s="3">
        <v>10</v>
      </c>
      <c r="I140" s="4">
        <v>46093</v>
      </c>
      <c r="J140" s="4">
        <v>46099</v>
      </c>
      <c r="K140" s="1" t="s">
        <v>15</v>
      </c>
    </row>
    <row r="141" spans="1:11" ht="29.5" thickBot="1" x14ac:dyDescent="0.4">
      <c r="A141" s="3">
        <v>1140</v>
      </c>
      <c r="B141" s="1" t="s">
        <v>57</v>
      </c>
      <c r="C141" s="1" t="s">
        <v>38</v>
      </c>
      <c r="D141" s="1" t="s">
        <v>34</v>
      </c>
      <c r="E141" s="1" t="s">
        <v>41</v>
      </c>
      <c r="F141" s="3">
        <v>5</v>
      </c>
      <c r="G141" s="3">
        <v>68012</v>
      </c>
      <c r="H141" s="3">
        <v>5</v>
      </c>
      <c r="I141" s="4">
        <v>46061</v>
      </c>
      <c r="J141" s="4">
        <v>46065</v>
      </c>
      <c r="K141" s="1" t="s">
        <v>15</v>
      </c>
    </row>
    <row r="142" spans="1:11" ht="29.5" thickBot="1" x14ac:dyDescent="0.4">
      <c r="A142" s="3">
        <v>1141</v>
      </c>
      <c r="B142" s="1" t="s">
        <v>11</v>
      </c>
      <c r="C142" s="1" t="s">
        <v>17</v>
      </c>
      <c r="D142" s="1" t="s">
        <v>18</v>
      </c>
      <c r="E142" s="1" t="s">
        <v>44</v>
      </c>
      <c r="F142" s="3">
        <v>20</v>
      </c>
      <c r="G142" s="3">
        <v>6835</v>
      </c>
      <c r="H142" s="3">
        <v>2</v>
      </c>
      <c r="I142" s="4">
        <v>46043</v>
      </c>
      <c r="J142" s="4">
        <v>46053</v>
      </c>
      <c r="K142" s="1" t="s">
        <v>15</v>
      </c>
    </row>
    <row r="143" spans="1:11" ht="29.5" thickBot="1" x14ac:dyDescent="0.4">
      <c r="A143" s="3">
        <v>1142</v>
      </c>
      <c r="B143" s="1" t="s">
        <v>40</v>
      </c>
      <c r="C143" s="1" t="s">
        <v>25</v>
      </c>
      <c r="D143" s="1" t="s">
        <v>34</v>
      </c>
      <c r="E143" s="1" t="s">
        <v>60</v>
      </c>
      <c r="F143" s="3">
        <v>9</v>
      </c>
      <c r="G143" s="3">
        <v>59788</v>
      </c>
      <c r="H143" s="3">
        <v>7</v>
      </c>
      <c r="I143" s="4">
        <v>46064</v>
      </c>
      <c r="J143" s="4">
        <v>46071</v>
      </c>
      <c r="K143" s="1" t="s">
        <v>29</v>
      </c>
    </row>
    <row r="144" spans="1:11" ht="29.5" thickBot="1" x14ac:dyDescent="0.4">
      <c r="A144" s="3">
        <v>1143</v>
      </c>
      <c r="B144" s="1" t="s">
        <v>29</v>
      </c>
      <c r="C144" s="1" t="s">
        <v>17</v>
      </c>
      <c r="D144" s="1" t="s">
        <v>13</v>
      </c>
      <c r="E144" s="1" t="s">
        <v>37</v>
      </c>
      <c r="F144" s="3">
        <v>13</v>
      </c>
      <c r="G144" s="3">
        <v>456</v>
      </c>
      <c r="H144" s="3">
        <v>2</v>
      </c>
      <c r="I144" s="4">
        <v>46160</v>
      </c>
      <c r="J144" s="4">
        <v>46167</v>
      </c>
      <c r="K144" s="1" t="s">
        <v>24</v>
      </c>
    </row>
    <row r="145" spans="1:11" ht="29.5" thickBot="1" x14ac:dyDescent="0.4">
      <c r="A145" s="3">
        <v>1144</v>
      </c>
      <c r="B145" s="1" t="s">
        <v>42</v>
      </c>
      <c r="C145" s="1" t="s">
        <v>25</v>
      </c>
      <c r="D145" s="1" t="s">
        <v>13</v>
      </c>
      <c r="E145" s="1" t="s">
        <v>14</v>
      </c>
      <c r="F145" s="3">
        <v>16</v>
      </c>
      <c r="G145" s="3">
        <v>219</v>
      </c>
      <c r="H145" s="3">
        <v>7</v>
      </c>
      <c r="I145" s="4">
        <v>46138</v>
      </c>
      <c r="J145" s="4">
        <v>46140</v>
      </c>
      <c r="K145" s="1" t="s">
        <v>20</v>
      </c>
    </row>
    <row r="146" spans="1:11" ht="29.5" thickBot="1" x14ac:dyDescent="0.4">
      <c r="A146" s="3">
        <v>1145</v>
      </c>
      <c r="B146" s="1" t="s">
        <v>42</v>
      </c>
      <c r="C146" s="1" t="s">
        <v>33</v>
      </c>
      <c r="D146" s="1" t="s">
        <v>34</v>
      </c>
      <c r="E146" s="1" t="s">
        <v>39</v>
      </c>
      <c r="F146" s="3">
        <v>2</v>
      </c>
      <c r="G146" s="3">
        <v>34429</v>
      </c>
      <c r="H146" s="3">
        <v>12</v>
      </c>
      <c r="I146" s="4">
        <v>46102</v>
      </c>
      <c r="J146" s="4">
        <v>46112</v>
      </c>
      <c r="K146" s="1" t="s">
        <v>24</v>
      </c>
    </row>
    <row r="147" spans="1:11" ht="29.5" thickBot="1" x14ac:dyDescent="0.4">
      <c r="A147" s="3">
        <v>1146</v>
      </c>
      <c r="B147" s="1" t="s">
        <v>16</v>
      </c>
      <c r="C147" s="1" t="s">
        <v>43</v>
      </c>
      <c r="D147" s="1" t="s">
        <v>34</v>
      </c>
      <c r="E147" s="1" t="s">
        <v>45</v>
      </c>
      <c r="F147" s="3">
        <v>7</v>
      </c>
      <c r="G147" s="3">
        <v>68217</v>
      </c>
      <c r="H147" s="3">
        <v>0</v>
      </c>
      <c r="I147" s="4">
        <v>46190</v>
      </c>
      <c r="J147" s="4">
        <v>46197</v>
      </c>
      <c r="K147" s="1" t="s">
        <v>29</v>
      </c>
    </row>
    <row r="148" spans="1:11" ht="15" thickBot="1" x14ac:dyDescent="0.4">
      <c r="A148" s="3">
        <v>1147</v>
      </c>
      <c r="B148" s="1" t="s">
        <v>11</v>
      </c>
      <c r="C148" s="1" t="s">
        <v>22</v>
      </c>
      <c r="D148" s="1" t="s">
        <v>18</v>
      </c>
      <c r="E148" s="1" t="s">
        <v>28</v>
      </c>
      <c r="F148" s="3">
        <v>7</v>
      </c>
      <c r="G148" s="3">
        <v>9581</v>
      </c>
      <c r="H148" s="3">
        <v>5</v>
      </c>
      <c r="I148" s="4">
        <v>46154</v>
      </c>
      <c r="J148" s="4">
        <v>46155</v>
      </c>
      <c r="K148" s="1" t="s">
        <v>20</v>
      </c>
    </row>
    <row r="149" spans="1:11" ht="15" thickBot="1" x14ac:dyDescent="0.4">
      <c r="A149" s="3">
        <v>1148</v>
      </c>
      <c r="B149" s="1" t="s">
        <v>59</v>
      </c>
      <c r="C149" s="1" t="s">
        <v>33</v>
      </c>
      <c r="D149" s="1" t="s">
        <v>18</v>
      </c>
      <c r="E149" s="1" t="s">
        <v>28</v>
      </c>
      <c r="F149" s="3">
        <v>11</v>
      </c>
      <c r="G149" s="3">
        <v>3023</v>
      </c>
      <c r="H149" s="3">
        <v>7</v>
      </c>
      <c r="I149" s="4">
        <v>46030</v>
      </c>
      <c r="J149" s="4">
        <v>46032</v>
      </c>
      <c r="K149" s="1" t="s">
        <v>24</v>
      </c>
    </row>
    <row r="150" spans="1:11" ht="29.5" thickBot="1" x14ac:dyDescent="0.4">
      <c r="A150" s="3">
        <v>1149</v>
      </c>
      <c r="B150" s="1" t="s">
        <v>26</v>
      </c>
      <c r="C150" s="1" t="s">
        <v>38</v>
      </c>
      <c r="D150" s="1" t="s">
        <v>34</v>
      </c>
      <c r="E150" s="1" t="s">
        <v>35</v>
      </c>
      <c r="F150" s="3">
        <v>10</v>
      </c>
      <c r="G150" s="3">
        <v>22853</v>
      </c>
      <c r="H150" s="3">
        <v>7</v>
      </c>
      <c r="I150" s="4">
        <v>46053</v>
      </c>
      <c r="J150" s="4">
        <v>46054</v>
      </c>
      <c r="K150" s="1" t="s">
        <v>29</v>
      </c>
    </row>
    <row r="151" spans="1:11" ht="15" thickBot="1" x14ac:dyDescent="0.4">
      <c r="A151" s="3">
        <v>1150</v>
      </c>
      <c r="B151" s="1" t="s">
        <v>42</v>
      </c>
      <c r="C151" s="1" t="s">
        <v>12</v>
      </c>
      <c r="D151" s="1" t="s">
        <v>18</v>
      </c>
      <c r="E151" s="1" t="s">
        <v>56</v>
      </c>
      <c r="F151" s="3">
        <v>10</v>
      </c>
      <c r="G151" s="3">
        <v>5323</v>
      </c>
      <c r="H151" s="3">
        <v>7</v>
      </c>
      <c r="I151" s="4">
        <v>46143</v>
      </c>
      <c r="J151" s="4">
        <v>46153</v>
      </c>
      <c r="K151" s="1" t="s">
        <v>24</v>
      </c>
    </row>
    <row r="152" spans="1:11" ht="29.5" thickBot="1" x14ac:dyDescent="0.4">
      <c r="A152" s="3">
        <v>1151</v>
      </c>
      <c r="B152" s="1" t="s">
        <v>46</v>
      </c>
      <c r="C152" s="1" t="s">
        <v>43</v>
      </c>
      <c r="D152" s="1" t="s">
        <v>13</v>
      </c>
      <c r="E152" s="1" t="s">
        <v>50</v>
      </c>
      <c r="F152" s="3">
        <v>20</v>
      </c>
      <c r="G152" s="3">
        <v>272</v>
      </c>
      <c r="H152" s="3">
        <v>15</v>
      </c>
      <c r="I152" s="4">
        <v>46024</v>
      </c>
      <c r="J152" s="4">
        <v>46029</v>
      </c>
      <c r="K152" s="1" t="s">
        <v>51</v>
      </c>
    </row>
    <row r="153" spans="1:11" ht="29.5" thickBot="1" x14ac:dyDescent="0.4">
      <c r="A153" s="3">
        <v>1152</v>
      </c>
      <c r="B153" s="1" t="s">
        <v>27</v>
      </c>
      <c r="C153" s="1" t="s">
        <v>31</v>
      </c>
      <c r="D153" s="1" t="s">
        <v>34</v>
      </c>
      <c r="E153" s="1" t="s">
        <v>61</v>
      </c>
      <c r="F153" s="3">
        <v>14</v>
      </c>
      <c r="G153" s="3">
        <v>8150</v>
      </c>
      <c r="H153" s="3">
        <v>10</v>
      </c>
      <c r="I153" s="4">
        <v>46062</v>
      </c>
      <c r="J153" s="4">
        <v>46070</v>
      </c>
      <c r="K153" s="1" t="s">
        <v>15</v>
      </c>
    </row>
    <row r="154" spans="1:11" ht="29.5" thickBot="1" x14ac:dyDescent="0.4">
      <c r="A154" s="3">
        <v>1153</v>
      </c>
      <c r="B154" s="1" t="s">
        <v>42</v>
      </c>
      <c r="C154" s="1" t="s">
        <v>25</v>
      </c>
      <c r="D154" s="1" t="s">
        <v>18</v>
      </c>
      <c r="E154" s="1" t="s">
        <v>23</v>
      </c>
      <c r="F154" s="3">
        <v>19</v>
      </c>
      <c r="G154" s="3">
        <v>10273</v>
      </c>
      <c r="H154" s="3">
        <v>12</v>
      </c>
      <c r="I154" s="4">
        <v>46069</v>
      </c>
      <c r="J154" s="4">
        <v>46072</v>
      </c>
      <c r="K154" s="1" t="s">
        <v>29</v>
      </c>
    </row>
    <row r="155" spans="1:11" ht="15" thickBot="1" x14ac:dyDescent="0.4">
      <c r="A155" s="3">
        <v>1154</v>
      </c>
      <c r="B155" s="1" t="s">
        <v>32</v>
      </c>
      <c r="C155" s="1" t="s">
        <v>17</v>
      </c>
      <c r="D155" s="1" t="s">
        <v>18</v>
      </c>
      <c r="E155" s="1" t="s">
        <v>56</v>
      </c>
      <c r="F155" s="3">
        <v>15</v>
      </c>
      <c r="G155" s="3">
        <v>6101</v>
      </c>
      <c r="H155" s="3">
        <v>0</v>
      </c>
      <c r="I155" s="4">
        <v>46178</v>
      </c>
      <c r="J155" s="4">
        <v>46183</v>
      </c>
      <c r="K155" s="1" t="s">
        <v>51</v>
      </c>
    </row>
    <row r="156" spans="1:11" ht="15" thickBot="1" x14ac:dyDescent="0.4">
      <c r="A156" s="3">
        <v>1155</v>
      </c>
      <c r="B156" s="1" t="s">
        <v>11</v>
      </c>
      <c r="C156" s="1" t="s">
        <v>31</v>
      </c>
      <c r="D156" s="1" t="s">
        <v>18</v>
      </c>
      <c r="E156" s="1" t="s">
        <v>28</v>
      </c>
      <c r="F156" s="3">
        <v>13</v>
      </c>
      <c r="G156" s="3">
        <v>4341</v>
      </c>
      <c r="H156" s="3">
        <v>15</v>
      </c>
      <c r="I156" s="4">
        <v>46093</v>
      </c>
      <c r="J156" s="4">
        <v>46096</v>
      </c>
      <c r="K156" s="1" t="s">
        <v>24</v>
      </c>
    </row>
    <row r="157" spans="1:11" ht="29.5" thickBot="1" x14ac:dyDescent="0.4">
      <c r="A157" s="3">
        <v>1156</v>
      </c>
      <c r="B157" s="1" t="s">
        <v>54</v>
      </c>
      <c r="C157" s="1" t="s">
        <v>38</v>
      </c>
      <c r="D157" s="1" t="s">
        <v>13</v>
      </c>
      <c r="E157" s="1" t="s">
        <v>36</v>
      </c>
      <c r="F157" s="3">
        <v>5</v>
      </c>
      <c r="G157" s="3">
        <v>466</v>
      </c>
      <c r="H157" s="3">
        <v>15</v>
      </c>
      <c r="I157" s="4">
        <v>46025</v>
      </c>
      <c r="J157" s="4">
        <v>46029</v>
      </c>
      <c r="K157" s="1" t="s">
        <v>15</v>
      </c>
    </row>
    <row r="158" spans="1:11" ht="29.5" thickBot="1" x14ac:dyDescent="0.4">
      <c r="A158" s="3">
        <v>1157</v>
      </c>
      <c r="B158" s="1" t="s">
        <v>52</v>
      </c>
      <c r="C158" s="1" t="s">
        <v>33</v>
      </c>
      <c r="D158" s="1" t="s">
        <v>13</v>
      </c>
      <c r="E158" s="1" t="s">
        <v>50</v>
      </c>
      <c r="F158" s="3">
        <v>3</v>
      </c>
      <c r="G158" s="3">
        <v>203</v>
      </c>
      <c r="H158" s="3">
        <v>15</v>
      </c>
      <c r="I158" s="4">
        <v>46076</v>
      </c>
      <c r="J158" s="4">
        <v>46080</v>
      </c>
      <c r="K158" s="1" t="s">
        <v>29</v>
      </c>
    </row>
    <row r="159" spans="1:11" ht="29.5" thickBot="1" x14ac:dyDescent="0.4">
      <c r="A159" s="3">
        <v>1158</v>
      </c>
      <c r="B159" s="1" t="s">
        <v>26</v>
      </c>
      <c r="C159" s="1" t="s">
        <v>38</v>
      </c>
      <c r="D159" s="1" t="s">
        <v>34</v>
      </c>
      <c r="E159" s="1" t="s">
        <v>41</v>
      </c>
      <c r="F159" s="3">
        <v>13</v>
      </c>
      <c r="G159" s="3">
        <v>12518</v>
      </c>
      <c r="H159" s="3">
        <v>2</v>
      </c>
      <c r="I159" s="4">
        <v>46079</v>
      </c>
      <c r="J159" s="4">
        <v>46082</v>
      </c>
      <c r="K159" s="1" t="s">
        <v>51</v>
      </c>
    </row>
    <row r="160" spans="1:11" ht="15" thickBot="1" x14ac:dyDescent="0.4">
      <c r="A160" s="3">
        <v>1159</v>
      </c>
      <c r="B160" s="1" t="s">
        <v>32</v>
      </c>
      <c r="C160" s="1" t="s">
        <v>43</v>
      </c>
      <c r="D160" s="1" t="s">
        <v>18</v>
      </c>
      <c r="E160" s="1" t="s">
        <v>28</v>
      </c>
      <c r="F160" s="3">
        <v>20</v>
      </c>
      <c r="G160" s="3">
        <v>14000</v>
      </c>
      <c r="H160" s="3">
        <v>15</v>
      </c>
      <c r="I160" s="4">
        <v>46184</v>
      </c>
      <c r="J160" s="4">
        <v>46187</v>
      </c>
      <c r="K160" s="1" t="s">
        <v>15</v>
      </c>
    </row>
    <row r="161" spans="1:11" ht="29.5" thickBot="1" x14ac:dyDescent="0.4">
      <c r="A161" s="3">
        <v>1160</v>
      </c>
      <c r="B161" s="1" t="s">
        <v>59</v>
      </c>
      <c r="C161" s="1" t="s">
        <v>22</v>
      </c>
      <c r="D161" s="1" t="s">
        <v>34</v>
      </c>
      <c r="E161" s="1" t="s">
        <v>39</v>
      </c>
      <c r="F161" s="3">
        <v>7</v>
      </c>
      <c r="G161" s="3">
        <v>53986</v>
      </c>
      <c r="H161" s="3">
        <v>10</v>
      </c>
      <c r="I161" s="4">
        <v>46142</v>
      </c>
      <c r="J161" s="4">
        <v>46147</v>
      </c>
      <c r="K161" s="1" t="s">
        <v>51</v>
      </c>
    </row>
    <row r="162" spans="1:11" ht="29.5" thickBot="1" x14ac:dyDescent="0.4">
      <c r="A162" s="3">
        <v>1161</v>
      </c>
      <c r="B162" s="1" t="s">
        <v>27</v>
      </c>
      <c r="C162" s="1" t="s">
        <v>25</v>
      </c>
      <c r="D162" s="1" t="s">
        <v>34</v>
      </c>
      <c r="E162" s="1" t="s">
        <v>39</v>
      </c>
      <c r="F162" s="3">
        <v>4</v>
      </c>
      <c r="G162" s="3">
        <v>54659</v>
      </c>
      <c r="H162" s="3">
        <v>7</v>
      </c>
      <c r="I162" s="4">
        <v>46105</v>
      </c>
      <c r="J162" s="4">
        <v>46109</v>
      </c>
      <c r="K162" s="1" t="s">
        <v>20</v>
      </c>
    </row>
    <row r="163" spans="1:11" ht="29.5" thickBot="1" x14ac:dyDescent="0.4">
      <c r="A163" s="3">
        <v>1162</v>
      </c>
      <c r="B163" s="1" t="s">
        <v>57</v>
      </c>
      <c r="C163" s="1" t="s">
        <v>31</v>
      </c>
      <c r="D163" s="1" t="s">
        <v>34</v>
      </c>
      <c r="E163" s="1" t="s">
        <v>45</v>
      </c>
      <c r="F163" s="3">
        <v>2</v>
      </c>
      <c r="G163" s="3">
        <v>28176</v>
      </c>
      <c r="H163" s="3">
        <v>10</v>
      </c>
      <c r="I163" s="4">
        <v>46100</v>
      </c>
      <c r="J163" s="4">
        <v>46101</v>
      </c>
      <c r="K163" s="1" t="s">
        <v>20</v>
      </c>
    </row>
    <row r="164" spans="1:11" ht="29.5" thickBot="1" x14ac:dyDescent="0.4">
      <c r="A164" s="3">
        <v>1163</v>
      </c>
      <c r="B164" s="1" t="s">
        <v>29</v>
      </c>
      <c r="C164" s="1" t="s">
        <v>38</v>
      </c>
      <c r="D164" s="1" t="s">
        <v>34</v>
      </c>
      <c r="E164" s="1" t="s">
        <v>39</v>
      </c>
      <c r="F164" s="3">
        <v>9</v>
      </c>
      <c r="G164" s="3">
        <v>62440</v>
      </c>
      <c r="H164" s="3">
        <v>2</v>
      </c>
      <c r="I164" s="4">
        <v>46081</v>
      </c>
      <c r="J164" s="4">
        <v>46086</v>
      </c>
      <c r="K164" s="1" t="s">
        <v>29</v>
      </c>
    </row>
    <row r="165" spans="1:11" ht="29.5" thickBot="1" x14ac:dyDescent="0.4">
      <c r="A165" s="3">
        <v>1164</v>
      </c>
      <c r="B165" s="1" t="s">
        <v>40</v>
      </c>
      <c r="C165" s="1" t="s">
        <v>43</v>
      </c>
      <c r="D165" s="1" t="s">
        <v>34</v>
      </c>
      <c r="E165" s="1" t="s">
        <v>61</v>
      </c>
      <c r="F165" s="3">
        <v>7</v>
      </c>
      <c r="G165" s="3">
        <v>24615</v>
      </c>
      <c r="H165" s="3">
        <v>12</v>
      </c>
      <c r="I165" s="4">
        <v>46196</v>
      </c>
      <c r="J165" s="4">
        <v>46203</v>
      </c>
      <c r="K165" s="1" t="s">
        <v>51</v>
      </c>
    </row>
    <row r="166" spans="1:11" ht="29.5" thickBot="1" x14ac:dyDescent="0.4">
      <c r="A166" s="3">
        <v>1165</v>
      </c>
      <c r="B166" s="1" t="s">
        <v>48</v>
      </c>
      <c r="C166" s="1" t="s">
        <v>25</v>
      </c>
      <c r="D166" s="1" t="s">
        <v>13</v>
      </c>
      <c r="E166" s="1" t="s">
        <v>37</v>
      </c>
      <c r="F166" s="3">
        <v>1</v>
      </c>
      <c r="G166" s="3">
        <v>427</v>
      </c>
      <c r="H166" s="3">
        <v>0</v>
      </c>
      <c r="I166" s="4">
        <v>46042</v>
      </c>
      <c r="J166" s="4">
        <v>46050</v>
      </c>
      <c r="K166" s="1" t="s">
        <v>51</v>
      </c>
    </row>
    <row r="167" spans="1:11" ht="29.5" thickBot="1" x14ac:dyDescent="0.4">
      <c r="A167" s="3">
        <v>1166</v>
      </c>
      <c r="B167" s="1" t="s">
        <v>32</v>
      </c>
      <c r="C167" s="1" t="s">
        <v>31</v>
      </c>
      <c r="D167" s="1" t="s">
        <v>13</v>
      </c>
      <c r="E167" s="1" t="s">
        <v>37</v>
      </c>
      <c r="F167" s="3">
        <v>1</v>
      </c>
      <c r="G167" s="3">
        <v>396</v>
      </c>
      <c r="H167" s="3">
        <v>5</v>
      </c>
      <c r="I167" s="4">
        <v>46092</v>
      </c>
      <c r="J167" s="4">
        <v>46093</v>
      </c>
      <c r="K167" s="1" t="s">
        <v>20</v>
      </c>
    </row>
    <row r="168" spans="1:11" ht="29.5" thickBot="1" x14ac:dyDescent="0.4">
      <c r="A168" s="3">
        <v>1167</v>
      </c>
      <c r="B168" s="1" t="s">
        <v>48</v>
      </c>
      <c r="C168" s="1" t="s">
        <v>17</v>
      </c>
      <c r="D168" s="1" t="s">
        <v>13</v>
      </c>
      <c r="E168" s="1" t="s">
        <v>37</v>
      </c>
      <c r="F168" s="3">
        <v>20</v>
      </c>
      <c r="G168" s="3">
        <v>251</v>
      </c>
      <c r="H168" s="3">
        <v>5</v>
      </c>
      <c r="I168" s="4">
        <v>46160</v>
      </c>
      <c r="J168" s="4">
        <v>46170</v>
      </c>
      <c r="K168" s="1" t="s">
        <v>29</v>
      </c>
    </row>
    <row r="169" spans="1:11" ht="29.5" thickBot="1" x14ac:dyDescent="0.4">
      <c r="A169" s="3">
        <v>1168</v>
      </c>
      <c r="B169" s="1" t="s">
        <v>54</v>
      </c>
      <c r="C169" s="1" t="s">
        <v>12</v>
      </c>
      <c r="D169" s="1" t="s">
        <v>13</v>
      </c>
      <c r="E169" s="1" t="s">
        <v>37</v>
      </c>
      <c r="F169" s="3">
        <v>18</v>
      </c>
      <c r="G169" s="3">
        <v>335</v>
      </c>
      <c r="H169" s="3">
        <v>15</v>
      </c>
      <c r="I169" s="4">
        <v>46130</v>
      </c>
      <c r="J169" s="4">
        <v>46140</v>
      </c>
      <c r="K169" s="1" t="s">
        <v>29</v>
      </c>
    </row>
    <row r="170" spans="1:11" ht="15" thickBot="1" x14ac:dyDescent="0.4">
      <c r="A170" s="3">
        <v>1169</v>
      </c>
      <c r="B170" s="1" t="s">
        <v>47</v>
      </c>
      <c r="C170" s="1" t="s">
        <v>12</v>
      </c>
      <c r="D170" s="1" t="s">
        <v>18</v>
      </c>
      <c r="E170" s="1" t="s">
        <v>56</v>
      </c>
      <c r="F170" s="3">
        <v>12</v>
      </c>
      <c r="G170" s="3">
        <v>12104</v>
      </c>
      <c r="H170" s="3">
        <v>7</v>
      </c>
      <c r="I170" s="4">
        <v>46121</v>
      </c>
      <c r="J170" s="4">
        <v>46130</v>
      </c>
      <c r="K170" s="1" t="s">
        <v>24</v>
      </c>
    </row>
    <row r="171" spans="1:11" ht="29.5" thickBot="1" x14ac:dyDescent="0.4">
      <c r="A171" s="3">
        <v>1170</v>
      </c>
      <c r="B171" s="1" t="s">
        <v>49</v>
      </c>
      <c r="C171" s="1" t="s">
        <v>38</v>
      </c>
      <c r="D171" s="1" t="s">
        <v>13</v>
      </c>
      <c r="E171" s="1" t="s">
        <v>14</v>
      </c>
      <c r="F171" s="3">
        <v>6</v>
      </c>
      <c r="G171" s="3">
        <v>339</v>
      </c>
      <c r="H171" s="3">
        <v>12</v>
      </c>
      <c r="I171" s="4">
        <v>46105</v>
      </c>
      <c r="J171" s="4">
        <v>46106</v>
      </c>
      <c r="K171" s="1" t="s">
        <v>24</v>
      </c>
    </row>
    <row r="172" spans="1:11" ht="29.5" thickBot="1" x14ac:dyDescent="0.4">
      <c r="A172" s="3">
        <v>1171</v>
      </c>
      <c r="B172" s="1" t="s">
        <v>57</v>
      </c>
      <c r="C172" s="1" t="s">
        <v>25</v>
      </c>
      <c r="D172" s="1" t="s">
        <v>13</v>
      </c>
      <c r="E172" s="1" t="s">
        <v>50</v>
      </c>
      <c r="F172" s="3">
        <v>17</v>
      </c>
      <c r="G172" s="3">
        <v>147</v>
      </c>
      <c r="H172" s="3">
        <v>12</v>
      </c>
      <c r="I172" s="4">
        <v>46155</v>
      </c>
      <c r="J172" s="4">
        <v>46160</v>
      </c>
      <c r="K172" s="1" t="s">
        <v>20</v>
      </c>
    </row>
    <row r="173" spans="1:11" ht="29.5" thickBot="1" x14ac:dyDescent="0.4">
      <c r="A173" s="3">
        <v>1172</v>
      </c>
      <c r="B173" s="1" t="s">
        <v>16</v>
      </c>
      <c r="C173" s="1" t="s">
        <v>12</v>
      </c>
      <c r="D173" s="1" t="s">
        <v>34</v>
      </c>
      <c r="E173" s="1" t="s">
        <v>45</v>
      </c>
      <c r="F173" s="3">
        <v>13</v>
      </c>
      <c r="G173" s="3">
        <v>43163</v>
      </c>
      <c r="H173" s="3">
        <v>12</v>
      </c>
      <c r="I173" s="4">
        <v>46120</v>
      </c>
      <c r="J173" s="4">
        <v>46129</v>
      </c>
      <c r="K173" s="1" t="s">
        <v>24</v>
      </c>
    </row>
    <row r="174" spans="1:11" ht="29.5" thickBot="1" x14ac:dyDescent="0.4">
      <c r="A174" s="3">
        <v>1173</v>
      </c>
      <c r="B174" s="1" t="s">
        <v>40</v>
      </c>
      <c r="C174" s="1" t="s">
        <v>17</v>
      </c>
      <c r="D174" s="1" t="s">
        <v>13</v>
      </c>
      <c r="E174" s="1" t="s">
        <v>37</v>
      </c>
      <c r="F174" s="3">
        <v>15</v>
      </c>
      <c r="G174" s="3">
        <v>214</v>
      </c>
      <c r="H174" s="3">
        <v>10</v>
      </c>
      <c r="I174" s="4">
        <v>46050</v>
      </c>
      <c r="J174" s="4">
        <v>46060</v>
      </c>
      <c r="K174" s="1" t="s">
        <v>51</v>
      </c>
    </row>
    <row r="175" spans="1:11" ht="29.5" thickBot="1" x14ac:dyDescent="0.4">
      <c r="A175" s="3">
        <v>1174</v>
      </c>
      <c r="B175" s="1" t="s">
        <v>58</v>
      </c>
      <c r="C175" s="1" t="s">
        <v>38</v>
      </c>
      <c r="D175" s="1" t="s">
        <v>13</v>
      </c>
      <c r="E175" s="1" t="s">
        <v>14</v>
      </c>
      <c r="F175" s="3">
        <v>13</v>
      </c>
      <c r="G175" s="3">
        <v>155</v>
      </c>
      <c r="H175" s="3">
        <v>2</v>
      </c>
      <c r="I175" s="4">
        <v>46066</v>
      </c>
      <c r="J175" s="4">
        <v>46069</v>
      </c>
      <c r="K175" s="1" t="s">
        <v>24</v>
      </c>
    </row>
    <row r="176" spans="1:11" ht="29.5" thickBot="1" x14ac:dyDescent="0.4">
      <c r="A176" s="3">
        <v>1175</v>
      </c>
      <c r="B176" s="1" t="s">
        <v>26</v>
      </c>
      <c r="C176" s="1" t="s">
        <v>17</v>
      </c>
      <c r="D176" s="1" t="s">
        <v>34</v>
      </c>
      <c r="E176" s="1" t="s">
        <v>41</v>
      </c>
      <c r="F176" s="3">
        <v>10</v>
      </c>
      <c r="G176" s="3">
        <v>20339</v>
      </c>
      <c r="H176" s="3">
        <v>2</v>
      </c>
      <c r="I176" s="4">
        <v>46088</v>
      </c>
      <c r="J176" s="4">
        <v>46094</v>
      </c>
      <c r="K176" s="1" t="s">
        <v>20</v>
      </c>
    </row>
    <row r="177" spans="1:11" ht="29.5" thickBot="1" x14ac:dyDescent="0.4">
      <c r="A177" s="3">
        <v>1176</v>
      </c>
      <c r="B177" s="1" t="s">
        <v>58</v>
      </c>
      <c r="C177" s="1" t="s">
        <v>38</v>
      </c>
      <c r="D177" s="1" t="s">
        <v>34</v>
      </c>
      <c r="E177" s="1" t="s">
        <v>41</v>
      </c>
      <c r="F177" s="3">
        <v>17</v>
      </c>
      <c r="G177" s="3">
        <v>46937</v>
      </c>
      <c r="H177" s="3">
        <v>12</v>
      </c>
      <c r="I177" s="4">
        <v>46048</v>
      </c>
      <c r="J177" s="4">
        <v>46056</v>
      </c>
      <c r="K177" s="1" t="s">
        <v>29</v>
      </c>
    </row>
    <row r="178" spans="1:11" ht="15" thickBot="1" x14ac:dyDescent="0.4">
      <c r="A178" s="3">
        <v>1177</v>
      </c>
      <c r="B178" s="1" t="s">
        <v>29</v>
      </c>
      <c r="C178" s="1" t="s">
        <v>22</v>
      </c>
      <c r="D178" s="1" t="s">
        <v>18</v>
      </c>
      <c r="E178" s="1" t="s">
        <v>19</v>
      </c>
      <c r="F178" s="3">
        <v>14</v>
      </c>
      <c r="G178" s="3">
        <v>7501</v>
      </c>
      <c r="H178" s="3">
        <v>7</v>
      </c>
      <c r="I178" s="4">
        <v>46169</v>
      </c>
      <c r="J178" s="4">
        <v>46179</v>
      </c>
      <c r="K178" s="1" t="s">
        <v>20</v>
      </c>
    </row>
    <row r="179" spans="1:11" ht="29.5" thickBot="1" x14ac:dyDescent="0.4">
      <c r="A179" s="3">
        <v>1178</v>
      </c>
      <c r="B179" s="1" t="s">
        <v>57</v>
      </c>
      <c r="C179" s="1" t="s">
        <v>17</v>
      </c>
      <c r="D179" s="1" t="s">
        <v>13</v>
      </c>
      <c r="E179" s="1" t="s">
        <v>50</v>
      </c>
      <c r="F179" s="3">
        <v>5</v>
      </c>
      <c r="G179" s="3">
        <v>50</v>
      </c>
      <c r="H179" s="3">
        <v>0</v>
      </c>
      <c r="I179" s="4">
        <v>46111</v>
      </c>
      <c r="J179" s="4">
        <v>46117</v>
      </c>
      <c r="K179" s="1" t="s">
        <v>20</v>
      </c>
    </row>
    <row r="180" spans="1:11" ht="29.5" thickBot="1" x14ac:dyDescent="0.4">
      <c r="A180" s="3">
        <v>1179</v>
      </c>
      <c r="B180" s="1" t="s">
        <v>47</v>
      </c>
      <c r="C180" s="1" t="s">
        <v>17</v>
      </c>
      <c r="D180" s="1" t="s">
        <v>34</v>
      </c>
      <c r="E180" s="1" t="s">
        <v>39</v>
      </c>
      <c r="F180" s="3">
        <v>6</v>
      </c>
      <c r="G180" s="3">
        <v>10400</v>
      </c>
      <c r="H180" s="3">
        <v>2</v>
      </c>
      <c r="I180" s="4">
        <v>46155</v>
      </c>
      <c r="J180" s="4">
        <v>46158</v>
      </c>
      <c r="K180" s="1" t="s">
        <v>15</v>
      </c>
    </row>
    <row r="181" spans="1:11" ht="15" thickBot="1" x14ac:dyDescent="0.4">
      <c r="A181" s="3">
        <v>1180</v>
      </c>
      <c r="B181" s="1" t="s">
        <v>40</v>
      </c>
      <c r="C181" s="1" t="s">
        <v>31</v>
      </c>
      <c r="D181" s="1" t="s">
        <v>18</v>
      </c>
      <c r="E181" s="1" t="s">
        <v>28</v>
      </c>
      <c r="F181" s="3">
        <v>2</v>
      </c>
      <c r="G181" s="3">
        <v>2076</v>
      </c>
      <c r="H181" s="3">
        <v>2</v>
      </c>
      <c r="I181" s="4">
        <v>46111</v>
      </c>
      <c r="J181" s="4">
        <v>46121</v>
      </c>
      <c r="K181" s="1" t="s">
        <v>29</v>
      </c>
    </row>
    <row r="182" spans="1:11" ht="29.5" thickBot="1" x14ac:dyDescent="0.4">
      <c r="A182" s="3">
        <v>1181</v>
      </c>
      <c r="B182" s="1" t="s">
        <v>58</v>
      </c>
      <c r="C182" s="1" t="s">
        <v>33</v>
      </c>
      <c r="D182" s="1" t="s">
        <v>13</v>
      </c>
      <c r="E182" s="1" t="s">
        <v>36</v>
      </c>
      <c r="F182" s="3">
        <v>4</v>
      </c>
      <c r="G182" s="3">
        <v>357</v>
      </c>
      <c r="H182" s="3">
        <v>2</v>
      </c>
      <c r="I182" s="4">
        <v>46033</v>
      </c>
      <c r="J182" s="4">
        <v>46035</v>
      </c>
      <c r="K182" s="1" t="s">
        <v>15</v>
      </c>
    </row>
    <row r="183" spans="1:11" ht="29.5" thickBot="1" x14ac:dyDescent="0.4">
      <c r="A183" s="3">
        <v>1182</v>
      </c>
      <c r="B183" s="1" t="s">
        <v>42</v>
      </c>
      <c r="C183" s="1" t="s">
        <v>12</v>
      </c>
      <c r="D183" s="1" t="s">
        <v>34</v>
      </c>
      <c r="E183" s="1" t="s">
        <v>39</v>
      </c>
      <c r="F183" s="3">
        <v>8</v>
      </c>
      <c r="G183" s="3">
        <v>66022</v>
      </c>
      <c r="H183" s="3">
        <v>12</v>
      </c>
      <c r="I183" s="4">
        <v>46108</v>
      </c>
      <c r="J183" s="4">
        <v>46114</v>
      </c>
      <c r="K183" s="1" t="s">
        <v>24</v>
      </c>
    </row>
    <row r="184" spans="1:11" ht="29.5" thickBot="1" x14ac:dyDescent="0.4">
      <c r="A184" s="3">
        <v>1183</v>
      </c>
      <c r="B184" s="1" t="s">
        <v>52</v>
      </c>
      <c r="C184" s="1" t="s">
        <v>43</v>
      </c>
      <c r="D184" s="1" t="s">
        <v>13</v>
      </c>
      <c r="E184" s="1" t="s">
        <v>14</v>
      </c>
      <c r="F184" s="3">
        <v>2</v>
      </c>
      <c r="G184" s="3">
        <v>309</v>
      </c>
      <c r="H184" s="3">
        <v>2</v>
      </c>
      <c r="I184" s="4">
        <v>46109</v>
      </c>
      <c r="J184" s="4">
        <v>46111</v>
      </c>
      <c r="K184" s="1" t="s">
        <v>20</v>
      </c>
    </row>
    <row r="185" spans="1:11" ht="29.5" thickBot="1" x14ac:dyDescent="0.4">
      <c r="A185" s="3">
        <v>1184</v>
      </c>
      <c r="B185" s="1" t="s">
        <v>40</v>
      </c>
      <c r="C185" s="1" t="s">
        <v>31</v>
      </c>
      <c r="D185" s="1" t="s">
        <v>34</v>
      </c>
      <c r="E185" s="1" t="s">
        <v>39</v>
      </c>
      <c r="F185" s="3">
        <v>12</v>
      </c>
      <c r="G185" s="3">
        <v>50517</v>
      </c>
      <c r="H185" s="3">
        <v>15</v>
      </c>
      <c r="I185" s="4">
        <v>46145</v>
      </c>
      <c r="J185" s="4">
        <v>46153</v>
      </c>
      <c r="K185" s="1" t="s">
        <v>29</v>
      </c>
    </row>
    <row r="186" spans="1:11" ht="29.5" thickBot="1" x14ac:dyDescent="0.4">
      <c r="A186" s="3">
        <v>1185</v>
      </c>
      <c r="B186" s="1" t="s">
        <v>58</v>
      </c>
      <c r="C186" s="1" t="s">
        <v>22</v>
      </c>
      <c r="D186" s="1" t="s">
        <v>34</v>
      </c>
      <c r="E186" s="1" t="s">
        <v>60</v>
      </c>
      <c r="F186" s="3">
        <v>16</v>
      </c>
      <c r="G186" s="3">
        <v>15536</v>
      </c>
      <c r="H186" s="3">
        <v>2</v>
      </c>
      <c r="I186" s="4">
        <v>46153</v>
      </c>
      <c r="J186" s="4">
        <v>46156</v>
      </c>
      <c r="K186" s="1" t="s">
        <v>15</v>
      </c>
    </row>
    <row r="187" spans="1:11" ht="29.5" thickBot="1" x14ac:dyDescent="0.4">
      <c r="A187" s="3">
        <v>1186</v>
      </c>
      <c r="B187" s="1" t="s">
        <v>16</v>
      </c>
      <c r="C187" s="1" t="s">
        <v>25</v>
      </c>
      <c r="D187" s="1" t="s">
        <v>18</v>
      </c>
      <c r="E187" s="1" t="s">
        <v>44</v>
      </c>
      <c r="F187" s="3">
        <v>10</v>
      </c>
      <c r="G187" s="3">
        <v>14951</v>
      </c>
      <c r="H187" s="3">
        <v>2</v>
      </c>
      <c r="I187" s="4">
        <v>46188</v>
      </c>
      <c r="J187" s="4">
        <v>46196</v>
      </c>
      <c r="K187" s="1" t="s">
        <v>24</v>
      </c>
    </row>
    <row r="188" spans="1:11" ht="29.5" thickBot="1" x14ac:dyDescent="0.4">
      <c r="A188" s="3">
        <v>1187</v>
      </c>
      <c r="B188" s="1" t="s">
        <v>54</v>
      </c>
      <c r="C188" s="1" t="s">
        <v>22</v>
      </c>
      <c r="D188" s="1" t="s">
        <v>34</v>
      </c>
      <c r="E188" s="1" t="s">
        <v>45</v>
      </c>
      <c r="F188" s="3">
        <v>18</v>
      </c>
      <c r="G188" s="3">
        <v>68527</v>
      </c>
      <c r="H188" s="3">
        <v>12</v>
      </c>
      <c r="I188" s="4">
        <v>46178</v>
      </c>
      <c r="J188" s="4">
        <v>46184</v>
      </c>
      <c r="K188" s="1" t="s">
        <v>51</v>
      </c>
    </row>
    <row r="189" spans="1:11" ht="15" thickBot="1" x14ac:dyDescent="0.4">
      <c r="A189" s="3">
        <v>1188</v>
      </c>
      <c r="B189" s="1" t="s">
        <v>29</v>
      </c>
      <c r="C189" s="1" t="s">
        <v>22</v>
      </c>
      <c r="D189" s="1" t="s">
        <v>18</v>
      </c>
      <c r="E189" s="1" t="s">
        <v>56</v>
      </c>
      <c r="F189" s="3">
        <v>6</v>
      </c>
      <c r="G189" s="3">
        <v>10368</v>
      </c>
      <c r="H189" s="3">
        <v>7</v>
      </c>
      <c r="I189" s="4">
        <v>46137</v>
      </c>
      <c r="J189" s="4">
        <v>46142</v>
      </c>
      <c r="K189" s="1" t="s">
        <v>15</v>
      </c>
    </row>
    <row r="190" spans="1:11" ht="15" thickBot="1" x14ac:dyDescent="0.4">
      <c r="A190" s="3">
        <v>1189</v>
      </c>
      <c r="B190" s="1" t="s">
        <v>49</v>
      </c>
      <c r="C190" s="1" t="s">
        <v>31</v>
      </c>
      <c r="D190" s="1" t="s">
        <v>18</v>
      </c>
      <c r="E190" s="1" t="s">
        <v>56</v>
      </c>
      <c r="F190" s="3">
        <v>12</v>
      </c>
      <c r="G190" s="3">
        <v>8327</v>
      </c>
      <c r="H190" s="3">
        <v>10</v>
      </c>
      <c r="I190" s="4">
        <v>46184</v>
      </c>
      <c r="J190" s="4">
        <v>46185</v>
      </c>
      <c r="K190" s="1" t="s">
        <v>29</v>
      </c>
    </row>
    <row r="191" spans="1:11" ht="15" thickBot="1" x14ac:dyDescent="0.4">
      <c r="A191" s="3">
        <v>1190</v>
      </c>
      <c r="B191" s="1" t="s">
        <v>57</v>
      </c>
      <c r="C191" s="1" t="s">
        <v>17</v>
      </c>
      <c r="D191" s="1" t="s">
        <v>18</v>
      </c>
      <c r="E191" s="1" t="s">
        <v>28</v>
      </c>
      <c r="F191" s="3">
        <v>4</v>
      </c>
      <c r="G191" s="3">
        <v>10154</v>
      </c>
      <c r="H191" s="3">
        <v>7</v>
      </c>
      <c r="I191" s="4">
        <v>46052</v>
      </c>
      <c r="J191" s="4">
        <v>46062</v>
      </c>
      <c r="K191" s="1" t="s">
        <v>20</v>
      </c>
    </row>
    <row r="192" spans="1:11" ht="15" thickBot="1" x14ac:dyDescent="0.4">
      <c r="A192" s="3">
        <v>1191</v>
      </c>
      <c r="B192" s="1" t="s">
        <v>52</v>
      </c>
      <c r="C192" s="1" t="s">
        <v>33</v>
      </c>
      <c r="D192" s="1" t="s">
        <v>18</v>
      </c>
      <c r="E192" s="1" t="s">
        <v>56</v>
      </c>
      <c r="F192" s="3">
        <v>9</v>
      </c>
      <c r="G192" s="3">
        <v>8631</v>
      </c>
      <c r="H192" s="3">
        <v>10</v>
      </c>
      <c r="I192" s="4">
        <v>46149</v>
      </c>
      <c r="J192" s="4">
        <v>46156</v>
      </c>
      <c r="K192" s="1" t="s">
        <v>20</v>
      </c>
    </row>
    <row r="193" spans="1:11" ht="29.5" thickBot="1" x14ac:dyDescent="0.4">
      <c r="A193" s="3">
        <v>1192</v>
      </c>
      <c r="B193" s="1" t="s">
        <v>21</v>
      </c>
      <c r="C193" s="1" t="s">
        <v>33</v>
      </c>
      <c r="D193" s="1" t="s">
        <v>13</v>
      </c>
      <c r="E193" s="1" t="s">
        <v>53</v>
      </c>
      <c r="F193" s="3">
        <v>18</v>
      </c>
      <c r="G193" s="3">
        <v>49</v>
      </c>
      <c r="H193" s="3">
        <v>12</v>
      </c>
      <c r="I193" s="4">
        <v>46089</v>
      </c>
      <c r="J193" s="4">
        <v>46095</v>
      </c>
      <c r="K193" s="1" t="s">
        <v>24</v>
      </c>
    </row>
    <row r="194" spans="1:11" ht="15" thickBot="1" x14ac:dyDescent="0.4">
      <c r="A194" s="3">
        <v>1193</v>
      </c>
      <c r="B194" s="1" t="s">
        <v>57</v>
      </c>
      <c r="C194" s="1" t="s">
        <v>12</v>
      </c>
      <c r="D194" s="1" t="s">
        <v>18</v>
      </c>
      <c r="E194" s="1" t="s">
        <v>23</v>
      </c>
      <c r="F194" s="3">
        <v>19</v>
      </c>
      <c r="G194" s="3">
        <v>2699</v>
      </c>
      <c r="H194" s="3">
        <v>7</v>
      </c>
      <c r="I194" s="4">
        <v>46110</v>
      </c>
      <c r="J194" s="4">
        <v>46112</v>
      </c>
      <c r="K194" s="1" t="s">
        <v>29</v>
      </c>
    </row>
    <row r="195" spans="1:11" ht="15" thickBot="1" x14ac:dyDescent="0.4">
      <c r="A195" s="3">
        <v>1194</v>
      </c>
      <c r="B195" s="1" t="s">
        <v>57</v>
      </c>
      <c r="C195" s="1" t="s">
        <v>43</v>
      </c>
      <c r="D195" s="1" t="s">
        <v>18</v>
      </c>
      <c r="E195" s="1" t="s">
        <v>28</v>
      </c>
      <c r="F195" s="3">
        <v>13</v>
      </c>
      <c r="G195" s="3">
        <v>12856</v>
      </c>
      <c r="H195" s="3">
        <v>15</v>
      </c>
      <c r="I195" s="4">
        <v>46129</v>
      </c>
      <c r="J195" s="4">
        <v>46133</v>
      </c>
      <c r="K195" s="1" t="s">
        <v>51</v>
      </c>
    </row>
    <row r="196" spans="1:11" ht="29.5" thickBot="1" x14ac:dyDescent="0.4">
      <c r="A196" s="3">
        <v>1195</v>
      </c>
      <c r="B196" s="1" t="s">
        <v>59</v>
      </c>
      <c r="C196" s="1" t="s">
        <v>17</v>
      </c>
      <c r="D196" s="1" t="s">
        <v>13</v>
      </c>
      <c r="E196" s="1" t="s">
        <v>50</v>
      </c>
      <c r="F196" s="3">
        <v>19</v>
      </c>
      <c r="G196" s="3">
        <v>313</v>
      </c>
      <c r="H196" s="3">
        <v>2</v>
      </c>
      <c r="I196" s="4">
        <v>46198</v>
      </c>
      <c r="J196" s="4">
        <v>46206</v>
      </c>
      <c r="K196" s="1" t="s">
        <v>51</v>
      </c>
    </row>
    <row r="197" spans="1:11" ht="29.5" thickBot="1" x14ac:dyDescent="0.4">
      <c r="A197" s="3">
        <v>1196</v>
      </c>
      <c r="B197" s="1" t="s">
        <v>48</v>
      </c>
      <c r="C197" s="1" t="s">
        <v>22</v>
      </c>
      <c r="D197" s="1" t="s">
        <v>34</v>
      </c>
      <c r="E197" s="1" t="s">
        <v>35</v>
      </c>
      <c r="F197" s="3">
        <v>20</v>
      </c>
      <c r="G197" s="3">
        <v>3172</v>
      </c>
      <c r="H197" s="3">
        <v>5</v>
      </c>
      <c r="I197" s="4">
        <v>46155</v>
      </c>
      <c r="J197" s="4">
        <v>46159</v>
      </c>
      <c r="K197" s="1" t="s">
        <v>20</v>
      </c>
    </row>
    <row r="198" spans="1:11" ht="29.5" thickBot="1" x14ac:dyDescent="0.4">
      <c r="A198" s="3">
        <v>1197</v>
      </c>
      <c r="B198" s="1" t="s">
        <v>52</v>
      </c>
      <c r="C198" s="1" t="s">
        <v>31</v>
      </c>
      <c r="D198" s="1" t="s">
        <v>34</v>
      </c>
      <c r="E198" s="1" t="s">
        <v>35</v>
      </c>
      <c r="F198" s="3">
        <v>5</v>
      </c>
      <c r="G198" s="3">
        <v>45352</v>
      </c>
      <c r="H198" s="3">
        <v>12</v>
      </c>
      <c r="I198" s="4">
        <v>46045</v>
      </c>
      <c r="J198" s="4">
        <v>46048</v>
      </c>
      <c r="K198" s="1" t="s">
        <v>15</v>
      </c>
    </row>
    <row r="199" spans="1:11" ht="29.5" thickBot="1" x14ac:dyDescent="0.4">
      <c r="A199" s="3">
        <v>1198</v>
      </c>
      <c r="B199" s="1" t="s">
        <v>58</v>
      </c>
      <c r="C199" s="1" t="s">
        <v>12</v>
      </c>
      <c r="D199" s="1" t="s">
        <v>13</v>
      </c>
      <c r="E199" s="1" t="s">
        <v>14</v>
      </c>
      <c r="F199" s="3">
        <v>12</v>
      </c>
      <c r="G199" s="3">
        <v>491</v>
      </c>
      <c r="H199" s="3">
        <v>2</v>
      </c>
      <c r="I199" s="4">
        <v>46106</v>
      </c>
      <c r="J199" s="4">
        <v>46109</v>
      </c>
      <c r="K199" s="1" t="s">
        <v>51</v>
      </c>
    </row>
    <row r="200" spans="1:11" ht="29.5" thickBot="1" x14ac:dyDescent="0.4">
      <c r="A200" s="3">
        <v>1199</v>
      </c>
      <c r="B200" s="1" t="s">
        <v>11</v>
      </c>
      <c r="C200" s="1" t="s">
        <v>25</v>
      </c>
      <c r="D200" s="1" t="s">
        <v>34</v>
      </c>
      <c r="E200" s="1" t="s">
        <v>45</v>
      </c>
      <c r="F200" s="3">
        <v>2</v>
      </c>
      <c r="G200" s="3">
        <v>4375</v>
      </c>
      <c r="H200" s="3">
        <v>7</v>
      </c>
      <c r="I200" s="4">
        <v>46178</v>
      </c>
      <c r="J200" s="4">
        <v>46180</v>
      </c>
      <c r="K200" s="1" t="s">
        <v>24</v>
      </c>
    </row>
    <row r="201" spans="1:11" ht="29.5" thickBot="1" x14ac:dyDescent="0.4">
      <c r="A201" s="3">
        <v>1200</v>
      </c>
      <c r="B201" s="1" t="s">
        <v>29</v>
      </c>
      <c r="C201" s="1" t="s">
        <v>31</v>
      </c>
      <c r="D201" s="1" t="s">
        <v>34</v>
      </c>
      <c r="E201" s="1" t="s">
        <v>45</v>
      </c>
      <c r="F201" s="3">
        <v>13</v>
      </c>
      <c r="G201" s="3">
        <v>69422</v>
      </c>
      <c r="H201" s="3">
        <v>0</v>
      </c>
      <c r="I201" s="4">
        <v>46134</v>
      </c>
      <c r="J201" s="4">
        <v>46143</v>
      </c>
      <c r="K201" s="1" t="s">
        <v>29</v>
      </c>
    </row>
    <row r="202" spans="1:11" ht="29.5" thickBot="1" x14ac:dyDescent="0.4">
      <c r="A202" s="3">
        <v>1201</v>
      </c>
      <c r="B202" s="1" t="s">
        <v>54</v>
      </c>
      <c r="C202" s="1" t="s">
        <v>31</v>
      </c>
      <c r="D202" s="1" t="s">
        <v>13</v>
      </c>
      <c r="E202" s="1" t="s">
        <v>53</v>
      </c>
      <c r="F202" s="3">
        <v>18</v>
      </c>
      <c r="G202" s="3">
        <v>139</v>
      </c>
      <c r="H202" s="3">
        <v>12</v>
      </c>
      <c r="I202" s="4">
        <v>46075</v>
      </c>
      <c r="J202" s="4">
        <v>46076</v>
      </c>
      <c r="K202" s="1" t="s">
        <v>20</v>
      </c>
    </row>
    <row r="203" spans="1:11" ht="29.5" thickBot="1" x14ac:dyDescent="0.4">
      <c r="A203" s="3">
        <v>1202</v>
      </c>
      <c r="B203" s="1" t="s">
        <v>57</v>
      </c>
      <c r="C203" s="1" t="s">
        <v>22</v>
      </c>
      <c r="D203" s="1" t="s">
        <v>34</v>
      </c>
      <c r="E203" s="1" t="s">
        <v>35</v>
      </c>
      <c r="F203" s="3">
        <v>2</v>
      </c>
      <c r="G203" s="3">
        <v>20312</v>
      </c>
      <c r="H203" s="3">
        <v>12</v>
      </c>
      <c r="I203" s="4">
        <v>46082</v>
      </c>
      <c r="J203" s="4">
        <v>46091</v>
      </c>
      <c r="K203" s="1" t="s">
        <v>15</v>
      </c>
    </row>
    <row r="204" spans="1:11" ht="15" thickBot="1" x14ac:dyDescent="0.4">
      <c r="A204" s="3">
        <v>1203</v>
      </c>
      <c r="B204" s="1" t="s">
        <v>40</v>
      </c>
      <c r="C204" s="1" t="s">
        <v>22</v>
      </c>
      <c r="D204" s="1" t="s">
        <v>18</v>
      </c>
      <c r="E204" s="1" t="s">
        <v>23</v>
      </c>
      <c r="F204" s="3">
        <v>17</v>
      </c>
      <c r="G204" s="3">
        <v>6695</v>
      </c>
      <c r="H204" s="3">
        <v>2</v>
      </c>
      <c r="I204" s="4">
        <v>46119</v>
      </c>
      <c r="J204" s="4">
        <v>46122</v>
      </c>
      <c r="K204" s="1" t="s">
        <v>51</v>
      </c>
    </row>
    <row r="205" spans="1:11" ht="29.5" thickBot="1" x14ac:dyDescent="0.4">
      <c r="A205" s="3">
        <v>1204</v>
      </c>
      <c r="B205" s="1" t="s">
        <v>16</v>
      </c>
      <c r="C205" s="1" t="s">
        <v>31</v>
      </c>
      <c r="D205" s="1" t="s">
        <v>13</v>
      </c>
      <c r="E205" s="1" t="s">
        <v>37</v>
      </c>
      <c r="F205" s="3">
        <v>13</v>
      </c>
      <c r="G205" s="3">
        <v>416</v>
      </c>
      <c r="H205" s="3">
        <v>10</v>
      </c>
      <c r="I205" s="4">
        <v>46123</v>
      </c>
      <c r="J205" s="4">
        <v>46132</v>
      </c>
      <c r="K205" s="1" t="s">
        <v>20</v>
      </c>
    </row>
    <row r="206" spans="1:11" ht="29.5" thickBot="1" x14ac:dyDescent="0.4">
      <c r="A206" s="3">
        <v>1205</v>
      </c>
      <c r="B206" s="1" t="s">
        <v>21</v>
      </c>
      <c r="C206" s="1" t="s">
        <v>38</v>
      </c>
      <c r="D206" s="1" t="s">
        <v>13</v>
      </c>
      <c r="E206" s="1" t="s">
        <v>36</v>
      </c>
      <c r="F206" s="3">
        <v>1</v>
      </c>
      <c r="G206" s="3">
        <v>112</v>
      </c>
      <c r="H206" s="3">
        <v>7</v>
      </c>
      <c r="I206" s="4">
        <v>46033</v>
      </c>
      <c r="J206" s="4">
        <v>46040</v>
      </c>
      <c r="K206" s="1" t="s">
        <v>51</v>
      </c>
    </row>
    <row r="207" spans="1:11" ht="29.5" thickBot="1" x14ac:dyDescent="0.4">
      <c r="A207" s="3">
        <v>1206</v>
      </c>
      <c r="B207" s="1" t="s">
        <v>55</v>
      </c>
      <c r="C207" s="1" t="s">
        <v>33</v>
      </c>
      <c r="D207" s="1" t="s">
        <v>13</v>
      </c>
      <c r="E207" s="1" t="s">
        <v>14</v>
      </c>
      <c r="F207" s="3">
        <v>9</v>
      </c>
      <c r="G207" s="3">
        <v>60</v>
      </c>
      <c r="H207" s="3">
        <v>0</v>
      </c>
      <c r="I207" s="4">
        <v>46166</v>
      </c>
      <c r="J207" s="4">
        <v>46174</v>
      </c>
      <c r="K207" s="1" t="s">
        <v>15</v>
      </c>
    </row>
    <row r="208" spans="1:11" ht="29.5" thickBot="1" x14ac:dyDescent="0.4">
      <c r="A208" s="3">
        <v>1207</v>
      </c>
      <c r="B208" s="1" t="s">
        <v>55</v>
      </c>
      <c r="C208" s="1" t="s">
        <v>25</v>
      </c>
      <c r="D208" s="1" t="s">
        <v>13</v>
      </c>
      <c r="E208" s="1" t="s">
        <v>53</v>
      </c>
      <c r="F208" s="3">
        <v>7</v>
      </c>
      <c r="G208" s="3">
        <v>244</v>
      </c>
      <c r="H208" s="3">
        <v>2</v>
      </c>
      <c r="I208" s="4">
        <v>46164</v>
      </c>
      <c r="J208" s="4">
        <v>46173</v>
      </c>
      <c r="K208" s="1" t="s">
        <v>24</v>
      </c>
    </row>
    <row r="209" spans="1:11" ht="29.5" thickBot="1" x14ac:dyDescent="0.4">
      <c r="A209" s="3">
        <v>1208</v>
      </c>
      <c r="B209" s="1" t="s">
        <v>54</v>
      </c>
      <c r="C209" s="1" t="s">
        <v>43</v>
      </c>
      <c r="D209" s="1" t="s">
        <v>18</v>
      </c>
      <c r="E209" s="1" t="s">
        <v>44</v>
      </c>
      <c r="F209" s="3">
        <v>6</v>
      </c>
      <c r="G209" s="3">
        <v>7627</v>
      </c>
      <c r="H209" s="3">
        <v>10</v>
      </c>
      <c r="I209" s="4">
        <v>46042</v>
      </c>
      <c r="J209" s="4">
        <v>46047</v>
      </c>
      <c r="K209" s="1" t="s">
        <v>20</v>
      </c>
    </row>
    <row r="210" spans="1:11" ht="29.5" thickBot="1" x14ac:dyDescent="0.4">
      <c r="A210" s="3">
        <v>1209</v>
      </c>
      <c r="B210" s="1" t="s">
        <v>48</v>
      </c>
      <c r="C210" s="1" t="s">
        <v>38</v>
      </c>
      <c r="D210" s="1" t="s">
        <v>34</v>
      </c>
      <c r="E210" s="1" t="s">
        <v>35</v>
      </c>
      <c r="F210" s="3">
        <v>19</v>
      </c>
      <c r="G210" s="3">
        <v>20284</v>
      </c>
      <c r="H210" s="3">
        <v>10</v>
      </c>
      <c r="I210" s="4">
        <v>46103</v>
      </c>
      <c r="J210" s="4">
        <v>46110</v>
      </c>
      <c r="K210" s="1" t="s">
        <v>20</v>
      </c>
    </row>
    <row r="211" spans="1:11" ht="29.5" thickBot="1" x14ac:dyDescent="0.4">
      <c r="A211" s="3">
        <v>1210</v>
      </c>
      <c r="B211" s="1" t="s">
        <v>30</v>
      </c>
      <c r="C211" s="1" t="s">
        <v>31</v>
      </c>
      <c r="D211" s="1" t="s">
        <v>13</v>
      </c>
      <c r="E211" s="1" t="s">
        <v>53</v>
      </c>
      <c r="F211" s="3">
        <v>10</v>
      </c>
      <c r="G211" s="3">
        <v>349</v>
      </c>
      <c r="H211" s="3">
        <v>0</v>
      </c>
      <c r="I211" s="4">
        <v>46052</v>
      </c>
      <c r="J211" s="4">
        <v>46060</v>
      </c>
      <c r="K211" s="1" t="s">
        <v>29</v>
      </c>
    </row>
    <row r="212" spans="1:11" ht="29.5" thickBot="1" x14ac:dyDescent="0.4">
      <c r="A212" s="3">
        <v>1211</v>
      </c>
      <c r="B212" s="1" t="s">
        <v>48</v>
      </c>
      <c r="C212" s="1" t="s">
        <v>17</v>
      </c>
      <c r="D212" s="1" t="s">
        <v>34</v>
      </c>
      <c r="E212" s="1" t="s">
        <v>35</v>
      </c>
      <c r="F212" s="3">
        <v>3</v>
      </c>
      <c r="G212" s="3">
        <v>5962</v>
      </c>
      <c r="H212" s="3">
        <v>7</v>
      </c>
      <c r="I212" s="4">
        <v>46175</v>
      </c>
      <c r="J212" s="4">
        <v>46183</v>
      </c>
      <c r="K212" s="1" t="s">
        <v>15</v>
      </c>
    </row>
    <row r="213" spans="1:11" ht="29.5" thickBot="1" x14ac:dyDescent="0.4">
      <c r="A213" s="3">
        <v>1212</v>
      </c>
      <c r="B213" s="1" t="s">
        <v>59</v>
      </c>
      <c r="C213" s="1" t="s">
        <v>25</v>
      </c>
      <c r="D213" s="1" t="s">
        <v>34</v>
      </c>
      <c r="E213" s="1" t="s">
        <v>60</v>
      </c>
      <c r="F213" s="3">
        <v>10</v>
      </c>
      <c r="G213" s="3">
        <v>34380</v>
      </c>
      <c r="H213" s="3">
        <v>7</v>
      </c>
      <c r="I213" s="4">
        <v>46194</v>
      </c>
      <c r="J213" s="4">
        <v>46195</v>
      </c>
      <c r="K213" s="1" t="s">
        <v>29</v>
      </c>
    </row>
    <row r="214" spans="1:11" ht="29.5" thickBot="1" x14ac:dyDescent="0.4">
      <c r="A214" s="3">
        <v>1213</v>
      </c>
      <c r="B214" s="1" t="s">
        <v>32</v>
      </c>
      <c r="C214" s="1" t="s">
        <v>38</v>
      </c>
      <c r="D214" s="1" t="s">
        <v>34</v>
      </c>
      <c r="E214" s="1" t="s">
        <v>45</v>
      </c>
      <c r="F214" s="3">
        <v>16</v>
      </c>
      <c r="G214" s="3">
        <v>27741</v>
      </c>
      <c r="H214" s="3">
        <v>12</v>
      </c>
      <c r="I214" s="4">
        <v>46116</v>
      </c>
      <c r="J214" s="4">
        <v>46119</v>
      </c>
      <c r="K214" s="1" t="s">
        <v>15</v>
      </c>
    </row>
    <row r="215" spans="1:11" ht="29.5" thickBot="1" x14ac:dyDescent="0.4">
      <c r="A215" s="3">
        <v>1214</v>
      </c>
      <c r="B215" s="1" t="s">
        <v>42</v>
      </c>
      <c r="C215" s="1" t="s">
        <v>25</v>
      </c>
      <c r="D215" s="1" t="s">
        <v>18</v>
      </c>
      <c r="E215" s="1" t="s">
        <v>28</v>
      </c>
      <c r="F215" s="3">
        <v>19</v>
      </c>
      <c r="G215" s="3">
        <v>13832</v>
      </c>
      <c r="H215" s="3">
        <v>0</v>
      </c>
      <c r="I215" s="4">
        <v>46140</v>
      </c>
      <c r="J215" s="4">
        <v>46145</v>
      </c>
      <c r="K215" s="1" t="s">
        <v>51</v>
      </c>
    </row>
    <row r="216" spans="1:11" ht="15" thickBot="1" x14ac:dyDescent="0.4">
      <c r="A216" s="3">
        <v>1215</v>
      </c>
      <c r="B216" s="1" t="s">
        <v>27</v>
      </c>
      <c r="C216" s="1" t="s">
        <v>12</v>
      </c>
      <c r="D216" s="1" t="s">
        <v>18</v>
      </c>
      <c r="E216" s="1" t="s">
        <v>28</v>
      </c>
      <c r="F216" s="3">
        <v>6</v>
      </c>
      <c r="G216" s="3">
        <v>1254</v>
      </c>
      <c r="H216" s="3">
        <v>0</v>
      </c>
      <c r="I216" s="4">
        <v>46131</v>
      </c>
      <c r="J216" s="4">
        <v>46136</v>
      </c>
      <c r="K216" s="1" t="s">
        <v>29</v>
      </c>
    </row>
    <row r="217" spans="1:11" ht="29.5" thickBot="1" x14ac:dyDescent="0.4">
      <c r="A217" s="3">
        <v>1216</v>
      </c>
      <c r="B217" s="1" t="s">
        <v>40</v>
      </c>
      <c r="C217" s="1" t="s">
        <v>22</v>
      </c>
      <c r="D217" s="1" t="s">
        <v>34</v>
      </c>
      <c r="E217" s="1" t="s">
        <v>45</v>
      </c>
      <c r="F217" s="3">
        <v>10</v>
      </c>
      <c r="G217" s="3">
        <v>56709</v>
      </c>
      <c r="H217" s="3">
        <v>15</v>
      </c>
      <c r="I217" s="4">
        <v>46135</v>
      </c>
      <c r="J217" s="4">
        <v>46139</v>
      </c>
      <c r="K217" s="1" t="s">
        <v>29</v>
      </c>
    </row>
    <row r="218" spans="1:11" ht="29.5" thickBot="1" x14ac:dyDescent="0.4">
      <c r="A218" s="3">
        <v>1217</v>
      </c>
      <c r="B218" s="1" t="s">
        <v>30</v>
      </c>
      <c r="C218" s="1" t="s">
        <v>22</v>
      </c>
      <c r="D218" s="1" t="s">
        <v>13</v>
      </c>
      <c r="E218" s="1" t="s">
        <v>50</v>
      </c>
      <c r="F218" s="3">
        <v>18</v>
      </c>
      <c r="G218" s="3">
        <v>60</v>
      </c>
      <c r="H218" s="3">
        <v>0</v>
      </c>
      <c r="I218" s="4">
        <v>46171</v>
      </c>
      <c r="J218" s="4">
        <v>46172</v>
      </c>
      <c r="K218" s="1" t="s">
        <v>29</v>
      </c>
    </row>
    <row r="219" spans="1:11" ht="29.5" thickBot="1" x14ac:dyDescent="0.4">
      <c r="A219" s="3">
        <v>1218</v>
      </c>
      <c r="B219" s="1" t="s">
        <v>55</v>
      </c>
      <c r="C219" s="1" t="s">
        <v>38</v>
      </c>
      <c r="D219" s="1" t="s">
        <v>13</v>
      </c>
      <c r="E219" s="1" t="s">
        <v>14</v>
      </c>
      <c r="F219" s="3">
        <v>1</v>
      </c>
      <c r="G219" s="3">
        <v>134</v>
      </c>
      <c r="H219" s="3">
        <v>10</v>
      </c>
      <c r="I219" s="4">
        <v>46143</v>
      </c>
      <c r="J219" s="4">
        <v>46151</v>
      </c>
      <c r="K219" s="1" t="s">
        <v>51</v>
      </c>
    </row>
    <row r="220" spans="1:11" ht="29.5" thickBot="1" x14ac:dyDescent="0.4">
      <c r="A220" s="3">
        <v>1219</v>
      </c>
      <c r="B220" s="1" t="s">
        <v>46</v>
      </c>
      <c r="C220" s="1" t="s">
        <v>22</v>
      </c>
      <c r="D220" s="1" t="s">
        <v>13</v>
      </c>
      <c r="E220" s="1" t="s">
        <v>14</v>
      </c>
      <c r="F220" s="3">
        <v>4</v>
      </c>
      <c r="G220" s="3">
        <v>117</v>
      </c>
      <c r="H220" s="3">
        <v>15</v>
      </c>
      <c r="I220" s="4">
        <v>46202</v>
      </c>
      <c r="J220" s="4">
        <v>46206</v>
      </c>
      <c r="K220" s="1" t="s">
        <v>29</v>
      </c>
    </row>
    <row r="221" spans="1:11" ht="29.5" thickBot="1" x14ac:dyDescent="0.4">
      <c r="A221" s="3">
        <v>1220</v>
      </c>
      <c r="B221" s="1" t="s">
        <v>11</v>
      </c>
      <c r="C221" s="1" t="s">
        <v>25</v>
      </c>
      <c r="D221" s="1" t="s">
        <v>18</v>
      </c>
      <c r="E221" s="1" t="s">
        <v>56</v>
      </c>
      <c r="F221" s="3">
        <v>2</v>
      </c>
      <c r="G221" s="3">
        <v>8861</v>
      </c>
      <c r="H221" s="3">
        <v>2</v>
      </c>
      <c r="I221" s="4">
        <v>46170</v>
      </c>
      <c r="J221" s="4">
        <v>46174</v>
      </c>
      <c r="K221" s="1" t="s">
        <v>24</v>
      </c>
    </row>
    <row r="222" spans="1:11" ht="15" thickBot="1" x14ac:dyDescent="0.4">
      <c r="A222" s="3">
        <v>1221</v>
      </c>
      <c r="B222" s="1" t="s">
        <v>11</v>
      </c>
      <c r="C222" s="1" t="s">
        <v>31</v>
      </c>
      <c r="D222" s="1" t="s">
        <v>18</v>
      </c>
      <c r="E222" s="1" t="s">
        <v>56</v>
      </c>
      <c r="F222" s="3">
        <v>18</v>
      </c>
      <c r="G222" s="3">
        <v>2681</v>
      </c>
      <c r="H222" s="3">
        <v>10</v>
      </c>
      <c r="I222" s="4">
        <v>46122</v>
      </c>
      <c r="J222" s="4">
        <v>46125</v>
      </c>
      <c r="K222" s="1" t="s">
        <v>51</v>
      </c>
    </row>
    <row r="223" spans="1:11" ht="15" thickBot="1" x14ac:dyDescent="0.4">
      <c r="A223" s="3">
        <v>1222</v>
      </c>
      <c r="B223" s="1" t="s">
        <v>30</v>
      </c>
      <c r="C223" s="1" t="s">
        <v>33</v>
      </c>
      <c r="D223" s="1" t="s">
        <v>18</v>
      </c>
      <c r="E223" s="1" t="s">
        <v>23</v>
      </c>
      <c r="F223" s="3">
        <v>9</v>
      </c>
      <c r="G223" s="3">
        <v>2712</v>
      </c>
      <c r="H223" s="3">
        <v>12</v>
      </c>
      <c r="I223" s="4">
        <v>46154</v>
      </c>
      <c r="J223" s="4">
        <v>46163</v>
      </c>
      <c r="K223" s="1" t="s">
        <v>15</v>
      </c>
    </row>
    <row r="224" spans="1:11" ht="15" thickBot="1" x14ac:dyDescent="0.4">
      <c r="A224" s="3">
        <v>1223</v>
      </c>
      <c r="B224" s="1" t="s">
        <v>59</v>
      </c>
      <c r="C224" s="1" t="s">
        <v>17</v>
      </c>
      <c r="D224" s="1" t="s">
        <v>18</v>
      </c>
      <c r="E224" s="1" t="s">
        <v>23</v>
      </c>
      <c r="F224" s="3">
        <v>4</v>
      </c>
      <c r="G224" s="3">
        <v>2249</v>
      </c>
      <c r="H224" s="3">
        <v>7</v>
      </c>
      <c r="I224" s="4">
        <v>46077</v>
      </c>
      <c r="J224" s="4">
        <v>46084</v>
      </c>
      <c r="K224" s="1" t="s">
        <v>15</v>
      </c>
    </row>
    <row r="225" spans="1:11" ht="29.5" thickBot="1" x14ac:dyDescent="0.4">
      <c r="A225" s="3">
        <v>1224</v>
      </c>
      <c r="B225" s="1" t="s">
        <v>30</v>
      </c>
      <c r="C225" s="1" t="s">
        <v>38</v>
      </c>
      <c r="D225" s="1" t="s">
        <v>34</v>
      </c>
      <c r="E225" s="1" t="s">
        <v>45</v>
      </c>
      <c r="F225" s="3">
        <v>16</v>
      </c>
      <c r="G225" s="3">
        <v>18378</v>
      </c>
      <c r="H225" s="3">
        <v>10</v>
      </c>
      <c r="I225" s="4">
        <v>46045</v>
      </c>
      <c r="J225" s="4">
        <v>46052</v>
      </c>
      <c r="K225" s="1" t="s">
        <v>24</v>
      </c>
    </row>
    <row r="226" spans="1:11" ht="29.5" thickBot="1" x14ac:dyDescent="0.4">
      <c r="A226" s="3">
        <v>1225</v>
      </c>
      <c r="B226" s="1" t="s">
        <v>42</v>
      </c>
      <c r="C226" s="1" t="s">
        <v>31</v>
      </c>
      <c r="D226" s="1" t="s">
        <v>34</v>
      </c>
      <c r="E226" s="1" t="s">
        <v>35</v>
      </c>
      <c r="F226" s="3">
        <v>16</v>
      </c>
      <c r="G226" s="3">
        <v>32262</v>
      </c>
      <c r="H226" s="3">
        <v>12</v>
      </c>
      <c r="I226" s="4">
        <v>46125</v>
      </c>
      <c r="J226" s="4">
        <v>46126</v>
      </c>
      <c r="K226" s="1" t="s">
        <v>20</v>
      </c>
    </row>
    <row r="227" spans="1:11" ht="29.5" thickBot="1" x14ac:dyDescent="0.4">
      <c r="A227" s="3">
        <v>1226</v>
      </c>
      <c r="B227" s="1" t="s">
        <v>29</v>
      </c>
      <c r="C227" s="1" t="s">
        <v>31</v>
      </c>
      <c r="D227" s="1" t="s">
        <v>34</v>
      </c>
      <c r="E227" s="1" t="s">
        <v>41</v>
      </c>
      <c r="F227" s="3">
        <v>13</v>
      </c>
      <c r="G227" s="3">
        <v>21332</v>
      </c>
      <c r="H227" s="3">
        <v>0</v>
      </c>
      <c r="I227" s="4">
        <v>46044</v>
      </c>
      <c r="J227" s="4">
        <v>46048</v>
      </c>
      <c r="K227" s="1" t="s">
        <v>29</v>
      </c>
    </row>
    <row r="228" spans="1:11" ht="29.5" thickBot="1" x14ac:dyDescent="0.4">
      <c r="A228" s="3">
        <v>1227</v>
      </c>
      <c r="B228" s="1" t="s">
        <v>58</v>
      </c>
      <c r="C228" s="1" t="s">
        <v>22</v>
      </c>
      <c r="D228" s="1" t="s">
        <v>34</v>
      </c>
      <c r="E228" s="1" t="s">
        <v>45</v>
      </c>
      <c r="F228" s="3">
        <v>16</v>
      </c>
      <c r="G228" s="3">
        <v>1321</v>
      </c>
      <c r="H228" s="3">
        <v>12</v>
      </c>
      <c r="I228" s="4">
        <v>46113</v>
      </c>
      <c r="J228" s="4">
        <v>46116</v>
      </c>
      <c r="K228" s="1" t="s">
        <v>15</v>
      </c>
    </row>
    <row r="229" spans="1:11" ht="29.5" thickBot="1" x14ac:dyDescent="0.4">
      <c r="A229" s="3">
        <v>1228</v>
      </c>
      <c r="B229" s="1" t="s">
        <v>29</v>
      </c>
      <c r="C229" s="1" t="s">
        <v>25</v>
      </c>
      <c r="D229" s="1" t="s">
        <v>34</v>
      </c>
      <c r="E229" s="1" t="s">
        <v>45</v>
      </c>
      <c r="F229" s="3">
        <v>16</v>
      </c>
      <c r="G229" s="3">
        <v>17477</v>
      </c>
      <c r="H229" s="3">
        <v>10</v>
      </c>
      <c r="I229" s="4">
        <v>46041</v>
      </c>
      <c r="J229" s="4">
        <v>46043</v>
      </c>
      <c r="K229" s="1" t="s">
        <v>24</v>
      </c>
    </row>
    <row r="230" spans="1:11" ht="15" thickBot="1" x14ac:dyDescent="0.4">
      <c r="A230" s="3">
        <v>1229</v>
      </c>
      <c r="B230" s="1" t="s">
        <v>57</v>
      </c>
      <c r="C230" s="1" t="s">
        <v>12</v>
      </c>
      <c r="D230" s="1" t="s">
        <v>18</v>
      </c>
      <c r="E230" s="1" t="s">
        <v>56</v>
      </c>
      <c r="F230" s="3">
        <v>14</v>
      </c>
      <c r="G230" s="3">
        <v>5859</v>
      </c>
      <c r="H230" s="3">
        <v>12</v>
      </c>
      <c r="I230" s="4">
        <v>46027</v>
      </c>
      <c r="J230" s="4">
        <v>46036</v>
      </c>
      <c r="K230" s="1" t="s">
        <v>20</v>
      </c>
    </row>
    <row r="231" spans="1:11" ht="29.5" thickBot="1" x14ac:dyDescent="0.4">
      <c r="A231" s="3">
        <v>1230</v>
      </c>
      <c r="B231" s="1" t="s">
        <v>59</v>
      </c>
      <c r="C231" s="1" t="s">
        <v>33</v>
      </c>
      <c r="D231" s="1" t="s">
        <v>34</v>
      </c>
      <c r="E231" s="1" t="s">
        <v>60</v>
      </c>
      <c r="F231" s="3">
        <v>7</v>
      </c>
      <c r="G231" s="3">
        <v>2932</v>
      </c>
      <c r="H231" s="3">
        <v>7</v>
      </c>
      <c r="I231" s="4">
        <v>46050</v>
      </c>
      <c r="J231" s="4">
        <v>46059</v>
      </c>
      <c r="K231" s="1" t="s">
        <v>24</v>
      </c>
    </row>
    <row r="232" spans="1:11" ht="15" thickBot="1" x14ac:dyDescent="0.4">
      <c r="A232" s="3">
        <v>1231</v>
      </c>
      <c r="B232" s="1" t="s">
        <v>48</v>
      </c>
      <c r="C232" s="1" t="s">
        <v>38</v>
      </c>
      <c r="D232" s="1" t="s">
        <v>18</v>
      </c>
      <c r="E232" s="1" t="s">
        <v>19</v>
      </c>
      <c r="F232" s="3">
        <v>13</v>
      </c>
      <c r="G232" s="3">
        <v>10297</v>
      </c>
      <c r="H232" s="3">
        <v>12</v>
      </c>
      <c r="I232" s="4">
        <v>46178</v>
      </c>
      <c r="J232" s="4">
        <v>46186</v>
      </c>
      <c r="K232" s="1" t="s">
        <v>20</v>
      </c>
    </row>
    <row r="233" spans="1:11" ht="29.5" thickBot="1" x14ac:dyDescent="0.4">
      <c r="A233" s="3">
        <v>1232</v>
      </c>
      <c r="B233" s="1" t="s">
        <v>21</v>
      </c>
      <c r="C233" s="1" t="s">
        <v>12</v>
      </c>
      <c r="D233" s="1" t="s">
        <v>34</v>
      </c>
      <c r="E233" s="1" t="s">
        <v>60</v>
      </c>
      <c r="F233" s="3">
        <v>3</v>
      </c>
      <c r="G233" s="3">
        <v>13272</v>
      </c>
      <c r="H233" s="3">
        <v>2</v>
      </c>
      <c r="I233" s="4">
        <v>46060</v>
      </c>
      <c r="J233" s="4">
        <v>46065</v>
      </c>
      <c r="K233" s="1" t="s">
        <v>15</v>
      </c>
    </row>
    <row r="234" spans="1:11" ht="15" thickBot="1" x14ac:dyDescent="0.4">
      <c r="A234" s="3">
        <v>1233</v>
      </c>
      <c r="B234" s="1" t="s">
        <v>58</v>
      </c>
      <c r="C234" s="1" t="s">
        <v>22</v>
      </c>
      <c r="D234" s="1" t="s">
        <v>18</v>
      </c>
      <c r="E234" s="1" t="s">
        <v>19</v>
      </c>
      <c r="F234" s="3">
        <v>20</v>
      </c>
      <c r="G234" s="3">
        <v>13941</v>
      </c>
      <c r="H234" s="3">
        <v>15</v>
      </c>
      <c r="I234" s="4">
        <v>46198</v>
      </c>
      <c r="J234" s="4">
        <v>46202</v>
      </c>
      <c r="K234" s="1" t="s">
        <v>24</v>
      </c>
    </row>
    <row r="235" spans="1:11" ht="29.5" thickBot="1" x14ac:dyDescent="0.4">
      <c r="A235" s="3">
        <v>1234</v>
      </c>
      <c r="B235" s="1" t="s">
        <v>11</v>
      </c>
      <c r="C235" s="1" t="s">
        <v>25</v>
      </c>
      <c r="D235" s="1" t="s">
        <v>18</v>
      </c>
      <c r="E235" s="1" t="s">
        <v>28</v>
      </c>
      <c r="F235" s="3">
        <v>1</v>
      </c>
      <c r="G235" s="3">
        <v>14320</v>
      </c>
      <c r="H235" s="3">
        <v>12</v>
      </c>
      <c r="I235" s="4">
        <v>46114</v>
      </c>
      <c r="J235" s="4">
        <v>46121</v>
      </c>
      <c r="K235" s="1" t="s">
        <v>51</v>
      </c>
    </row>
    <row r="236" spans="1:11" ht="29.5" thickBot="1" x14ac:dyDescent="0.4">
      <c r="A236" s="3">
        <v>1235</v>
      </c>
      <c r="B236" s="1" t="s">
        <v>57</v>
      </c>
      <c r="C236" s="1" t="s">
        <v>25</v>
      </c>
      <c r="D236" s="1" t="s">
        <v>13</v>
      </c>
      <c r="E236" s="1" t="s">
        <v>50</v>
      </c>
      <c r="F236" s="3">
        <v>15</v>
      </c>
      <c r="G236" s="3">
        <v>267</v>
      </c>
      <c r="H236" s="3">
        <v>15</v>
      </c>
      <c r="I236" s="4">
        <v>46172</v>
      </c>
      <c r="J236" s="4">
        <v>46177</v>
      </c>
      <c r="K236" s="1" t="s">
        <v>29</v>
      </c>
    </row>
    <row r="237" spans="1:11" ht="29.5" thickBot="1" x14ac:dyDescent="0.4">
      <c r="A237" s="3">
        <v>1236</v>
      </c>
      <c r="B237" s="1" t="s">
        <v>54</v>
      </c>
      <c r="C237" s="1" t="s">
        <v>43</v>
      </c>
      <c r="D237" s="1" t="s">
        <v>13</v>
      </c>
      <c r="E237" s="1" t="s">
        <v>37</v>
      </c>
      <c r="F237" s="3">
        <v>12</v>
      </c>
      <c r="G237" s="3">
        <v>189</v>
      </c>
      <c r="H237" s="3">
        <v>7</v>
      </c>
      <c r="I237" s="4">
        <v>46164</v>
      </c>
      <c r="J237" s="4">
        <v>46169</v>
      </c>
      <c r="K237" s="1" t="s">
        <v>29</v>
      </c>
    </row>
    <row r="238" spans="1:11" ht="15" thickBot="1" x14ac:dyDescent="0.4">
      <c r="A238" s="3">
        <v>1237</v>
      </c>
      <c r="B238" s="1" t="s">
        <v>46</v>
      </c>
      <c r="C238" s="1" t="s">
        <v>38</v>
      </c>
      <c r="D238" s="1" t="s">
        <v>18</v>
      </c>
      <c r="E238" s="1" t="s">
        <v>56</v>
      </c>
      <c r="F238" s="3">
        <v>8</v>
      </c>
      <c r="G238" s="3">
        <v>12123</v>
      </c>
      <c r="H238" s="3">
        <v>2</v>
      </c>
      <c r="I238" s="4">
        <v>46137</v>
      </c>
      <c r="J238" s="4">
        <v>46145</v>
      </c>
      <c r="K238" s="1" t="s">
        <v>15</v>
      </c>
    </row>
    <row r="239" spans="1:11" ht="29.5" thickBot="1" x14ac:dyDescent="0.4">
      <c r="A239" s="3">
        <v>1238</v>
      </c>
      <c r="B239" s="1" t="s">
        <v>30</v>
      </c>
      <c r="C239" s="1" t="s">
        <v>31</v>
      </c>
      <c r="D239" s="1" t="s">
        <v>13</v>
      </c>
      <c r="E239" s="1" t="s">
        <v>14</v>
      </c>
      <c r="F239" s="3">
        <v>6</v>
      </c>
      <c r="G239" s="3">
        <v>180</v>
      </c>
      <c r="H239" s="3">
        <v>12</v>
      </c>
      <c r="I239" s="4">
        <v>46096</v>
      </c>
      <c r="J239" s="4">
        <v>46097</v>
      </c>
      <c r="K239" s="1" t="s">
        <v>51</v>
      </c>
    </row>
    <row r="240" spans="1:11" ht="15" thickBot="1" x14ac:dyDescent="0.4">
      <c r="A240" s="3">
        <v>1239</v>
      </c>
      <c r="B240" s="1" t="s">
        <v>48</v>
      </c>
      <c r="C240" s="1" t="s">
        <v>17</v>
      </c>
      <c r="D240" s="1" t="s">
        <v>18</v>
      </c>
      <c r="E240" s="1" t="s">
        <v>56</v>
      </c>
      <c r="F240" s="3">
        <v>2</v>
      </c>
      <c r="G240" s="3">
        <v>12330</v>
      </c>
      <c r="H240" s="3">
        <v>12</v>
      </c>
      <c r="I240" s="4">
        <v>46122</v>
      </c>
      <c r="J240" s="4">
        <v>46125</v>
      </c>
      <c r="K240" s="1" t="s">
        <v>15</v>
      </c>
    </row>
    <row r="241" spans="1:11" ht="15" thickBot="1" x14ac:dyDescent="0.4">
      <c r="A241" s="3">
        <v>1240</v>
      </c>
      <c r="B241" s="1" t="s">
        <v>55</v>
      </c>
      <c r="C241" s="1" t="s">
        <v>33</v>
      </c>
      <c r="D241" s="1" t="s">
        <v>18</v>
      </c>
      <c r="E241" s="1" t="s">
        <v>23</v>
      </c>
      <c r="F241" s="3">
        <v>2</v>
      </c>
      <c r="G241" s="3">
        <v>5475</v>
      </c>
      <c r="H241" s="3">
        <v>2</v>
      </c>
      <c r="I241" s="4">
        <v>46142</v>
      </c>
      <c r="J241" s="4">
        <v>46146</v>
      </c>
      <c r="K241" s="1" t="s">
        <v>29</v>
      </c>
    </row>
    <row r="242" spans="1:11" ht="29.5" thickBot="1" x14ac:dyDescent="0.4">
      <c r="A242" s="3">
        <v>1241</v>
      </c>
      <c r="B242" s="1" t="s">
        <v>46</v>
      </c>
      <c r="C242" s="1" t="s">
        <v>31</v>
      </c>
      <c r="D242" s="1" t="s">
        <v>18</v>
      </c>
      <c r="E242" s="1" t="s">
        <v>44</v>
      </c>
      <c r="F242" s="3">
        <v>1</v>
      </c>
      <c r="G242" s="3">
        <v>12537</v>
      </c>
      <c r="H242" s="3">
        <v>0</v>
      </c>
      <c r="I242" s="4">
        <v>46119</v>
      </c>
      <c r="J242" s="4">
        <v>46122</v>
      </c>
      <c r="K242" s="1" t="s">
        <v>15</v>
      </c>
    </row>
    <row r="243" spans="1:11" ht="29.5" thickBot="1" x14ac:dyDescent="0.4">
      <c r="A243" s="3">
        <v>1242</v>
      </c>
      <c r="B243" s="1" t="s">
        <v>54</v>
      </c>
      <c r="C243" s="1" t="s">
        <v>38</v>
      </c>
      <c r="D243" s="1" t="s">
        <v>13</v>
      </c>
      <c r="E243" s="1" t="s">
        <v>50</v>
      </c>
      <c r="F243" s="3">
        <v>7</v>
      </c>
      <c r="G243" s="3">
        <v>168</v>
      </c>
      <c r="H243" s="3">
        <v>10</v>
      </c>
      <c r="I243" s="4">
        <v>46191</v>
      </c>
      <c r="J243" s="4">
        <v>46196</v>
      </c>
      <c r="K243" s="1" t="s">
        <v>51</v>
      </c>
    </row>
    <row r="244" spans="1:11" ht="29.5" thickBot="1" x14ac:dyDescent="0.4">
      <c r="A244" s="3">
        <v>1243</v>
      </c>
      <c r="B244" s="1" t="s">
        <v>30</v>
      </c>
      <c r="C244" s="1" t="s">
        <v>31</v>
      </c>
      <c r="D244" s="1" t="s">
        <v>34</v>
      </c>
      <c r="E244" s="1" t="s">
        <v>41</v>
      </c>
      <c r="F244" s="3">
        <v>5</v>
      </c>
      <c r="G244" s="3">
        <v>11570</v>
      </c>
      <c r="H244" s="3">
        <v>15</v>
      </c>
      <c r="I244" s="4">
        <v>46069</v>
      </c>
      <c r="J244" s="4">
        <v>46077</v>
      </c>
      <c r="K244" s="1" t="s">
        <v>24</v>
      </c>
    </row>
    <row r="245" spans="1:11" ht="15" thickBot="1" x14ac:dyDescent="0.4">
      <c r="A245" s="3">
        <v>1244</v>
      </c>
      <c r="B245" s="1" t="s">
        <v>57</v>
      </c>
      <c r="C245" s="1" t="s">
        <v>38</v>
      </c>
      <c r="D245" s="1" t="s">
        <v>18</v>
      </c>
      <c r="E245" s="1" t="s">
        <v>28</v>
      </c>
      <c r="F245" s="3">
        <v>10</v>
      </c>
      <c r="G245" s="3">
        <v>6339</v>
      </c>
      <c r="H245" s="3">
        <v>12</v>
      </c>
      <c r="I245" s="4">
        <v>46200</v>
      </c>
      <c r="J245" s="4">
        <v>46205</v>
      </c>
      <c r="K245" s="1" t="s">
        <v>15</v>
      </c>
    </row>
    <row r="246" spans="1:11" ht="29.5" thickBot="1" x14ac:dyDescent="0.4">
      <c r="A246" s="3">
        <v>1245</v>
      </c>
      <c r="B246" s="1" t="s">
        <v>55</v>
      </c>
      <c r="C246" s="1" t="s">
        <v>43</v>
      </c>
      <c r="D246" s="1" t="s">
        <v>34</v>
      </c>
      <c r="E246" s="1" t="s">
        <v>41</v>
      </c>
      <c r="F246" s="3">
        <v>19</v>
      </c>
      <c r="G246" s="3">
        <v>69029</v>
      </c>
      <c r="H246" s="3">
        <v>7</v>
      </c>
      <c r="I246" s="4">
        <v>46176</v>
      </c>
      <c r="J246" s="4">
        <v>46179</v>
      </c>
      <c r="K246" s="1" t="s">
        <v>29</v>
      </c>
    </row>
    <row r="247" spans="1:11" ht="29.5" thickBot="1" x14ac:dyDescent="0.4">
      <c r="A247" s="3">
        <v>1246</v>
      </c>
      <c r="B247" s="1" t="s">
        <v>55</v>
      </c>
      <c r="C247" s="1" t="s">
        <v>22</v>
      </c>
      <c r="D247" s="1" t="s">
        <v>34</v>
      </c>
      <c r="E247" s="1" t="s">
        <v>35</v>
      </c>
      <c r="F247" s="3">
        <v>13</v>
      </c>
      <c r="G247" s="3">
        <v>1825</v>
      </c>
      <c r="H247" s="3">
        <v>2</v>
      </c>
      <c r="I247" s="4">
        <v>46039</v>
      </c>
      <c r="J247" s="4">
        <v>46045</v>
      </c>
      <c r="K247" s="1" t="s">
        <v>51</v>
      </c>
    </row>
    <row r="248" spans="1:11" ht="29.5" thickBot="1" x14ac:dyDescent="0.4">
      <c r="A248" s="3">
        <v>1247</v>
      </c>
      <c r="B248" s="1" t="s">
        <v>26</v>
      </c>
      <c r="C248" s="1" t="s">
        <v>12</v>
      </c>
      <c r="D248" s="1" t="s">
        <v>13</v>
      </c>
      <c r="E248" s="1" t="s">
        <v>50</v>
      </c>
      <c r="F248" s="3">
        <v>10</v>
      </c>
      <c r="G248" s="3">
        <v>336</v>
      </c>
      <c r="H248" s="3">
        <v>7</v>
      </c>
      <c r="I248" s="4">
        <v>46173</v>
      </c>
      <c r="J248" s="4">
        <v>46175</v>
      </c>
      <c r="K248" s="1" t="s">
        <v>20</v>
      </c>
    </row>
    <row r="249" spans="1:11" ht="29.5" thickBot="1" x14ac:dyDescent="0.4">
      <c r="A249" s="3">
        <v>1248</v>
      </c>
      <c r="B249" s="1" t="s">
        <v>27</v>
      </c>
      <c r="C249" s="1" t="s">
        <v>43</v>
      </c>
      <c r="D249" s="1" t="s">
        <v>13</v>
      </c>
      <c r="E249" s="1" t="s">
        <v>37</v>
      </c>
      <c r="F249" s="3">
        <v>5</v>
      </c>
      <c r="G249" s="3">
        <v>398</v>
      </c>
      <c r="H249" s="3">
        <v>7</v>
      </c>
      <c r="I249" s="4">
        <v>46161</v>
      </c>
      <c r="J249" s="4">
        <v>46171</v>
      </c>
      <c r="K249" s="1" t="s">
        <v>29</v>
      </c>
    </row>
    <row r="250" spans="1:11" ht="29.5" thickBot="1" x14ac:dyDescent="0.4">
      <c r="A250" s="3">
        <v>1249</v>
      </c>
      <c r="B250" s="1" t="s">
        <v>16</v>
      </c>
      <c r="C250" s="1" t="s">
        <v>25</v>
      </c>
      <c r="D250" s="1" t="s">
        <v>34</v>
      </c>
      <c r="E250" s="1" t="s">
        <v>41</v>
      </c>
      <c r="F250" s="3">
        <v>18</v>
      </c>
      <c r="G250" s="3">
        <v>6360</v>
      </c>
      <c r="H250" s="3">
        <v>12</v>
      </c>
      <c r="I250" s="4">
        <v>46163</v>
      </c>
      <c r="J250" s="4">
        <v>46165</v>
      </c>
      <c r="K250" s="1" t="s">
        <v>20</v>
      </c>
    </row>
    <row r="251" spans="1:11" ht="29.5" thickBot="1" x14ac:dyDescent="0.4">
      <c r="A251" s="3">
        <v>1250</v>
      </c>
      <c r="B251" s="1" t="s">
        <v>11</v>
      </c>
      <c r="C251" s="1" t="s">
        <v>17</v>
      </c>
      <c r="D251" s="1" t="s">
        <v>34</v>
      </c>
      <c r="E251" s="1" t="s">
        <v>45</v>
      </c>
      <c r="F251" s="3">
        <v>2</v>
      </c>
      <c r="G251" s="3">
        <v>65953</v>
      </c>
      <c r="H251" s="3">
        <v>7</v>
      </c>
      <c r="I251" s="4">
        <v>46051</v>
      </c>
      <c r="J251" s="4">
        <v>46053</v>
      </c>
      <c r="K251" s="1" t="s">
        <v>29</v>
      </c>
    </row>
    <row r="252" spans="1:11" ht="29.5" thickBot="1" x14ac:dyDescent="0.4">
      <c r="A252" s="3">
        <v>1251</v>
      </c>
      <c r="B252" s="1" t="s">
        <v>55</v>
      </c>
      <c r="C252" s="1" t="s">
        <v>38</v>
      </c>
      <c r="D252" s="1" t="s">
        <v>34</v>
      </c>
      <c r="E252" s="1" t="s">
        <v>61</v>
      </c>
      <c r="F252" s="3">
        <v>19</v>
      </c>
      <c r="G252" s="3">
        <v>48548</v>
      </c>
      <c r="H252" s="3">
        <v>0</v>
      </c>
      <c r="I252" s="4">
        <v>46112</v>
      </c>
      <c r="J252" s="4">
        <v>46121</v>
      </c>
      <c r="K252" s="1" t="s">
        <v>51</v>
      </c>
    </row>
    <row r="253" spans="1:11" ht="29.5" thickBot="1" x14ac:dyDescent="0.4">
      <c r="A253" s="3">
        <v>1252</v>
      </c>
      <c r="B253" s="1" t="s">
        <v>47</v>
      </c>
      <c r="C253" s="1" t="s">
        <v>25</v>
      </c>
      <c r="D253" s="1" t="s">
        <v>13</v>
      </c>
      <c r="E253" s="1" t="s">
        <v>36</v>
      </c>
      <c r="F253" s="3">
        <v>15</v>
      </c>
      <c r="G253" s="3">
        <v>257</v>
      </c>
      <c r="H253" s="3">
        <v>5</v>
      </c>
      <c r="I253" s="4">
        <v>46166</v>
      </c>
      <c r="J253" s="4">
        <v>46173</v>
      </c>
      <c r="K253" s="1" t="s">
        <v>20</v>
      </c>
    </row>
    <row r="254" spans="1:11" ht="29.5" thickBot="1" x14ac:dyDescent="0.4">
      <c r="A254" s="3">
        <v>1253</v>
      </c>
      <c r="B254" s="1" t="s">
        <v>21</v>
      </c>
      <c r="C254" s="1" t="s">
        <v>31</v>
      </c>
      <c r="D254" s="1" t="s">
        <v>34</v>
      </c>
      <c r="E254" s="1" t="s">
        <v>45</v>
      </c>
      <c r="F254" s="3">
        <v>20</v>
      </c>
      <c r="G254" s="3">
        <v>47880</v>
      </c>
      <c r="H254" s="3">
        <v>7</v>
      </c>
      <c r="I254" s="4">
        <v>46074</v>
      </c>
      <c r="J254" s="4">
        <v>46075</v>
      </c>
      <c r="K254" s="1" t="s">
        <v>29</v>
      </c>
    </row>
    <row r="255" spans="1:11" ht="29.5" thickBot="1" x14ac:dyDescent="0.4">
      <c r="A255" s="3">
        <v>1254</v>
      </c>
      <c r="B255" s="1" t="s">
        <v>52</v>
      </c>
      <c r="C255" s="1" t="s">
        <v>22</v>
      </c>
      <c r="D255" s="1" t="s">
        <v>13</v>
      </c>
      <c r="E255" s="1" t="s">
        <v>50</v>
      </c>
      <c r="F255" s="3">
        <v>18</v>
      </c>
      <c r="G255" s="3">
        <v>447</v>
      </c>
      <c r="H255" s="3">
        <v>15</v>
      </c>
      <c r="I255" s="4">
        <v>46141</v>
      </c>
      <c r="J255" s="4">
        <v>46149</v>
      </c>
      <c r="K255" s="1" t="s">
        <v>24</v>
      </c>
    </row>
    <row r="256" spans="1:11" ht="15" thickBot="1" x14ac:dyDescent="0.4">
      <c r="A256" s="3">
        <v>1255</v>
      </c>
      <c r="B256" s="1" t="s">
        <v>32</v>
      </c>
      <c r="C256" s="1" t="s">
        <v>17</v>
      </c>
      <c r="D256" s="1" t="s">
        <v>18</v>
      </c>
      <c r="E256" s="1" t="s">
        <v>19</v>
      </c>
      <c r="F256" s="3">
        <v>1</v>
      </c>
      <c r="G256" s="3">
        <v>2240</v>
      </c>
      <c r="H256" s="3">
        <v>5</v>
      </c>
      <c r="I256" s="4">
        <v>46091</v>
      </c>
      <c r="J256" s="4">
        <v>46095</v>
      </c>
      <c r="K256" s="1" t="s">
        <v>20</v>
      </c>
    </row>
    <row r="257" spans="1:11" ht="29.5" thickBot="1" x14ac:dyDescent="0.4">
      <c r="A257" s="3">
        <v>1256</v>
      </c>
      <c r="B257" s="1" t="s">
        <v>48</v>
      </c>
      <c r="C257" s="1" t="s">
        <v>31</v>
      </c>
      <c r="D257" s="1" t="s">
        <v>13</v>
      </c>
      <c r="E257" s="1" t="s">
        <v>50</v>
      </c>
      <c r="F257" s="3">
        <v>19</v>
      </c>
      <c r="G257" s="3">
        <v>406</v>
      </c>
      <c r="H257" s="3">
        <v>7</v>
      </c>
      <c r="I257" s="4">
        <v>46057</v>
      </c>
      <c r="J257" s="4">
        <v>46061</v>
      </c>
      <c r="K257" s="1" t="s">
        <v>15</v>
      </c>
    </row>
    <row r="258" spans="1:11" ht="29.5" thickBot="1" x14ac:dyDescent="0.4">
      <c r="A258" s="3">
        <v>1257</v>
      </c>
      <c r="B258" s="1" t="s">
        <v>54</v>
      </c>
      <c r="C258" s="1" t="s">
        <v>25</v>
      </c>
      <c r="D258" s="1" t="s">
        <v>34</v>
      </c>
      <c r="E258" s="1" t="s">
        <v>61</v>
      </c>
      <c r="F258" s="3">
        <v>7</v>
      </c>
      <c r="G258" s="3">
        <v>53243</v>
      </c>
      <c r="H258" s="3">
        <v>12</v>
      </c>
      <c r="I258" s="4">
        <v>46161</v>
      </c>
      <c r="J258" s="4">
        <v>46171</v>
      </c>
      <c r="K258" s="1" t="s">
        <v>15</v>
      </c>
    </row>
    <row r="259" spans="1:11" ht="29.5" thickBot="1" x14ac:dyDescent="0.4">
      <c r="A259" s="3">
        <v>1258</v>
      </c>
      <c r="B259" s="1" t="s">
        <v>32</v>
      </c>
      <c r="C259" s="1" t="s">
        <v>31</v>
      </c>
      <c r="D259" s="1" t="s">
        <v>34</v>
      </c>
      <c r="E259" s="1" t="s">
        <v>60</v>
      </c>
      <c r="F259" s="3">
        <v>1</v>
      </c>
      <c r="G259" s="3">
        <v>10600</v>
      </c>
      <c r="H259" s="3">
        <v>5</v>
      </c>
      <c r="I259" s="4">
        <v>46137</v>
      </c>
      <c r="J259" s="4">
        <v>46138</v>
      </c>
      <c r="K259" s="1" t="s">
        <v>29</v>
      </c>
    </row>
    <row r="260" spans="1:11" ht="29.5" thickBot="1" x14ac:dyDescent="0.4">
      <c r="A260" s="3">
        <v>1259</v>
      </c>
      <c r="B260" s="1" t="s">
        <v>42</v>
      </c>
      <c r="C260" s="1" t="s">
        <v>22</v>
      </c>
      <c r="D260" s="1" t="s">
        <v>34</v>
      </c>
      <c r="E260" s="1" t="s">
        <v>45</v>
      </c>
      <c r="F260" s="3">
        <v>10</v>
      </c>
      <c r="G260" s="3">
        <v>38771</v>
      </c>
      <c r="H260" s="3">
        <v>15</v>
      </c>
      <c r="I260" s="4">
        <v>46172</v>
      </c>
      <c r="J260" s="4">
        <v>46182</v>
      </c>
      <c r="K260" s="1" t="s">
        <v>15</v>
      </c>
    </row>
    <row r="261" spans="1:11" ht="29.5" thickBot="1" x14ac:dyDescent="0.4">
      <c r="A261" s="3">
        <v>1260</v>
      </c>
      <c r="B261" s="1" t="s">
        <v>54</v>
      </c>
      <c r="C261" s="1" t="s">
        <v>38</v>
      </c>
      <c r="D261" s="1" t="s">
        <v>34</v>
      </c>
      <c r="E261" s="1" t="s">
        <v>41</v>
      </c>
      <c r="F261" s="3">
        <v>19</v>
      </c>
      <c r="G261" s="3">
        <v>54981</v>
      </c>
      <c r="H261" s="3">
        <v>10</v>
      </c>
      <c r="I261" s="4">
        <v>46040</v>
      </c>
      <c r="J261" s="4">
        <v>46045</v>
      </c>
      <c r="K261" s="1" t="s">
        <v>29</v>
      </c>
    </row>
    <row r="262" spans="1:11" ht="29.5" thickBot="1" x14ac:dyDescent="0.4">
      <c r="A262" s="3">
        <v>1261</v>
      </c>
      <c r="B262" s="1" t="s">
        <v>40</v>
      </c>
      <c r="C262" s="1" t="s">
        <v>17</v>
      </c>
      <c r="D262" s="1" t="s">
        <v>13</v>
      </c>
      <c r="E262" s="1" t="s">
        <v>50</v>
      </c>
      <c r="F262" s="3">
        <v>20</v>
      </c>
      <c r="G262" s="3">
        <v>162</v>
      </c>
      <c r="H262" s="3">
        <v>7</v>
      </c>
      <c r="I262" s="4">
        <v>46119</v>
      </c>
      <c r="J262" s="4">
        <v>46120</v>
      </c>
      <c r="K262" s="1" t="s">
        <v>51</v>
      </c>
    </row>
    <row r="263" spans="1:11" ht="15" thickBot="1" x14ac:dyDescent="0.4">
      <c r="A263" s="3">
        <v>1262</v>
      </c>
      <c r="B263" s="1" t="s">
        <v>16</v>
      </c>
      <c r="C263" s="1" t="s">
        <v>22</v>
      </c>
      <c r="D263" s="1" t="s">
        <v>18</v>
      </c>
      <c r="E263" s="1" t="s">
        <v>28</v>
      </c>
      <c r="F263" s="3">
        <v>9</v>
      </c>
      <c r="G263" s="3">
        <v>2231</v>
      </c>
      <c r="H263" s="3">
        <v>15</v>
      </c>
      <c r="I263" s="4">
        <v>46174</v>
      </c>
      <c r="J263" s="4">
        <v>46183</v>
      </c>
      <c r="K263" s="1" t="s">
        <v>15</v>
      </c>
    </row>
    <row r="264" spans="1:11" ht="15" thickBot="1" x14ac:dyDescent="0.4">
      <c r="A264" s="3">
        <v>1263</v>
      </c>
      <c r="B264" s="1" t="s">
        <v>29</v>
      </c>
      <c r="C264" s="1" t="s">
        <v>38</v>
      </c>
      <c r="D264" s="1" t="s">
        <v>18</v>
      </c>
      <c r="E264" s="1" t="s">
        <v>28</v>
      </c>
      <c r="F264" s="3">
        <v>10</v>
      </c>
      <c r="G264" s="3">
        <v>1505</v>
      </c>
      <c r="H264" s="3">
        <v>0</v>
      </c>
      <c r="I264" s="4">
        <v>46130</v>
      </c>
      <c r="J264" s="4">
        <v>46138</v>
      </c>
      <c r="K264" s="1" t="s">
        <v>51</v>
      </c>
    </row>
    <row r="265" spans="1:11" ht="15" thickBot="1" x14ac:dyDescent="0.4">
      <c r="A265" s="3">
        <v>1264</v>
      </c>
      <c r="B265" s="1" t="s">
        <v>11</v>
      </c>
      <c r="C265" s="1" t="s">
        <v>22</v>
      </c>
      <c r="D265" s="1" t="s">
        <v>18</v>
      </c>
      <c r="E265" s="1" t="s">
        <v>28</v>
      </c>
      <c r="F265" s="3">
        <v>15</v>
      </c>
      <c r="G265" s="3">
        <v>6365</v>
      </c>
      <c r="H265" s="3">
        <v>10</v>
      </c>
      <c r="I265" s="4">
        <v>46200</v>
      </c>
      <c r="J265" s="4">
        <v>46206</v>
      </c>
      <c r="K265" s="1" t="s">
        <v>20</v>
      </c>
    </row>
    <row r="266" spans="1:11" ht="15" thickBot="1" x14ac:dyDescent="0.4">
      <c r="A266" s="3">
        <v>1265</v>
      </c>
      <c r="B266" s="1" t="s">
        <v>58</v>
      </c>
      <c r="C266" s="1" t="s">
        <v>22</v>
      </c>
      <c r="D266" s="1" t="s">
        <v>18</v>
      </c>
      <c r="E266" s="1" t="s">
        <v>19</v>
      </c>
      <c r="F266" s="3">
        <v>1</v>
      </c>
      <c r="G266" s="3">
        <v>1052</v>
      </c>
      <c r="H266" s="3">
        <v>7</v>
      </c>
      <c r="I266" s="4">
        <v>46117</v>
      </c>
      <c r="J266" s="4">
        <v>46127</v>
      </c>
      <c r="K266" s="1" t="s">
        <v>51</v>
      </c>
    </row>
    <row r="267" spans="1:11" ht="29.5" thickBot="1" x14ac:dyDescent="0.4">
      <c r="A267" s="3">
        <v>1266</v>
      </c>
      <c r="B267" s="1" t="s">
        <v>29</v>
      </c>
      <c r="C267" s="1" t="s">
        <v>33</v>
      </c>
      <c r="D267" s="1" t="s">
        <v>13</v>
      </c>
      <c r="E267" s="1" t="s">
        <v>14</v>
      </c>
      <c r="F267" s="3">
        <v>17</v>
      </c>
      <c r="G267" s="3">
        <v>365</v>
      </c>
      <c r="H267" s="3">
        <v>2</v>
      </c>
      <c r="I267" s="4">
        <v>46096</v>
      </c>
      <c r="J267" s="4">
        <v>46104</v>
      </c>
      <c r="K267" s="1" t="s">
        <v>51</v>
      </c>
    </row>
    <row r="268" spans="1:11" ht="29.5" thickBot="1" x14ac:dyDescent="0.4">
      <c r="A268" s="3">
        <v>1267</v>
      </c>
      <c r="B268" s="1" t="s">
        <v>27</v>
      </c>
      <c r="C268" s="1" t="s">
        <v>38</v>
      </c>
      <c r="D268" s="1" t="s">
        <v>13</v>
      </c>
      <c r="E268" s="1" t="s">
        <v>50</v>
      </c>
      <c r="F268" s="3">
        <v>1</v>
      </c>
      <c r="G268" s="3">
        <v>50</v>
      </c>
      <c r="H268" s="3">
        <v>0</v>
      </c>
      <c r="I268" s="4">
        <v>46129</v>
      </c>
      <c r="J268" s="4">
        <v>46138</v>
      </c>
      <c r="K268" s="1" t="s">
        <v>20</v>
      </c>
    </row>
    <row r="269" spans="1:11" ht="29.5" thickBot="1" x14ac:dyDescent="0.4">
      <c r="A269" s="3">
        <v>1268</v>
      </c>
      <c r="B269" s="1" t="s">
        <v>42</v>
      </c>
      <c r="C269" s="1" t="s">
        <v>38</v>
      </c>
      <c r="D269" s="1" t="s">
        <v>34</v>
      </c>
      <c r="E269" s="1" t="s">
        <v>45</v>
      </c>
      <c r="F269" s="3">
        <v>10</v>
      </c>
      <c r="G269" s="3">
        <v>46291</v>
      </c>
      <c r="H269" s="3">
        <v>12</v>
      </c>
      <c r="I269" s="4">
        <v>46199</v>
      </c>
      <c r="J269" s="4">
        <v>46202</v>
      </c>
      <c r="K269" s="1" t="s">
        <v>20</v>
      </c>
    </row>
    <row r="270" spans="1:11" ht="15" thickBot="1" x14ac:dyDescent="0.4">
      <c r="A270" s="3">
        <v>1269</v>
      </c>
      <c r="B270" s="1" t="s">
        <v>52</v>
      </c>
      <c r="C270" s="1" t="s">
        <v>43</v>
      </c>
      <c r="D270" s="1" t="s">
        <v>18</v>
      </c>
      <c r="E270" s="1" t="s">
        <v>19</v>
      </c>
      <c r="F270" s="3">
        <v>14</v>
      </c>
      <c r="G270" s="3">
        <v>5704</v>
      </c>
      <c r="H270" s="3">
        <v>2</v>
      </c>
      <c r="I270" s="4">
        <v>46129</v>
      </c>
      <c r="J270" s="4">
        <v>46131</v>
      </c>
      <c r="K270" s="1" t="s">
        <v>15</v>
      </c>
    </row>
    <row r="271" spans="1:11" ht="29.5" thickBot="1" x14ac:dyDescent="0.4">
      <c r="A271" s="3">
        <v>1270</v>
      </c>
      <c r="B271" s="1" t="s">
        <v>49</v>
      </c>
      <c r="C271" s="1" t="s">
        <v>43</v>
      </c>
      <c r="D271" s="1" t="s">
        <v>34</v>
      </c>
      <c r="E271" s="1" t="s">
        <v>35</v>
      </c>
      <c r="F271" s="3">
        <v>16</v>
      </c>
      <c r="G271" s="3">
        <v>62941</v>
      </c>
      <c r="H271" s="3">
        <v>7</v>
      </c>
      <c r="I271" s="4">
        <v>46135</v>
      </c>
      <c r="J271" s="4">
        <v>46141</v>
      </c>
      <c r="K271" s="1" t="s">
        <v>51</v>
      </c>
    </row>
    <row r="272" spans="1:11" ht="29.5" thickBot="1" x14ac:dyDescent="0.4">
      <c r="A272" s="3">
        <v>1271</v>
      </c>
      <c r="B272" s="1" t="s">
        <v>40</v>
      </c>
      <c r="C272" s="1" t="s">
        <v>33</v>
      </c>
      <c r="D272" s="1" t="s">
        <v>34</v>
      </c>
      <c r="E272" s="1" t="s">
        <v>60</v>
      </c>
      <c r="F272" s="3">
        <v>20</v>
      </c>
      <c r="G272" s="3">
        <v>36941</v>
      </c>
      <c r="H272" s="3">
        <v>15</v>
      </c>
      <c r="I272" s="4">
        <v>46083</v>
      </c>
      <c r="J272" s="4">
        <v>46085</v>
      </c>
      <c r="K272" s="1" t="s">
        <v>29</v>
      </c>
    </row>
    <row r="273" spans="1:11" ht="29.5" thickBot="1" x14ac:dyDescent="0.4">
      <c r="A273" s="3">
        <v>1272</v>
      </c>
      <c r="B273" s="1" t="s">
        <v>52</v>
      </c>
      <c r="C273" s="1" t="s">
        <v>38</v>
      </c>
      <c r="D273" s="1" t="s">
        <v>34</v>
      </c>
      <c r="E273" s="1" t="s">
        <v>41</v>
      </c>
      <c r="F273" s="3">
        <v>13</v>
      </c>
      <c r="G273" s="3">
        <v>42179</v>
      </c>
      <c r="H273" s="3">
        <v>0</v>
      </c>
      <c r="I273" s="4">
        <v>46078</v>
      </c>
      <c r="J273" s="4">
        <v>46084</v>
      </c>
      <c r="K273" s="1" t="s">
        <v>20</v>
      </c>
    </row>
    <row r="274" spans="1:11" ht="29.5" thickBot="1" x14ac:dyDescent="0.4">
      <c r="A274" s="3">
        <v>1273</v>
      </c>
      <c r="B274" s="1" t="s">
        <v>46</v>
      </c>
      <c r="C274" s="1" t="s">
        <v>25</v>
      </c>
      <c r="D274" s="1" t="s">
        <v>34</v>
      </c>
      <c r="E274" s="1" t="s">
        <v>39</v>
      </c>
      <c r="F274" s="3">
        <v>12</v>
      </c>
      <c r="G274" s="3">
        <v>20618</v>
      </c>
      <c r="H274" s="3">
        <v>12</v>
      </c>
      <c r="I274" s="4">
        <v>46172</v>
      </c>
      <c r="J274" s="4">
        <v>46174</v>
      </c>
      <c r="K274" s="1" t="s">
        <v>20</v>
      </c>
    </row>
    <row r="275" spans="1:11" ht="29.5" thickBot="1" x14ac:dyDescent="0.4">
      <c r="A275" s="3">
        <v>1274</v>
      </c>
      <c r="B275" s="1" t="s">
        <v>26</v>
      </c>
      <c r="C275" s="1" t="s">
        <v>25</v>
      </c>
      <c r="D275" s="1" t="s">
        <v>34</v>
      </c>
      <c r="E275" s="1" t="s">
        <v>41</v>
      </c>
      <c r="F275" s="3">
        <v>13</v>
      </c>
      <c r="G275" s="3">
        <v>36652</v>
      </c>
      <c r="H275" s="3">
        <v>12</v>
      </c>
      <c r="I275" s="4">
        <v>46179</v>
      </c>
      <c r="J275" s="4">
        <v>46186</v>
      </c>
      <c r="K275" s="1" t="s">
        <v>20</v>
      </c>
    </row>
    <row r="276" spans="1:11" ht="29.5" thickBot="1" x14ac:dyDescent="0.4">
      <c r="A276" s="3">
        <v>1275</v>
      </c>
      <c r="B276" s="1" t="s">
        <v>16</v>
      </c>
      <c r="C276" s="1" t="s">
        <v>31</v>
      </c>
      <c r="D276" s="1" t="s">
        <v>13</v>
      </c>
      <c r="E276" s="1" t="s">
        <v>50</v>
      </c>
      <c r="F276" s="3">
        <v>20</v>
      </c>
      <c r="G276" s="3">
        <v>451</v>
      </c>
      <c r="H276" s="3">
        <v>15</v>
      </c>
      <c r="I276" s="4">
        <v>46092</v>
      </c>
      <c r="J276" s="4">
        <v>46094</v>
      </c>
      <c r="K276" s="1" t="s">
        <v>20</v>
      </c>
    </row>
    <row r="277" spans="1:11" ht="15" thickBot="1" x14ac:dyDescent="0.4">
      <c r="A277" s="3">
        <v>1276</v>
      </c>
      <c r="B277" s="1" t="s">
        <v>40</v>
      </c>
      <c r="C277" s="1" t="s">
        <v>12</v>
      </c>
      <c r="D277" s="1" t="s">
        <v>18</v>
      </c>
      <c r="E277" s="1" t="s">
        <v>19</v>
      </c>
      <c r="F277" s="3">
        <v>1</v>
      </c>
      <c r="G277" s="3">
        <v>13437</v>
      </c>
      <c r="H277" s="3">
        <v>15</v>
      </c>
      <c r="I277" s="4">
        <v>46097</v>
      </c>
      <c r="J277" s="4">
        <v>46099</v>
      </c>
      <c r="K277" s="1" t="s">
        <v>24</v>
      </c>
    </row>
    <row r="278" spans="1:11" ht="29.5" thickBot="1" x14ac:dyDescent="0.4">
      <c r="A278" s="3">
        <v>1277</v>
      </c>
      <c r="B278" s="1" t="s">
        <v>59</v>
      </c>
      <c r="C278" s="1" t="s">
        <v>17</v>
      </c>
      <c r="D278" s="1" t="s">
        <v>13</v>
      </c>
      <c r="E278" s="1" t="s">
        <v>36</v>
      </c>
      <c r="F278" s="3">
        <v>14</v>
      </c>
      <c r="G278" s="3">
        <v>276</v>
      </c>
      <c r="H278" s="3">
        <v>0</v>
      </c>
      <c r="I278" s="4">
        <v>46086</v>
      </c>
      <c r="J278" s="4">
        <v>46089</v>
      </c>
      <c r="K278" s="1" t="s">
        <v>15</v>
      </c>
    </row>
    <row r="279" spans="1:11" ht="29.5" thickBot="1" x14ac:dyDescent="0.4">
      <c r="A279" s="3">
        <v>1278</v>
      </c>
      <c r="B279" s="1" t="s">
        <v>47</v>
      </c>
      <c r="C279" s="1" t="s">
        <v>22</v>
      </c>
      <c r="D279" s="1" t="s">
        <v>34</v>
      </c>
      <c r="E279" s="1" t="s">
        <v>61</v>
      </c>
      <c r="F279" s="3">
        <v>4</v>
      </c>
      <c r="G279" s="3">
        <v>20639</v>
      </c>
      <c r="H279" s="3">
        <v>7</v>
      </c>
      <c r="I279" s="4">
        <v>46180</v>
      </c>
      <c r="J279" s="4">
        <v>46186</v>
      </c>
      <c r="K279" s="1" t="s">
        <v>20</v>
      </c>
    </row>
    <row r="280" spans="1:11" ht="29.5" thickBot="1" x14ac:dyDescent="0.4">
      <c r="A280" s="3">
        <v>1279</v>
      </c>
      <c r="B280" s="1" t="s">
        <v>55</v>
      </c>
      <c r="C280" s="1" t="s">
        <v>33</v>
      </c>
      <c r="D280" s="1" t="s">
        <v>34</v>
      </c>
      <c r="E280" s="1" t="s">
        <v>45</v>
      </c>
      <c r="F280" s="3">
        <v>20</v>
      </c>
      <c r="G280" s="3">
        <v>49042</v>
      </c>
      <c r="H280" s="3">
        <v>2</v>
      </c>
      <c r="I280" s="4">
        <v>46124</v>
      </c>
      <c r="J280" s="4">
        <v>46126</v>
      </c>
      <c r="K280" s="1" t="s">
        <v>15</v>
      </c>
    </row>
    <row r="281" spans="1:11" ht="29.5" thickBot="1" x14ac:dyDescent="0.4">
      <c r="A281" s="3">
        <v>1280</v>
      </c>
      <c r="B281" s="1" t="s">
        <v>59</v>
      </c>
      <c r="C281" s="1" t="s">
        <v>38</v>
      </c>
      <c r="D281" s="1" t="s">
        <v>13</v>
      </c>
      <c r="E281" s="1" t="s">
        <v>53</v>
      </c>
      <c r="F281" s="3">
        <v>9</v>
      </c>
      <c r="G281" s="3">
        <v>50</v>
      </c>
      <c r="H281" s="3">
        <v>7</v>
      </c>
      <c r="I281" s="4">
        <v>46085</v>
      </c>
      <c r="J281" s="4">
        <v>46095</v>
      </c>
      <c r="K281" s="1" t="s">
        <v>51</v>
      </c>
    </row>
    <row r="282" spans="1:11" ht="29.5" thickBot="1" x14ac:dyDescent="0.4">
      <c r="A282" s="3">
        <v>1281</v>
      </c>
      <c r="B282" s="1" t="s">
        <v>55</v>
      </c>
      <c r="C282" s="1" t="s">
        <v>17</v>
      </c>
      <c r="D282" s="1" t="s">
        <v>13</v>
      </c>
      <c r="E282" s="1" t="s">
        <v>50</v>
      </c>
      <c r="F282" s="3">
        <v>6</v>
      </c>
      <c r="G282" s="3">
        <v>253</v>
      </c>
      <c r="H282" s="3">
        <v>0</v>
      </c>
      <c r="I282" s="4">
        <v>46055</v>
      </c>
      <c r="J282" s="4">
        <v>46063</v>
      </c>
      <c r="K282" s="1" t="s">
        <v>24</v>
      </c>
    </row>
    <row r="283" spans="1:11" ht="29.5" thickBot="1" x14ac:dyDescent="0.4">
      <c r="A283" s="3">
        <v>1282</v>
      </c>
      <c r="B283" s="1" t="s">
        <v>57</v>
      </c>
      <c r="C283" s="1" t="s">
        <v>43</v>
      </c>
      <c r="D283" s="1" t="s">
        <v>18</v>
      </c>
      <c r="E283" s="1" t="s">
        <v>44</v>
      </c>
      <c r="F283" s="3">
        <v>12</v>
      </c>
      <c r="G283" s="3">
        <v>3178</v>
      </c>
      <c r="H283" s="3">
        <v>10</v>
      </c>
      <c r="I283" s="4">
        <v>46176</v>
      </c>
      <c r="J283" s="4">
        <v>46177</v>
      </c>
      <c r="K283" s="1" t="s">
        <v>29</v>
      </c>
    </row>
    <row r="284" spans="1:11" ht="15" thickBot="1" x14ac:dyDescent="0.4">
      <c r="A284" s="3">
        <v>1283</v>
      </c>
      <c r="B284" s="1" t="s">
        <v>40</v>
      </c>
      <c r="C284" s="1" t="s">
        <v>12</v>
      </c>
      <c r="D284" s="1" t="s">
        <v>18</v>
      </c>
      <c r="E284" s="1" t="s">
        <v>23</v>
      </c>
      <c r="F284" s="3">
        <v>6</v>
      </c>
      <c r="G284" s="3">
        <v>1167</v>
      </c>
      <c r="H284" s="3">
        <v>2</v>
      </c>
      <c r="I284" s="4">
        <v>46100</v>
      </c>
      <c r="J284" s="4">
        <v>46106</v>
      </c>
      <c r="K284" s="1" t="s">
        <v>15</v>
      </c>
    </row>
    <row r="285" spans="1:11" ht="29.5" thickBot="1" x14ac:dyDescent="0.4">
      <c r="A285" s="3">
        <v>1284</v>
      </c>
      <c r="B285" s="1" t="s">
        <v>40</v>
      </c>
      <c r="C285" s="1" t="s">
        <v>25</v>
      </c>
      <c r="D285" s="1" t="s">
        <v>13</v>
      </c>
      <c r="E285" s="1" t="s">
        <v>37</v>
      </c>
      <c r="F285" s="3">
        <v>16</v>
      </c>
      <c r="G285" s="3">
        <v>419</v>
      </c>
      <c r="H285" s="3">
        <v>2</v>
      </c>
      <c r="I285" s="4">
        <v>46082</v>
      </c>
      <c r="J285" s="4">
        <v>46090</v>
      </c>
      <c r="K285" s="1" t="s">
        <v>15</v>
      </c>
    </row>
    <row r="286" spans="1:11" ht="29.5" thickBot="1" x14ac:dyDescent="0.4">
      <c r="A286" s="3">
        <v>1285</v>
      </c>
      <c r="B286" s="1" t="s">
        <v>32</v>
      </c>
      <c r="C286" s="1" t="s">
        <v>38</v>
      </c>
      <c r="D286" s="1" t="s">
        <v>13</v>
      </c>
      <c r="E286" s="1" t="s">
        <v>36</v>
      </c>
      <c r="F286" s="3">
        <v>7</v>
      </c>
      <c r="G286" s="3">
        <v>439</v>
      </c>
      <c r="H286" s="3">
        <v>15</v>
      </c>
      <c r="I286" s="4">
        <v>46055</v>
      </c>
      <c r="J286" s="4">
        <v>46058</v>
      </c>
      <c r="K286" s="1" t="s">
        <v>20</v>
      </c>
    </row>
    <row r="287" spans="1:11" ht="15" thickBot="1" x14ac:dyDescent="0.4">
      <c r="A287" s="3">
        <v>1286</v>
      </c>
      <c r="B287" s="1" t="s">
        <v>46</v>
      </c>
      <c r="C287" s="1" t="s">
        <v>17</v>
      </c>
      <c r="D287" s="1" t="s">
        <v>18</v>
      </c>
      <c r="E287" s="1" t="s">
        <v>56</v>
      </c>
      <c r="F287" s="3">
        <v>9</v>
      </c>
      <c r="G287" s="3">
        <v>1340</v>
      </c>
      <c r="H287" s="3">
        <v>2</v>
      </c>
      <c r="I287" s="4">
        <v>46168</v>
      </c>
      <c r="J287" s="4">
        <v>46173</v>
      </c>
      <c r="K287" s="1" t="s">
        <v>15</v>
      </c>
    </row>
    <row r="288" spans="1:11" ht="29.5" thickBot="1" x14ac:dyDescent="0.4">
      <c r="A288" s="3">
        <v>1287</v>
      </c>
      <c r="B288" s="1" t="s">
        <v>59</v>
      </c>
      <c r="C288" s="1" t="s">
        <v>31</v>
      </c>
      <c r="D288" s="1" t="s">
        <v>13</v>
      </c>
      <c r="E288" s="1" t="s">
        <v>14</v>
      </c>
      <c r="F288" s="3">
        <v>15</v>
      </c>
      <c r="G288" s="3">
        <v>251</v>
      </c>
      <c r="H288" s="3">
        <v>2</v>
      </c>
      <c r="I288" s="4">
        <v>46116</v>
      </c>
      <c r="J288" s="4">
        <v>46122</v>
      </c>
      <c r="K288" s="1" t="s">
        <v>51</v>
      </c>
    </row>
    <row r="289" spans="1:11" ht="29.5" thickBot="1" x14ac:dyDescent="0.4">
      <c r="A289" s="3">
        <v>1288</v>
      </c>
      <c r="B289" s="1" t="s">
        <v>54</v>
      </c>
      <c r="C289" s="1" t="s">
        <v>22</v>
      </c>
      <c r="D289" s="1" t="s">
        <v>34</v>
      </c>
      <c r="E289" s="1" t="s">
        <v>60</v>
      </c>
      <c r="F289" s="3">
        <v>14</v>
      </c>
      <c r="G289" s="3">
        <v>35601</v>
      </c>
      <c r="H289" s="3">
        <v>10</v>
      </c>
      <c r="I289" s="4">
        <v>46179</v>
      </c>
      <c r="J289" s="4">
        <v>46187</v>
      </c>
      <c r="K289" s="1" t="s">
        <v>29</v>
      </c>
    </row>
    <row r="290" spans="1:11" ht="29.5" thickBot="1" x14ac:dyDescent="0.4">
      <c r="A290" s="3">
        <v>1289</v>
      </c>
      <c r="B290" s="1" t="s">
        <v>26</v>
      </c>
      <c r="C290" s="1" t="s">
        <v>22</v>
      </c>
      <c r="D290" s="1" t="s">
        <v>34</v>
      </c>
      <c r="E290" s="1" t="s">
        <v>45</v>
      </c>
      <c r="F290" s="3">
        <v>19</v>
      </c>
      <c r="G290" s="3">
        <v>25336</v>
      </c>
      <c r="H290" s="3">
        <v>2</v>
      </c>
      <c r="I290" s="4">
        <v>46122</v>
      </c>
      <c r="J290" s="4">
        <v>46130</v>
      </c>
      <c r="K290" s="1" t="s">
        <v>24</v>
      </c>
    </row>
    <row r="291" spans="1:11" ht="29.5" thickBot="1" x14ac:dyDescent="0.4">
      <c r="A291" s="3">
        <v>1290</v>
      </c>
      <c r="B291" s="1" t="s">
        <v>26</v>
      </c>
      <c r="C291" s="1" t="s">
        <v>22</v>
      </c>
      <c r="D291" s="1" t="s">
        <v>34</v>
      </c>
      <c r="E291" s="1" t="s">
        <v>35</v>
      </c>
      <c r="F291" s="3">
        <v>3</v>
      </c>
      <c r="G291" s="3">
        <v>69793</v>
      </c>
      <c r="H291" s="3">
        <v>15</v>
      </c>
      <c r="I291" s="4">
        <v>46110</v>
      </c>
      <c r="J291" s="4">
        <v>46111</v>
      </c>
      <c r="K291" s="1" t="s">
        <v>29</v>
      </c>
    </row>
    <row r="292" spans="1:11" ht="29.5" thickBot="1" x14ac:dyDescent="0.4">
      <c r="A292" s="3">
        <v>1291</v>
      </c>
      <c r="B292" s="1" t="s">
        <v>21</v>
      </c>
      <c r="C292" s="1" t="s">
        <v>17</v>
      </c>
      <c r="D292" s="1" t="s">
        <v>13</v>
      </c>
      <c r="E292" s="1" t="s">
        <v>36</v>
      </c>
      <c r="F292" s="3">
        <v>17</v>
      </c>
      <c r="G292" s="3">
        <v>415</v>
      </c>
      <c r="H292" s="3">
        <v>5</v>
      </c>
      <c r="I292" s="4">
        <v>46137</v>
      </c>
      <c r="J292" s="4">
        <v>46141</v>
      </c>
      <c r="K292" s="1" t="s">
        <v>20</v>
      </c>
    </row>
    <row r="293" spans="1:11" ht="29.5" thickBot="1" x14ac:dyDescent="0.4">
      <c r="A293" s="3">
        <v>1292</v>
      </c>
      <c r="B293" s="1" t="s">
        <v>54</v>
      </c>
      <c r="C293" s="1" t="s">
        <v>33</v>
      </c>
      <c r="D293" s="1" t="s">
        <v>34</v>
      </c>
      <c r="E293" s="1" t="s">
        <v>61</v>
      </c>
      <c r="F293" s="3">
        <v>11</v>
      </c>
      <c r="G293" s="3">
        <v>25158</v>
      </c>
      <c r="H293" s="3">
        <v>5</v>
      </c>
      <c r="I293" s="4">
        <v>46186</v>
      </c>
      <c r="J293" s="4">
        <v>46193</v>
      </c>
      <c r="K293" s="1" t="s">
        <v>20</v>
      </c>
    </row>
    <row r="294" spans="1:11" ht="15" thickBot="1" x14ac:dyDescent="0.4">
      <c r="A294" s="3">
        <v>1293</v>
      </c>
      <c r="B294" s="1" t="s">
        <v>49</v>
      </c>
      <c r="C294" s="1" t="s">
        <v>43</v>
      </c>
      <c r="D294" s="1" t="s">
        <v>18</v>
      </c>
      <c r="E294" s="1" t="s">
        <v>23</v>
      </c>
      <c r="F294" s="3">
        <v>7</v>
      </c>
      <c r="G294" s="3">
        <v>11481</v>
      </c>
      <c r="H294" s="3">
        <v>15</v>
      </c>
      <c r="I294" s="4">
        <v>46045</v>
      </c>
      <c r="J294" s="4">
        <v>46050</v>
      </c>
      <c r="K294" s="1" t="s">
        <v>20</v>
      </c>
    </row>
    <row r="295" spans="1:11" ht="15" thickBot="1" x14ac:dyDescent="0.4">
      <c r="A295" s="3">
        <v>1294</v>
      </c>
      <c r="B295" s="1" t="s">
        <v>21</v>
      </c>
      <c r="C295" s="1" t="s">
        <v>12</v>
      </c>
      <c r="D295" s="1" t="s">
        <v>18</v>
      </c>
      <c r="E295" s="1" t="s">
        <v>19</v>
      </c>
      <c r="F295" s="3">
        <v>8</v>
      </c>
      <c r="G295" s="3">
        <v>14448</v>
      </c>
      <c r="H295" s="3">
        <v>10</v>
      </c>
      <c r="I295" s="4">
        <v>46181</v>
      </c>
      <c r="J295" s="4">
        <v>46189</v>
      </c>
      <c r="K295" s="1" t="s">
        <v>15</v>
      </c>
    </row>
    <row r="296" spans="1:11" ht="15" thickBot="1" x14ac:dyDescent="0.4">
      <c r="A296" s="3">
        <v>1295</v>
      </c>
      <c r="B296" s="1" t="s">
        <v>52</v>
      </c>
      <c r="C296" s="1" t="s">
        <v>38</v>
      </c>
      <c r="D296" s="1" t="s">
        <v>18</v>
      </c>
      <c r="E296" s="1" t="s">
        <v>28</v>
      </c>
      <c r="F296" s="3">
        <v>16</v>
      </c>
      <c r="G296" s="3">
        <v>11935</v>
      </c>
      <c r="H296" s="3">
        <v>12</v>
      </c>
      <c r="I296" s="4">
        <v>46157</v>
      </c>
      <c r="J296" s="4">
        <v>46162</v>
      </c>
      <c r="K296" s="1" t="s">
        <v>15</v>
      </c>
    </row>
    <row r="297" spans="1:11" ht="29.5" thickBot="1" x14ac:dyDescent="0.4">
      <c r="A297" s="3">
        <v>1296</v>
      </c>
      <c r="B297" s="1" t="s">
        <v>26</v>
      </c>
      <c r="C297" s="1" t="s">
        <v>38</v>
      </c>
      <c r="D297" s="1" t="s">
        <v>13</v>
      </c>
      <c r="E297" s="1" t="s">
        <v>50</v>
      </c>
      <c r="F297" s="3">
        <v>6</v>
      </c>
      <c r="G297" s="3">
        <v>201</v>
      </c>
      <c r="H297" s="3">
        <v>0</v>
      </c>
      <c r="I297" s="4">
        <v>46063</v>
      </c>
      <c r="J297" s="4">
        <v>46072</v>
      </c>
      <c r="K297" s="1" t="s">
        <v>51</v>
      </c>
    </row>
    <row r="298" spans="1:11" ht="29.5" thickBot="1" x14ac:dyDescent="0.4">
      <c r="A298" s="3">
        <v>1297</v>
      </c>
      <c r="B298" s="1" t="s">
        <v>54</v>
      </c>
      <c r="C298" s="1" t="s">
        <v>25</v>
      </c>
      <c r="D298" s="1" t="s">
        <v>34</v>
      </c>
      <c r="E298" s="1" t="s">
        <v>35</v>
      </c>
      <c r="F298" s="3">
        <v>14</v>
      </c>
      <c r="G298" s="3">
        <v>24524</v>
      </c>
      <c r="H298" s="3">
        <v>10</v>
      </c>
      <c r="I298" s="4">
        <v>46178</v>
      </c>
      <c r="J298" s="4">
        <v>46187</v>
      </c>
      <c r="K298" s="1" t="s">
        <v>29</v>
      </c>
    </row>
    <row r="299" spans="1:11" ht="29.5" thickBot="1" x14ac:dyDescent="0.4">
      <c r="A299" s="3">
        <v>1298</v>
      </c>
      <c r="B299" s="1" t="s">
        <v>21</v>
      </c>
      <c r="C299" s="1" t="s">
        <v>12</v>
      </c>
      <c r="D299" s="1" t="s">
        <v>34</v>
      </c>
      <c r="E299" s="1" t="s">
        <v>61</v>
      </c>
      <c r="F299" s="3">
        <v>19</v>
      </c>
      <c r="G299" s="3">
        <v>20745</v>
      </c>
      <c r="H299" s="3">
        <v>2</v>
      </c>
      <c r="I299" s="4">
        <v>46083</v>
      </c>
      <c r="J299" s="4">
        <v>46093</v>
      </c>
      <c r="K299" s="1" t="s">
        <v>24</v>
      </c>
    </row>
    <row r="300" spans="1:11" ht="15" thickBot="1" x14ac:dyDescent="0.4">
      <c r="A300" s="3">
        <v>1299</v>
      </c>
      <c r="B300" s="1" t="s">
        <v>26</v>
      </c>
      <c r="C300" s="1" t="s">
        <v>17</v>
      </c>
      <c r="D300" s="1" t="s">
        <v>18</v>
      </c>
      <c r="E300" s="1" t="s">
        <v>56</v>
      </c>
      <c r="F300" s="3">
        <v>8</v>
      </c>
      <c r="G300" s="3">
        <v>8783</v>
      </c>
      <c r="H300" s="3">
        <v>2</v>
      </c>
      <c r="I300" s="4">
        <v>46123</v>
      </c>
      <c r="J300" s="4">
        <v>46132</v>
      </c>
      <c r="K300" s="1" t="s">
        <v>15</v>
      </c>
    </row>
    <row r="301" spans="1:11" ht="29.5" thickBot="1" x14ac:dyDescent="0.4">
      <c r="A301" s="3">
        <v>1300</v>
      </c>
      <c r="B301" s="1" t="s">
        <v>47</v>
      </c>
      <c r="C301" s="1" t="s">
        <v>33</v>
      </c>
      <c r="D301" s="1" t="s">
        <v>34</v>
      </c>
      <c r="E301" s="1" t="s">
        <v>45</v>
      </c>
      <c r="F301" s="3">
        <v>20</v>
      </c>
      <c r="G301" s="3">
        <v>1392</v>
      </c>
      <c r="H301" s="3">
        <v>2</v>
      </c>
      <c r="I301" s="4">
        <v>46110</v>
      </c>
      <c r="J301" s="4">
        <v>46117</v>
      </c>
      <c r="K301" s="1" t="s">
        <v>24</v>
      </c>
    </row>
    <row r="302" spans="1:11" ht="15" thickBot="1" x14ac:dyDescent="0.4">
      <c r="A302" s="3">
        <v>1301</v>
      </c>
      <c r="B302" s="1" t="s">
        <v>54</v>
      </c>
      <c r="C302" s="1" t="s">
        <v>17</v>
      </c>
      <c r="D302" s="1" t="s">
        <v>18</v>
      </c>
      <c r="E302" s="1" t="s">
        <v>28</v>
      </c>
      <c r="F302" s="3">
        <v>3</v>
      </c>
      <c r="G302" s="3">
        <v>7020</v>
      </c>
      <c r="H302" s="3">
        <v>10</v>
      </c>
      <c r="I302" s="4">
        <v>46028</v>
      </c>
      <c r="J302" s="4">
        <v>46038</v>
      </c>
      <c r="K302" s="1" t="s">
        <v>24</v>
      </c>
    </row>
    <row r="303" spans="1:11" ht="29.5" thickBot="1" x14ac:dyDescent="0.4">
      <c r="A303" s="3">
        <v>1302</v>
      </c>
      <c r="B303" s="1" t="s">
        <v>57</v>
      </c>
      <c r="C303" s="1" t="s">
        <v>12</v>
      </c>
      <c r="D303" s="1" t="s">
        <v>34</v>
      </c>
      <c r="E303" s="1" t="s">
        <v>35</v>
      </c>
      <c r="F303" s="3">
        <v>9</v>
      </c>
      <c r="G303" s="3">
        <v>8500</v>
      </c>
      <c r="H303" s="3">
        <v>15</v>
      </c>
      <c r="I303" s="4">
        <v>46163</v>
      </c>
      <c r="J303" s="4">
        <v>46172</v>
      </c>
      <c r="K303" s="1" t="s">
        <v>24</v>
      </c>
    </row>
    <row r="304" spans="1:11" ht="29.5" thickBot="1" x14ac:dyDescent="0.4">
      <c r="A304" s="3">
        <v>1303</v>
      </c>
      <c r="B304" s="1" t="s">
        <v>57</v>
      </c>
      <c r="C304" s="1" t="s">
        <v>38</v>
      </c>
      <c r="D304" s="1" t="s">
        <v>34</v>
      </c>
      <c r="E304" s="1" t="s">
        <v>35</v>
      </c>
      <c r="F304" s="3">
        <v>13</v>
      </c>
      <c r="G304" s="3">
        <v>5170</v>
      </c>
      <c r="H304" s="3">
        <v>2</v>
      </c>
      <c r="I304" s="4">
        <v>46124</v>
      </c>
      <c r="J304" s="4">
        <v>46127</v>
      </c>
      <c r="K304" s="1" t="s">
        <v>15</v>
      </c>
    </row>
    <row r="305" spans="1:11" ht="29.5" thickBot="1" x14ac:dyDescent="0.4">
      <c r="A305" s="3">
        <v>1304</v>
      </c>
      <c r="B305" s="1" t="s">
        <v>59</v>
      </c>
      <c r="C305" s="1" t="s">
        <v>25</v>
      </c>
      <c r="D305" s="1" t="s">
        <v>13</v>
      </c>
      <c r="E305" s="1" t="s">
        <v>36</v>
      </c>
      <c r="F305" s="3">
        <v>20</v>
      </c>
      <c r="G305" s="3">
        <v>368</v>
      </c>
      <c r="H305" s="3">
        <v>7</v>
      </c>
      <c r="I305" s="4">
        <v>46042</v>
      </c>
      <c r="J305" s="4">
        <v>46051</v>
      </c>
      <c r="K305" s="1" t="s">
        <v>51</v>
      </c>
    </row>
    <row r="306" spans="1:11" ht="29.5" thickBot="1" x14ac:dyDescent="0.4">
      <c r="A306" s="3">
        <v>1305</v>
      </c>
      <c r="B306" s="1" t="s">
        <v>58</v>
      </c>
      <c r="C306" s="1" t="s">
        <v>31</v>
      </c>
      <c r="D306" s="1" t="s">
        <v>34</v>
      </c>
      <c r="E306" s="1" t="s">
        <v>60</v>
      </c>
      <c r="F306" s="3">
        <v>20</v>
      </c>
      <c r="G306" s="3">
        <v>31406</v>
      </c>
      <c r="H306" s="3">
        <v>15</v>
      </c>
      <c r="I306" s="4">
        <v>46146</v>
      </c>
      <c r="J306" s="4">
        <v>46154</v>
      </c>
      <c r="K306" s="1" t="s">
        <v>51</v>
      </c>
    </row>
    <row r="307" spans="1:11" ht="29.5" thickBot="1" x14ac:dyDescent="0.4">
      <c r="A307" s="3">
        <v>1306</v>
      </c>
      <c r="B307" s="1" t="s">
        <v>54</v>
      </c>
      <c r="C307" s="1" t="s">
        <v>43</v>
      </c>
      <c r="D307" s="1" t="s">
        <v>13</v>
      </c>
      <c r="E307" s="1" t="s">
        <v>36</v>
      </c>
      <c r="F307" s="3">
        <v>1</v>
      </c>
      <c r="G307" s="3">
        <v>332</v>
      </c>
      <c r="H307" s="3">
        <v>0</v>
      </c>
      <c r="I307" s="4">
        <v>46191</v>
      </c>
      <c r="J307" s="4">
        <v>46194</v>
      </c>
      <c r="K307" s="1" t="s">
        <v>20</v>
      </c>
    </row>
    <row r="308" spans="1:11" ht="29.5" thickBot="1" x14ac:dyDescent="0.4">
      <c r="A308" s="3">
        <v>1307</v>
      </c>
      <c r="B308" s="1" t="s">
        <v>57</v>
      </c>
      <c r="C308" s="1" t="s">
        <v>43</v>
      </c>
      <c r="D308" s="1" t="s">
        <v>34</v>
      </c>
      <c r="E308" s="1" t="s">
        <v>35</v>
      </c>
      <c r="F308" s="3">
        <v>18</v>
      </c>
      <c r="G308" s="3">
        <v>7541</v>
      </c>
      <c r="H308" s="3">
        <v>12</v>
      </c>
      <c r="I308" s="4">
        <v>46048</v>
      </c>
      <c r="J308" s="4">
        <v>46051</v>
      </c>
      <c r="K308" s="1" t="s">
        <v>51</v>
      </c>
    </row>
    <row r="309" spans="1:11" ht="29.5" thickBot="1" x14ac:dyDescent="0.4">
      <c r="A309" s="3">
        <v>1308</v>
      </c>
      <c r="B309" s="1" t="s">
        <v>30</v>
      </c>
      <c r="C309" s="1" t="s">
        <v>22</v>
      </c>
      <c r="D309" s="1" t="s">
        <v>34</v>
      </c>
      <c r="E309" s="1" t="s">
        <v>41</v>
      </c>
      <c r="F309" s="3">
        <v>12</v>
      </c>
      <c r="G309" s="3">
        <v>66075</v>
      </c>
      <c r="H309" s="3">
        <v>5</v>
      </c>
      <c r="I309" s="4">
        <v>46129</v>
      </c>
      <c r="J309" s="4">
        <v>46135</v>
      </c>
      <c r="K309" s="1" t="s">
        <v>20</v>
      </c>
    </row>
    <row r="310" spans="1:11" ht="29.5" thickBot="1" x14ac:dyDescent="0.4">
      <c r="A310" s="3">
        <v>1309</v>
      </c>
      <c r="B310" s="1" t="s">
        <v>29</v>
      </c>
      <c r="C310" s="1" t="s">
        <v>31</v>
      </c>
      <c r="D310" s="1" t="s">
        <v>13</v>
      </c>
      <c r="E310" s="1" t="s">
        <v>50</v>
      </c>
      <c r="F310" s="3">
        <v>2</v>
      </c>
      <c r="G310" s="3">
        <v>35</v>
      </c>
      <c r="H310" s="3">
        <v>5</v>
      </c>
      <c r="I310" s="4">
        <v>46197</v>
      </c>
      <c r="J310" s="4">
        <v>46198</v>
      </c>
      <c r="K310" s="1" t="s">
        <v>24</v>
      </c>
    </row>
    <row r="311" spans="1:11" ht="15" thickBot="1" x14ac:dyDescent="0.4">
      <c r="A311" s="3">
        <v>1310</v>
      </c>
      <c r="B311" s="1" t="s">
        <v>49</v>
      </c>
      <c r="C311" s="1" t="s">
        <v>17</v>
      </c>
      <c r="D311" s="1" t="s">
        <v>18</v>
      </c>
      <c r="E311" s="1" t="s">
        <v>56</v>
      </c>
      <c r="F311" s="3">
        <v>19</v>
      </c>
      <c r="G311" s="3">
        <v>12691</v>
      </c>
      <c r="H311" s="3">
        <v>0</v>
      </c>
      <c r="I311" s="4">
        <v>46181</v>
      </c>
      <c r="J311" s="4">
        <v>46189</v>
      </c>
      <c r="K311" s="1" t="s">
        <v>29</v>
      </c>
    </row>
    <row r="312" spans="1:11" ht="29.5" thickBot="1" x14ac:dyDescent="0.4">
      <c r="A312" s="3">
        <v>1311</v>
      </c>
      <c r="B312" s="1" t="s">
        <v>55</v>
      </c>
      <c r="C312" s="1" t="s">
        <v>12</v>
      </c>
      <c r="D312" s="1" t="s">
        <v>13</v>
      </c>
      <c r="E312" s="1" t="s">
        <v>14</v>
      </c>
      <c r="F312" s="3">
        <v>2</v>
      </c>
      <c r="G312" s="3">
        <v>209</v>
      </c>
      <c r="H312" s="3">
        <v>0</v>
      </c>
      <c r="I312" s="4">
        <v>46173</v>
      </c>
      <c r="J312" s="4">
        <v>46176</v>
      </c>
      <c r="K312" s="1" t="s">
        <v>20</v>
      </c>
    </row>
    <row r="313" spans="1:11" ht="15" thickBot="1" x14ac:dyDescent="0.4">
      <c r="A313" s="3">
        <v>1312</v>
      </c>
      <c r="B313" s="1" t="s">
        <v>57</v>
      </c>
      <c r="C313" s="1" t="s">
        <v>22</v>
      </c>
      <c r="D313" s="1" t="s">
        <v>18</v>
      </c>
      <c r="E313" s="1" t="s">
        <v>56</v>
      </c>
      <c r="F313" s="3">
        <v>20</v>
      </c>
      <c r="G313" s="3">
        <v>3274</v>
      </c>
      <c r="H313" s="3">
        <v>2</v>
      </c>
      <c r="I313" s="4">
        <v>46148</v>
      </c>
      <c r="J313" s="4">
        <v>46156</v>
      </c>
      <c r="K313" s="1" t="s">
        <v>24</v>
      </c>
    </row>
    <row r="314" spans="1:11" ht="15" thickBot="1" x14ac:dyDescent="0.4">
      <c r="A314" s="3">
        <v>1313</v>
      </c>
      <c r="B314" s="1" t="s">
        <v>59</v>
      </c>
      <c r="C314" s="1" t="s">
        <v>22</v>
      </c>
      <c r="D314" s="1" t="s">
        <v>18</v>
      </c>
      <c r="E314" s="1" t="s">
        <v>56</v>
      </c>
      <c r="F314" s="3">
        <v>6</v>
      </c>
      <c r="G314" s="3">
        <v>10864</v>
      </c>
      <c r="H314" s="3">
        <v>10</v>
      </c>
      <c r="I314" s="4">
        <v>46041</v>
      </c>
      <c r="J314" s="4">
        <v>46049</v>
      </c>
      <c r="K314" s="1" t="s">
        <v>15</v>
      </c>
    </row>
    <row r="315" spans="1:11" ht="15" thickBot="1" x14ac:dyDescent="0.4">
      <c r="A315" s="3">
        <v>1314</v>
      </c>
      <c r="B315" s="1" t="s">
        <v>52</v>
      </c>
      <c r="C315" s="1" t="s">
        <v>33</v>
      </c>
      <c r="D315" s="1" t="s">
        <v>18</v>
      </c>
      <c r="E315" s="1" t="s">
        <v>19</v>
      </c>
      <c r="F315" s="3">
        <v>10</v>
      </c>
      <c r="G315" s="3">
        <v>6328</v>
      </c>
      <c r="H315" s="3">
        <v>2</v>
      </c>
      <c r="I315" s="4">
        <v>46196</v>
      </c>
      <c r="J315" s="4">
        <v>46197</v>
      </c>
      <c r="K315" s="1" t="s">
        <v>29</v>
      </c>
    </row>
    <row r="316" spans="1:11" ht="29.5" thickBot="1" x14ac:dyDescent="0.4">
      <c r="A316" s="3">
        <v>1315</v>
      </c>
      <c r="B316" s="1" t="s">
        <v>49</v>
      </c>
      <c r="C316" s="1" t="s">
        <v>31</v>
      </c>
      <c r="D316" s="1" t="s">
        <v>34</v>
      </c>
      <c r="E316" s="1" t="s">
        <v>41</v>
      </c>
      <c r="F316" s="3">
        <v>14</v>
      </c>
      <c r="G316" s="3">
        <v>57670</v>
      </c>
      <c r="H316" s="3">
        <v>2</v>
      </c>
      <c r="I316" s="4">
        <v>46186</v>
      </c>
      <c r="J316" s="4">
        <v>46196</v>
      </c>
      <c r="K316" s="1" t="s">
        <v>15</v>
      </c>
    </row>
    <row r="317" spans="1:11" ht="15" thickBot="1" x14ac:dyDescent="0.4">
      <c r="A317" s="3">
        <v>1316</v>
      </c>
      <c r="B317" s="1" t="s">
        <v>46</v>
      </c>
      <c r="C317" s="1" t="s">
        <v>12</v>
      </c>
      <c r="D317" s="1" t="s">
        <v>18</v>
      </c>
      <c r="E317" s="1" t="s">
        <v>28</v>
      </c>
      <c r="F317" s="3">
        <v>7</v>
      </c>
      <c r="G317" s="3">
        <v>9838</v>
      </c>
      <c r="H317" s="3">
        <v>7</v>
      </c>
      <c r="I317" s="4">
        <v>46078</v>
      </c>
      <c r="J317" s="4">
        <v>46085</v>
      </c>
      <c r="K317" s="1" t="s">
        <v>20</v>
      </c>
    </row>
    <row r="318" spans="1:11" ht="29.5" thickBot="1" x14ac:dyDescent="0.4">
      <c r="A318" s="3">
        <v>1317</v>
      </c>
      <c r="B318" s="1" t="s">
        <v>59</v>
      </c>
      <c r="C318" s="1" t="s">
        <v>33</v>
      </c>
      <c r="D318" s="1" t="s">
        <v>34</v>
      </c>
      <c r="E318" s="1" t="s">
        <v>41</v>
      </c>
      <c r="F318" s="3">
        <v>7</v>
      </c>
      <c r="G318" s="3">
        <v>67339</v>
      </c>
      <c r="H318" s="3">
        <v>5</v>
      </c>
      <c r="I318" s="4">
        <v>46159</v>
      </c>
      <c r="J318" s="4">
        <v>46169</v>
      </c>
      <c r="K318" s="1" t="s">
        <v>51</v>
      </c>
    </row>
    <row r="319" spans="1:11" ht="29.5" thickBot="1" x14ac:dyDescent="0.4">
      <c r="A319" s="3">
        <v>1318</v>
      </c>
      <c r="B319" s="1" t="s">
        <v>11</v>
      </c>
      <c r="C319" s="1" t="s">
        <v>43</v>
      </c>
      <c r="D319" s="1" t="s">
        <v>13</v>
      </c>
      <c r="E319" s="1" t="s">
        <v>50</v>
      </c>
      <c r="F319" s="3">
        <v>4</v>
      </c>
      <c r="G319" s="3">
        <v>38</v>
      </c>
      <c r="H319" s="3">
        <v>12</v>
      </c>
      <c r="I319" s="4">
        <v>46169</v>
      </c>
      <c r="J319" s="4">
        <v>46175</v>
      </c>
      <c r="K319" s="1" t="s">
        <v>29</v>
      </c>
    </row>
    <row r="320" spans="1:11" ht="29.5" thickBot="1" x14ac:dyDescent="0.4">
      <c r="A320" s="3">
        <v>1319</v>
      </c>
      <c r="B320" s="1" t="s">
        <v>21</v>
      </c>
      <c r="C320" s="1" t="s">
        <v>17</v>
      </c>
      <c r="D320" s="1" t="s">
        <v>34</v>
      </c>
      <c r="E320" s="1" t="s">
        <v>61</v>
      </c>
      <c r="F320" s="3">
        <v>17</v>
      </c>
      <c r="G320" s="3">
        <v>58407</v>
      </c>
      <c r="H320" s="3">
        <v>7</v>
      </c>
      <c r="I320" s="4">
        <v>46094</v>
      </c>
      <c r="J320" s="4">
        <v>46102</v>
      </c>
      <c r="K320" s="1" t="s">
        <v>15</v>
      </c>
    </row>
    <row r="321" spans="1:11" ht="29.5" thickBot="1" x14ac:dyDescent="0.4">
      <c r="A321" s="3">
        <v>1320</v>
      </c>
      <c r="B321" s="1" t="s">
        <v>47</v>
      </c>
      <c r="C321" s="1" t="s">
        <v>38</v>
      </c>
      <c r="D321" s="1" t="s">
        <v>13</v>
      </c>
      <c r="E321" s="1" t="s">
        <v>36</v>
      </c>
      <c r="F321" s="3">
        <v>20</v>
      </c>
      <c r="G321" s="3">
        <v>55</v>
      </c>
      <c r="H321" s="3">
        <v>7</v>
      </c>
      <c r="I321" s="4">
        <v>46183</v>
      </c>
      <c r="J321" s="4">
        <v>46186</v>
      </c>
      <c r="K321" s="1" t="s">
        <v>20</v>
      </c>
    </row>
    <row r="322" spans="1:11" ht="15" thickBot="1" x14ac:dyDescent="0.4">
      <c r="A322" s="3">
        <v>1321</v>
      </c>
      <c r="B322" s="1" t="s">
        <v>32</v>
      </c>
      <c r="C322" s="1" t="s">
        <v>22</v>
      </c>
      <c r="D322" s="1" t="s">
        <v>18</v>
      </c>
      <c r="E322" s="1" t="s">
        <v>19</v>
      </c>
      <c r="F322" s="3">
        <v>8</v>
      </c>
      <c r="G322" s="3">
        <v>5619</v>
      </c>
      <c r="H322" s="3">
        <v>7</v>
      </c>
      <c r="I322" s="4">
        <v>46107</v>
      </c>
      <c r="J322" s="4">
        <v>46109</v>
      </c>
      <c r="K322" s="1" t="s">
        <v>51</v>
      </c>
    </row>
    <row r="323" spans="1:11" ht="15" thickBot="1" x14ac:dyDescent="0.4">
      <c r="A323" s="3">
        <v>1322</v>
      </c>
      <c r="B323" s="1" t="s">
        <v>27</v>
      </c>
      <c r="C323" s="1" t="s">
        <v>12</v>
      </c>
      <c r="D323" s="1" t="s">
        <v>18</v>
      </c>
      <c r="E323" s="1" t="s">
        <v>23</v>
      </c>
      <c r="F323" s="3">
        <v>14</v>
      </c>
      <c r="G323" s="3">
        <v>9081</v>
      </c>
      <c r="H323" s="3">
        <v>15</v>
      </c>
      <c r="I323" s="4">
        <v>46141</v>
      </c>
      <c r="J323" s="4">
        <v>46146</v>
      </c>
      <c r="K323" s="1" t="s">
        <v>15</v>
      </c>
    </row>
    <row r="324" spans="1:11" ht="29.5" thickBot="1" x14ac:dyDescent="0.4">
      <c r="A324" s="3">
        <v>1323</v>
      </c>
      <c r="B324" s="1" t="s">
        <v>57</v>
      </c>
      <c r="C324" s="1" t="s">
        <v>38</v>
      </c>
      <c r="D324" s="1" t="s">
        <v>34</v>
      </c>
      <c r="E324" s="1" t="s">
        <v>61</v>
      </c>
      <c r="F324" s="3">
        <v>2</v>
      </c>
      <c r="G324" s="3">
        <v>32074</v>
      </c>
      <c r="H324" s="3">
        <v>10</v>
      </c>
      <c r="I324" s="4">
        <v>46073</v>
      </c>
      <c r="J324" s="4">
        <v>46078</v>
      </c>
      <c r="K324" s="1" t="s">
        <v>15</v>
      </c>
    </row>
    <row r="325" spans="1:11" ht="15" thickBot="1" x14ac:dyDescent="0.4">
      <c r="A325" s="3">
        <v>1324</v>
      </c>
      <c r="B325" s="1" t="s">
        <v>32</v>
      </c>
      <c r="C325" s="1" t="s">
        <v>22</v>
      </c>
      <c r="D325" s="1" t="s">
        <v>18</v>
      </c>
      <c r="E325" s="1" t="s">
        <v>19</v>
      </c>
      <c r="F325" s="3">
        <v>1</v>
      </c>
      <c r="G325" s="3">
        <v>4286</v>
      </c>
      <c r="H325" s="3">
        <v>15</v>
      </c>
      <c r="I325" s="4">
        <v>46053</v>
      </c>
      <c r="J325" s="4">
        <v>46056</v>
      </c>
      <c r="K325" s="1" t="s">
        <v>20</v>
      </c>
    </row>
    <row r="326" spans="1:11" ht="29.5" thickBot="1" x14ac:dyDescent="0.4">
      <c r="A326" s="3">
        <v>1325</v>
      </c>
      <c r="B326" s="1" t="s">
        <v>48</v>
      </c>
      <c r="C326" s="1" t="s">
        <v>43</v>
      </c>
      <c r="D326" s="1" t="s">
        <v>34</v>
      </c>
      <c r="E326" s="1" t="s">
        <v>39</v>
      </c>
      <c r="F326" s="3">
        <v>9</v>
      </c>
      <c r="G326" s="3">
        <v>58442</v>
      </c>
      <c r="H326" s="3">
        <v>12</v>
      </c>
      <c r="I326" s="4">
        <v>46076</v>
      </c>
      <c r="J326" s="4">
        <v>46085</v>
      </c>
      <c r="K326" s="1" t="s">
        <v>20</v>
      </c>
    </row>
    <row r="327" spans="1:11" ht="29.5" thickBot="1" x14ac:dyDescent="0.4">
      <c r="A327" s="3">
        <v>1326</v>
      </c>
      <c r="B327" s="1" t="s">
        <v>26</v>
      </c>
      <c r="C327" s="1" t="s">
        <v>17</v>
      </c>
      <c r="D327" s="1" t="s">
        <v>18</v>
      </c>
      <c r="E327" s="1" t="s">
        <v>44</v>
      </c>
      <c r="F327" s="3">
        <v>18</v>
      </c>
      <c r="G327" s="3">
        <v>1830</v>
      </c>
      <c r="H327" s="3">
        <v>10</v>
      </c>
      <c r="I327" s="4">
        <v>46165</v>
      </c>
      <c r="J327" s="4">
        <v>46172</v>
      </c>
      <c r="K327" s="1" t="s">
        <v>15</v>
      </c>
    </row>
    <row r="328" spans="1:11" ht="29.5" thickBot="1" x14ac:dyDescent="0.4">
      <c r="A328" s="3">
        <v>1327</v>
      </c>
      <c r="B328" s="1" t="s">
        <v>48</v>
      </c>
      <c r="C328" s="1" t="s">
        <v>12</v>
      </c>
      <c r="D328" s="1" t="s">
        <v>13</v>
      </c>
      <c r="E328" s="1" t="s">
        <v>53</v>
      </c>
      <c r="F328" s="3">
        <v>15</v>
      </c>
      <c r="G328" s="3">
        <v>449</v>
      </c>
      <c r="H328" s="3">
        <v>5</v>
      </c>
      <c r="I328" s="4">
        <v>46152</v>
      </c>
      <c r="J328" s="4">
        <v>46153</v>
      </c>
      <c r="K328" s="1" t="s">
        <v>15</v>
      </c>
    </row>
    <row r="329" spans="1:11" ht="29.5" thickBot="1" x14ac:dyDescent="0.4">
      <c r="A329" s="3">
        <v>1328</v>
      </c>
      <c r="B329" s="1" t="s">
        <v>16</v>
      </c>
      <c r="C329" s="1" t="s">
        <v>38</v>
      </c>
      <c r="D329" s="1" t="s">
        <v>13</v>
      </c>
      <c r="E329" s="1" t="s">
        <v>36</v>
      </c>
      <c r="F329" s="3">
        <v>4</v>
      </c>
      <c r="G329" s="3">
        <v>132</v>
      </c>
      <c r="H329" s="3">
        <v>0</v>
      </c>
      <c r="I329" s="4">
        <v>46109</v>
      </c>
      <c r="J329" s="4">
        <v>46114</v>
      </c>
      <c r="K329" s="1" t="s">
        <v>29</v>
      </c>
    </row>
    <row r="330" spans="1:11" ht="29.5" thickBot="1" x14ac:dyDescent="0.4">
      <c r="A330" s="3">
        <v>1329</v>
      </c>
      <c r="B330" s="1" t="s">
        <v>30</v>
      </c>
      <c r="C330" s="1" t="s">
        <v>43</v>
      </c>
      <c r="D330" s="1" t="s">
        <v>13</v>
      </c>
      <c r="E330" s="1" t="s">
        <v>53</v>
      </c>
      <c r="F330" s="3">
        <v>18</v>
      </c>
      <c r="G330" s="3">
        <v>227</v>
      </c>
      <c r="H330" s="3">
        <v>5</v>
      </c>
      <c r="I330" s="4">
        <v>46126</v>
      </c>
      <c r="J330" s="4">
        <v>46136</v>
      </c>
      <c r="K330" s="1" t="s">
        <v>29</v>
      </c>
    </row>
    <row r="331" spans="1:11" ht="15" thickBot="1" x14ac:dyDescent="0.4">
      <c r="A331" s="3">
        <v>1330</v>
      </c>
      <c r="B331" s="1" t="s">
        <v>49</v>
      </c>
      <c r="C331" s="1" t="s">
        <v>17</v>
      </c>
      <c r="D331" s="1" t="s">
        <v>18</v>
      </c>
      <c r="E331" s="1" t="s">
        <v>19</v>
      </c>
      <c r="F331" s="3">
        <v>13</v>
      </c>
      <c r="G331" s="3">
        <v>12071</v>
      </c>
      <c r="H331" s="3">
        <v>0</v>
      </c>
      <c r="I331" s="4">
        <v>46032</v>
      </c>
      <c r="J331" s="4">
        <v>46036</v>
      </c>
      <c r="K331" s="1" t="s">
        <v>51</v>
      </c>
    </row>
    <row r="332" spans="1:11" ht="29.5" thickBot="1" x14ac:dyDescent="0.4">
      <c r="A332" s="3">
        <v>1331</v>
      </c>
      <c r="B332" s="1" t="s">
        <v>21</v>
      </c>
      <c r="C332" s="1" t="s">
        <v>25</v>
      </c>
      <c r="D332" s="1" t="s">
        <v>34</v>
      </c>
      <c r="E332" s="1" t="s">
        <v>61</v>
      </c>
      <c r="F332" s="3">
        <v>2</v>
      </c>
      <c r="G332" s="3">
        <v>43557</v>
      </c>
      <c r="H332" s="3">
        <v>2</v>
      </c>
      <c r="I332" s="4">
        <v>46190</v>
      </c>
      <c r="J332" s="4">
        <v>46200</v>
      </c>
      <c r="K332" s="1" t="s">
        <v>15</v>
      </c>
    </row>
    <row r="333" spans="1:11" ht="29.5" thickBot="1" x14ac:dyDescent="0.4">
      <c r="A333" s="3">
        <v>1332</v>
      </c>
      <c r="B333" s="1" t="s">
        <v>29</v>
      </c>
      <c r="C333" s="1" t="s">
        <v>43</v>
      </c>
      <c r="D333" s="1" t="s">
        <v>13</v>
      </c>
      <c r="E333" s="1" t="s">
        <v>50</v>
      </c>
      <c r="F333" s="3">
        <v>7</v>
      </c>
      <c r="G333" s="3">
        <v>439</v>
      </c>
      <c r="H333" s="3">
        <v>2</v>
      </c>
      <c r="I333" s="4">
        <v>46154</v>
      </c>
      <c r="J333" s="4">
        <v>46157</v>
      </c>
      <c r="K333" s="1" t="s">
        <v>15</v>
      </c>
    </row>
    <row r="334" spans="1:11" ht="29.5" thickBot="1" x14ac:dyDescent="0.4">
      <c r="A334" s="3">
        <v>1333</v>
      </c>
      <c r="B334" s="1" t="s">
        <v>29</v>
      </c>
      <c r="C334" s="1" t="s">
        <v>38</v>
      </c>
      <c r="D334" s="1" t="s">
        <v>13</v>
      </c>
      <c r="E334" s="1" t="s">
        <v>53</v>
      </c>
      <c r="F334" s="3">
        <v>20</v>
      </c>
      <c r="G334" s="3">
        <v>416</v>
      </c>
      <c r="H334" s="3">
        <v>12</v>
      </c>
      <c r="I334" s="4">
        <v>46145</v>
      </c>
      <c r="J334" s="4">
        <v>46146</v>
      </c>
      <c r="K334" s="1" t="s">
        <v>51</v>
      </c>
    </row>
    <row r="335" spans="1:11" ht="29.5" thickBot="1" x14ac:dyDescent="0.4">
      <c r="A335" s="3">
        <v>1334</v>
      </c>
      <c r="B335" s="1" t="s">
        <v>40</v>
      </c>
      <c r="C335" s="1" t="s">
        <v>12</v>
      </c>
      <c r="D335" s="1" t="s">
        <v>34</v>
      </c>
      <c r="E335" s="1" t="s">
        <v>41</v>
      </c>
      <c r="F335" s="3">
        <v>15</v>
      </c>
      <c r="G335" s="3">
        <v>39853</v>
      </c>
      <c r="H335" s="3">
        <v>7</v>
      </c>
      <c r="I335" s="4">
        <v>46038</v>
      </c>
      <c r="J335" s="4">
        <v>46047</v>
      </c>
      <c r="K335" s="1" t="s">
        <v>51</v>
      </c>
    </row>
    <row r="336" spans="1:11" ht="15" thickBot="1" x14ac:dyDescent="0.4">
      <c r="A336" s="3">
        <v>1335</v>
      </c>
      <c r="B336" s="1" t="s">
        <v>47</v>
      </c>
      <c r="C336" s="1" t="s">
        <v>17</v>
      </c>
      <c r="D336" s="1" t="s">
        <v>18</v>
      </c>
      <c r="E336" s="1" t="s">
        <v>19</v>
      </c>
      <c r="F336" s="3">
        <v>9</v>
      </c>
      <c r="G336" s="3">
        <v>1495</v>
      </c>
      <c r="H336" s="3">
        <v>12</v>
      </c>
      <c r="I336" s="4">
        <v>46168</v>
      </c>
      <c r="J336" s="4">
        <v>46173</v>
      </c>
      <c r="K336" s="1" t="s">
        <v>15</v>
      </c>
    </row>
    <row r="337" spans="1:11" ht="29.5" thickBot="1" x14ac:dyDescent="0.4">
      <c r="A337" s="3">
        <v>1336</v>
      </c>
      <c r="B337" s="1" t="s">
        <v>16</v>
      </c>
      <c r="C337" s="1" t="s">
        <v>25</v>
      </c>
      <c r="D337" s="1" t="s">
        <v>18</v>
      </c>
      <c r="E337" s="1" t="s">
        <v>56</v>
      </c>
      <c r="F337" s="3">
        <v>10</v>
      </c>
      <c r="G337" s="3">
        <v>5624</v>
      </c>
      <c r="H337" s="3">
        <v>0</v>
      </c>
      <c r="I337" s="4">
        <v>46086</v>
      </c>
      <c r="J337" s="4">
        <v>46092</v>
      </c>
      <c r="K337" s="1" t="s">
        <v>29</v>
      </c>
    </row>
    <row r="338" spans="1:11" ht="29.5" thickBot="1" x14ac:dyDescent="0.4">
      <c r="A338" s="3">
        <v>1337</v>
      </c>
      <c r="B338" s="1" t="s">
        <v>16</v>
      </c>
      <c r="C338" s="1" t="s">
        <v>12</v>
      </c>
      <c r="D338" s="1" t="s">
        <v>13</v>
      </c>
      <c r="E338" s="1" t="s">
        <v>53</v>
      </c>
      <c r="F338" s="3">
        <v>14</v>
      </c>
      <c r="G338" s="3">
        <v>373</v>
      </c>
      <c r="H338" s="3">
        <v>10</v>
      </c>
      <c r="I338" s="4">
        <v>46074</v>
      </c>
      <c r="J338" s="4">
        <v>46080</v>
      </c>
      <c r="K338" s="1" t="s">
        <v>29</v>
      </c>
    </row>
    <row r="339" spans="1:11" ht="29.5" thickBot="1" x14ac:dyDescent="0.4">
      <c r="A339" s="3">
        <v>1338</v>
      </c>
      <c r="B339" s="1" t="s">
        <v>59</v>
      </c>
      <c r="C339" s="1" t="s">
        <v>25</v>
      </c>
      <c r="D339" s="1" t="s">
        <v>34</v>
      </c>
      <c r="E339" s="1" t="s">
        <v>60</v>
      </c>
      <c r="F339" s="3">
        <v>10</v>
      </c>
      <c r="G339" s="3">
        <v>16719</v>
      </c>
      <c r="H339" s="3">
        <v>5</v>
      </c>
      <c r="I339" s="4">
        <v>46177</v>
      </c>
      <c r="J339" s="4">
        <v>46179</v>
      </c>
      <c r="K339" s="1" t="s">
        <v>15</v>
      </c>
    </row>
    <row r="340" spans="1:11" ht="29.5" thickBot="1" x14ac:dyDescent="0.4">
      <c r="A340" s="3">
        <v>1339</v>
      </c>
      <c r="B340" s="1" t="s">
        <v>32</v>
      </c>
      <c r="C340" s="1" t="s">
        <v>25</v>
      </c>
      <c r="D340" s="1" t="s">
        <v>13</v>
      </c>
      <c r="E340" s="1" t="s">
        <v>14</v>
      </c>
      <c r="F340" s="3">
        <v>6</v>
      </c>
      <c r="G340" s="3">
        <v>302</v>
      </c>
      <c r="H340" s="3">
        <v>5</v>
      </c>
      <c r="I340" s="4">
        <v>46142</v>
      </c>
      <c r="J340" s="4">
        <v>46148</v>
      </c>
      <c r="K340" s="1" t="s">
        <v>20</v>
      </c>
    </row>
    <row r="341" spans="1:11" ht="15" thickBot="1" x14ac:dyDescent="0.4">
      <c r="A341" s="3">
        <v>1340</v>
      </c>
      <c r="B341" s="1" t="s">
        <v>48</v>
      </c>
      <c r="C341" s="1" t="s">
        <v>17</v>
      </c>
      <c r="D341" s="1" t="s">
        <v>18</v>
      </c>
      <c r="E341" s="1" t="s">
        <v>19</v>
      </c>
      <c r="F341" s="3">
        <v>12</v>
      </c>
      <c r="G341" s="3">
        <v>3857</v>
      </c>
      <c r="H341" s="3">
        <v>12</v>
      </c>
      <c r="I341" s="4">
        <v>46196</v>
      </c>
      <c r="J341" s="4">
        <v>46198</v>
      </c>
      <c r="K341" s="1" t="s">
        <v>51</v>
      </c>
    </row>
    <row r="342" spans="1:11" ht="15" thickBot="1" x14ac:dyDescent="0.4">
      <c r="A342" s="3">
        <v>1341</v>
      </c>
      <c r="B342" s="1" t="s">
        <v>57</v>
      </c>
      <c r="C342" s="1" t="s">
        <v>38</v>
      </c>
      <c r="D342" s="1" t="s">
        <v>18</v>
      </c>
      <c r="E342" s="1" t="s">
        <v>19</v>
      </c>
      <c r="F342" s="3">
        <v>19</v>
      </c>
      <c r="G342" s="3">
        <v>6488</v>
      </c>
      <c r="H342" s="3">
        <v>15</v>
      </c>
      <c r="I342" s="4">
        <v>46026</v>
      </c>
      <c r="J342" s="4">
        <v>46030</v>
      </c>
      <c r="K342" s="1" t="s">
        <v>20</v>
      </c>
    </row>
    <row r="343" spans="1:11" ht="29.5" thickBot="1" x14ac:dyDescent="0.4">
      <c r="A343" s="3">
        <v>1342</v>
      </c>
      <c r="B343" s="1" t="s">
        <v>59</v>
      </c>
      <c r="C343" s="1" t="s">
        <v>31</v>
      </c>
      <c r="D343" s="1" t="s">
        <v>34</v>
      </c>
      <c r="E343" s="1" t="s">
        <v>35</v>
      </c>
      <c r="F343" s="3">
        <v>13</v>
      </c>
      <c r="G343" s="3">
        <v>47881</v>
      </c>
      <c r="H343" s="3">
        <v>15</v>
      </c>
      <c r="I343" s="4">
        <v>46132</v>
      </c>
      <c r="J343" s="4">
        <v>46139</v>
      </c>
      <c r="K343" s="1" t="s">
        <v>29</v>
      </c>
    </row>
    <row r="344" spans="1:11" ht="29.5" thickBot="1" x14ac:dyDescent="0.4">
      <c r="A344" s="3">
        <v>1343</v>
      </c>
      <c r="B344" s="1" t="s">
        <v>59</v>
      </c>
      <c r="C344" s="1" t="s">
        <v>31</v>
      </c>
      <c r="D344" s="1" t="s">
        <v>34</v>
      </c>
      <c r="E344" s="1" t="s">
        <v>39</v>
      </c>
      <c r="F344" s="3">
        <v>14</v>
      </c>
      <c r="G344" s="3">
        <v>32719</v>
      </c>
      <c r="H344" s="3">
        <v>15</v>
      </c>
      <c r="I344" s="4">
        <v>46174</v>
      </c>
      <c r="J344" s="4">
        <v>46179</v>
      </c>
      <c r="K344" s="1" t="s">
        <v>15</v>
      </c>
    </row>
    <row r="345" spans="1:11" ht="29.5" thickBot="1" x14ac:dyDescent="0.4">
      <c r="A345" s="3">
        <v>1344</v>
      </c>
      <c r="B345" s="1" t="s">
        <v>30</v>
      </c>
      <c r="C345" s="1" t="s">
        <v>17</v>
      </c>
      <c r="D345" s="1" t="s">
        <v>13</v>
      </c>
      <c r="E345" s="1" t="s">
        <v>53</v>
      </c>
      <c r="F345" s="3">
        <v>18</v>
      </c>
      <c r="G345" s="3">
        <v>240</v>
      </c>
      <c r="H345" s="3">
        <v>10</v>
      </c>
      <c r="I345" s="4">
        <v>46155</v>
      </c>
      <c r="J345" s="4">
        <v>46156</v>
      </c>
      <c r="K345" s="1" t="s">
        <v>24</v>
      </c>
    </row>
    <row r="346" spans="1:11" ht="29.5" thickBot="1" x14ac:dyDescent="0.4">
      <c r="A346" s="3">
        <v>1345</v>
      </c>
      <c r="B346" s="1" t="s">
        <v>32</v>
      </c>
      <c r="C346" s="1" t="s">
        <v>12</v>
      </c>
      <c r="D346" s="1" t="s">
        <v>34</v>
      </c>
      <c r="E346" s="1" t="s">
        <v>45</v>
      </c>
      <c r="F346" s="3">
        <v>12</v>
      </c>
      <c r="G346" s="3">
        <v>50544</v>
      </c>
      <c r="H346" s="3">
        <v>10</v>
      </c>
      <c r="I346" s="4">
        <v>46095</v>
      </c>
      <c r="J346" s="4">
        <v>46097</v>
      </c>
      <c r="K346" s="1" t="s">
        <v>29</v>
      </c>
    </row>
    <row r="347" spans="1:11" ht="15" thickBot="1" x14ac:dyDescent="0.4">
      <c r="A347" s="3">
        <v>1346</v>
      </c>
      <c r="B347" s="1" t="s">
        <v>32</v>
      </c>
      <c r="C347" s="1" t="s">
        <v>22</v>
      </c>
      <c r="D347" s="1" t="s">
        <v>18</v>
      </c>
      <c r="E347" s="1" t="s">
        <v>19</v>
      </c>
      <c r="F347" s="3">
        <v>16</v>
      </c>
      <c r="G347" s="3">
        <v>6910</v>
      </c>
      <c r="H347" s="3">
        <v>15</v>
      </c>
      <c r="I347" s="4">
        <v>46140</v>
      </c>
      <c r="J347" s="4">
        <v>46142</v>
      </c>
      <c r="K347" s="1" t="s">
        <v>29</v>
      </c>
    </row>
    <row r="348" spans="1:11" ht="29.5" thickBot="1" x14ac:dyDescent="0.4">
      <c r="A348" s="3">
        <v>1347</v>
      </c>
      <c r="B348" s="1" t="s">
        <v>29</v>
      </c>
      <c r="C348" s="1" t="s">
        <v>22</v>
      </c>
      <c r="D348" s="1" t="s">
        <v>34</v>
      </c>
      <c r="E348" s="1" t="s">
        <v>35</v>
      </c>
      <c r="F348" s="3">
        <v>16</v>
      </c>
      <c r="G348" s="3">
        <v>6034</v>
      </c>
      <c r="H348" s="3">
        <v>15</v>
      </c>
      <c r="I348" s="4">
        <v>46037</v>
      </c>
      <c r="J348" s="4">
        <v>46044</v>
      </c>
      <c r="K348" s="1" t="s">
        <v>24</v>
      </c>
    </row>
    <row r="349" spans="1:11" ht="29.5" thickBot="1" x14ac:dyDescent="0.4">
      <c r="A349" s="3">
        <v>1348</v>
      </c>
      <c r="B349" s="1" t="s">
        <v>11</v>
      </c>
      <c r="C349" s="1" t="s">
        <v>33</v>
      </c>
      <c r="D349" s="1" t="s">
        <v>13</v>
      </c>
      <c r="E349" s="1" t="s">
        <v>50</v>
      </c>
      <c r="F349" s="3">
        <v>12</v>
      </c>
      <c r="G349" s="3">
        <v>244</v>
      </c>
      <c r="H349" s="3">
        <v>7</v>
      </c>
      <c r="I349" s="4">
        <v>46048</v>
      </c>
      <c r="J349" s="4">
        <v>46053</v>
      </c>
      <c r="K349" s="1" t="s">
        <v>15</v>
      </c>
    </row>
    <row r="350" spans="1:11" ht="29.5" thickBot="1" x14ac:dyDescent="0.4">
      <c r="A350" s="3">
        <v>1349</v>
      </c>
      <c r="B350" s="1" t="s">
        <v>40</v>
      </c>
      <c r="C350" s="1" t="s">
        <v>33</v>
      </c>
      <c r="D350" s="1" t="s">
        <v>34</v>
      </c>
      <c r="E350" s="1" t="s">
        <v>35</v>
      </c>
      <c r="F350" s="3">
        <v>20</v>
      </c>
      <c r="G350" s="3">
        <v>62721</v>
      </c>
      <c r="H350" s="3">
        <v>7</v>
      </c>
      <c r="I350" s="4">
        <v>46079</v>
      </c>
      <c r="J350" s="4">
        <v>46083</v>
      </c>
      <c r="K350" s="1" t="s">
        <v>20</v>
      </c>
    </row>
    <row r="351" spans="1:11" ht="15" thickBot="1" x14ac:dyDescent="0.4">
      <c r="A351" s="3">
        <v>1350</v>
      </c>
      <c r="B351" s="1" t="s">
        <v>26</v>
      </c>
      <c r="C351" s="1" t="s">
        <v>43</v>
      </c>
      <c r="D351" s="1" t="s">
        <v>18</v>
      </c>
      <c r="E351" s="1" t="s">
        <v>28</v>
      </c>
      <c r="F351" s="3">
        <v>16</v>
      </c>
      <c r="G351" s="3">
        <v>11790</v>
      </c>
      <c r="H351" s="3">
        <v>12</v>
      </c>
      <c r="I351" s="4">
        <v>46185</v>
      </c>
      <c r="J351" s="4">
        <v>46190</v>
      </c>
      <c r="K351" s="1" t="s">
        <v>29</v>
      </c>
    </row>
    <row r="352" spans="1:11" ht="29.5" thickBot="1" x14ac:dyDescent="0.4">
      <c r="A352" s="3">
        <v>1351</v>
      </c>
      <c r="B352" s="1" t="s">
        <v>42</v>
      </c>
      <c r="C352" s="1" t="s">
        <v>33</v>
      </c>
      <c r="D352" s="1" t="s">
        <v>34</v>
      </c>
      <c r="E352" s="1" t="s">
        <v>45</v>
      </c>
      <c r="F352" s="3">
        <v>12</v>
      </c>
      <c r="G352" s="3">
        <v>1272</v>
      </c>
      <c r="H352" s="3">
        <v>0</v>
      </c>
      <c r="I352" s="4">
        <v>46026</v>
      </c>
      <c r="J352" s="4">
        <v>46029</v>
      </c>
      <c r="K352" s="1" t="s">
        <v>15</v>
      </c>
    </row>
    <row r="353" spans="1:11" ht="29.5" thickBot="1" x14ac:dyDescent="0.4">
      <c r="A353" s="3">
        <v>1352</v>
      </c>
      <c r="B353" s="1" t="s">
        <v>54</v>
      </c>
      <c r="C353" s="1" t="s">
        <v>22</v>
      </c>
      <c r="D353" s="1" t="s">
        <v>13</v>
      </c>
      <c r="E353" s="1" t="s">
        <v>14</v>
      </c>
      <c r="F353" s="3">
        <v>12</v>
      </c>
      <c r="G353" s="3">
        <v>203</v>
      </c>
      <c r="H353" s="3">
        <v>5</v>
      </c>
      <c r="I353" s="4">
        <v>46024</v>
      </c>
      <c r="J353" s="4">
        <v>46033</v>
      </c>
      <c r="K353" s="1" t="s">
        <v>15</v>
      </c>
    </row>
    <row r="354" spans="1:11" ht="29.5" thickBot="1" x14ac:dyDescent="0.4">
      <c r="A354" s="3">
        <v>1353</v>
      </c>
      <c r="B354" s="1" t="s">
        <v>47</v>
      </c>
      <c r="C354" s="1" t="s">
        <v>43</v>
      </c>
      <c r="D354" s="1" t="s">
        <v>13</v>
      </c>
      <c r="E354" s="1" t="s">
        <v>14</v>
      </c>
      <c r="F354" s="3">
        <v>6</v>
      </c>
      <c r="G354" s="3">
        <v>495</v>
      </c>
      <c r="H354" s="3">
        <v>2</v>
      </c>
      <c r="I354" s="4">
        <v>46194</v>
      </c>
      <c r="J354" s="4">
        <v>46200</v>
      </c>
      <c r="K354" s="1" t="s">
        <v>24</v>
      </c>
    </row>
    <row r="355" spans="1:11" ht="29.5" thickBot="1" x14ac:dyDescent="0.4">
      <c r="A355" s="3">
        <v>1354</v>
      </c>
      <c r="B355" s="1" t="s">
        <v>47</v>
      </c>
      <c r="C355" s="1" t="s">
        <v>43</v>
      </c>
      <c r="D355" s="1" t="s">
        <v>34</v>
      </c>
      <c r="E355" s="1" t="s">
        <v>35</v>
      </c>
      <c r="F355" s="3">
        <v>15</v>
      </c>
      <c r="G355" s="3">
        <v>14927</v>
      </c>
      <c r="H355" s="3">
        <v>15</v>
      </c>
      <c r="I355" s="4">
        <v>46118</v>
      </c>
      <c r="J355" s="4">
        <v>46120</v>
      </c>
      <c r="K355" s="1" t="s">
        <v>51</v>
      </c>
    </row>
    <row r="356" spans="1:11" ht="29.5" thickBot="1" x14ac:dyDescent="0.4">
      <c r="A356" s="3">
        <v>1355</v>
      </c>
      <c r="B356" s="1" t="s">
        <v>27</v>
      </c>
      <c r="C356" s="1" t="s">
        <v>12</v>
      </c>
      <c r="D356" s="1" t="s">
        <v>34</v>
      </c>
      <c r="E356" s="1" t="s">
        <v>60</v>
      </c>
      <c r="F356" s="3">
        <v>18</v>
      </c>
      <c r="G356" s="3">
        <v>35997</v>
      </c>
      <c r="H356" s="3">
        <v>2</v>
      </c>
      <c r="I356" s="4">
        <v>46024</v>
      </c>
      <c r="J356" s="4">
        <v>46031</v>
      </c>
      <c r="K356" s="1" t="s">
        <v>51</v>
      </c>
    </row>
    <row r="357" spans="1:11" ht="29.5" thickBot="1" x14ac:dyDescent="0.4">
      <c r="A357" s="3">
        <v>1356</v>
      </c>
      <c r="B357" s="1" t="s">
        <v>26</v>
      </c>
      <c r="C357" s="1" t="s">
        <v>38</v>
      </c>
      <c r="D357" s="1" t="s">
        <v>34</v>
      </c>
      <c r="E357" s="1" t="s">
        <v>60</v>
      </c>
      <c r="F357" s="3">
        <v>16</v>
      </c>
      <c r="G357" s="3">
        <v>53457</v>
      </c>
      <c r="H357" s="3">
        <v>10</v>
      </c>
      <c r="I357" s="4">
        <v>46201</v>
      </c>
      <c r="J357" s="4">
        <v>46204</v>
      </c>
      <c r="K357" s="1" t="s">
        <v>15</v>
      </c>
    </row>
    <row r="358" spans="1:11" ht="29.5" thickBot="1" x14ac:dyDescent="0.4">
      <c r="A358" s="3">
        <v>1357</v>
      </c>
      <c r="B358" s="1" t="s">
        <v>59</v>
      </c>
      <c r="C358" s="1" t="s">
        <v>25</v>
      </c>
      <c r="D358" s="1" t="s">
        <v>13</v>
      </c>
      <c r="E358" s="1" t="s">
        <v>37</v>
      </c>
      <c r="F358" s="3">
        <v>6</v>
      </c>
      <c r="G358" s="3">
        <v>365</v>
      </c>
      <c r="H358" s="3">
        <v>7</v>
      </c>
      <c r="I358" s="4">
        <v>46133</v>
      </c>
      <c r="J358" s="4">
        <v>46140</v>
      </c>
      <c r="K358" s="1" t="s">
        <v>51</v>
      </c>
    </row>
    <row r="359" spans="1:11" ht="15" thickBot="1" x14ac:dyDescent="0.4">
      <c r="A359" s="3">
        <v>1358</v>
      </c>
      <c r="B359" s="1" t="s">
        <v>40</v>
      </c>
      <c r="C359" s="1" t="s">
        <v>38</v>
      </c>
      <c r="D359" s="1" t="s">
        <v>18</v>
      </c>
      <c r="E359" s="1" t="s">
        <v>19</v>
      </c>
      <c r="F359" s="3">
        <v>7</v>
      </c>
      <c r="G359" s="3">
        <v>6618</v>
      </c>
      <c r="H359" s="3">
        <v>0</v>
      </c>
      <c r="I359" s="4">
        <v>46127</v>
      </c>
      <c r="J359" s="4">
        <v>46129</v>
      </c>
      <c r="K359" s="1" t="s">
        <v>20</v>
      </c>
    </row>
    <row r="360" spans="1:11" ht="29.5" thickBot="1" x14ac:dyDescent="0.4">
      <c r="A360" s="3">
        <v>1359</v>
      </c>
      <c r="B360" s="1" t="s">
        <v>54</v>
      </c>
      <c r="C360" s="1" t="s">
        <v>12</v>
      </c>
      <c r="D360" s="1" t="s">
        <v>34</v>
      </c>
      <c r="E360" s="1" t="s">
        <v>61</v>
      </c>
      <c r="F360" s="3">
        <v>9</v>
      </c>
      <c r="G360" s="3">
        <v>38179</v>
      </c>
      <c r="H360" s="3">
        <v>0</v>
      </c>
      <c r="I360" s="4">
        <v>46096</v>
      </c>
      <c r="J360" s="4">
        <v>46099</v>
      </c>
      <c r="K360" s="1" t="s">
        <v>15</v>
      </c>
    </row>
    <row r="361" spans="1:11" ht="15" thickBot="1" x14ac:dyDescent="0.4">
      <c r="A361" s="3">
        <v>1360</v>
      </c>
      <c r="B361" s="1" t="s">
        <v>11</v>
      </c>
      <c r="C361" s="1" t="s">
        <v>43</v>
      </c>
      <c r="D361" s="1" t="s">
        <v>18</v>
      </c>
      <c r="E361" s="1" t="s">
        <v>23</v>
      </c>
      <c r="F361" s="3">
        <v>19</v>
      </c>
      <c r="G361" s="3">
        <v>6681</v>
      </c>
      <c r="H361" s="3">
        <v>2</v>
      </c>
      <c r="I361" s="4">
        <v>46146</v>
      </c>
      <c r="J361" s="4">
        <v>46150</v>
      </c>
      <c r="K361" s="1" t="s">
        <v>15</v>
      </c>
    </row>
    <row r="362" spans="1:11" ht="15" thickBot="1" x14ac:dyDescent="0.4">
      <c r="A362" s="3">
        <v>1361</v>
      </c>
      <c r="B362" s="1" t="s">
        <v>42</v>
      </c>
      <c r="C362" s="1" t="s">
        <v>17</v>
      </c>
      <c r="D362" s="1" t="s">
        <v>18</v>
      </c>
      <c r="E362" s="1" t="s">
        <v>23</v>
      </c>
      <c r="F362" s="3">
        <v>2</v>
      </c>
      <c r="G362" s="3">
        <v>1822</v>
      </c>
      <c r="H362" s="3">
        <v>5</v>
      </c>
      <c r="I362" s="4">
        <v>46141</v>
      </c>
      <c r="J362" s="4">
        <v>46145</v>
      </c>
      <c r="K362" s="1" t="s">
        <v>20</v>
      </c>
    </row>
    <row r="363" spans="1:11" ht="15" thickBot="1" x14ac:dyDescent="0.4">
      <c r="A363" s="3">
        <v>1362</v>
      </c>
      <c r="B363" s="1" t="s">
        <v>16</v>
      </c>
      <c r="C363" s="1" t="s">
        <v>12</v>
      </c>
      <c r="D363" s="1" t="s">
        <v>18</v>
      </c>
      <c r="E363" s="1" t="s">
        <v>28</v>
      </c>
      <c r="F363" s="3">
        <v>1</v>
      </c>
      <c r="G363" s="3">
        <v>10474</v>
      </c>
      <c r="H363" s="3">
        <v>0</v>
      </c>
      <c r="I363" s="4">
        <v>46094</v>
      </c>
      <c r="J363" s="4">
        <v>46096</v>
      </c>
      <c r="K363" s="1" t="s">
        <v>29</v>
      </c>
    </row>
    <row r="364" spans="1:11" ht="29.5" thickBot="1" x14ac:dyDescent="0.4">
      <c r="A364" s="3">
        <v>1363</v>
      </c>
      <c r="B364" s="1" t="s">
        <v>27</v>
      </c>
      <c r="C364" s="1" t="s">
        <v>25</v>
      </c>
      <c r="D364" s="1" t="s">
        <v>34</v>
      </c>
      <c r="E364" s="1" t="s">
        <v>35</v>
      </c>
      <c r="F364" s="3">
        <v>7</v>
      </c>
      <c r="G364" s="3">
        <v>45381</v>
      </c>
      <c r="H364" s="3">
        <v>0</v>
      </c>
      <c r="I364" s="4">
        <v>46122</v>
      </c>
      <c r="J364" s="4">
        <v>46128</v>
      </c>
      <c r="K364" s="1" t="s">
        <v>15</v>
      </c>
    </row>
    <row r="365" spans="1:11" ht="15" thickBot="1" x14ac:dyDescent="0.4">
      <c r="A365" s="3">
        <v>1364</v>
      </c>
      <c r="B365" s="1" t="s">
        <v>30</v>
      </c>
      <c r="C365" s="1" t="s">
        <v>22</v>
      </c>
      <c r="D365" s="1" t="s">
        <v>18</v>
      </c>
      <c r="E365" s="1" t="s">
        <v>56</v>
      </c>
      <c r="F365" s="3">
        <v>16</v>
      </c>
      <c r="G365" s="3">
        <v>1744</v>
      </c>
      <c r="H365" s="3">
        <v>15</v>
      </c>
      <c r="I365" s="4">
        <v>46031</v>
      </c>
      <c r="J365" s="4">
        <v>46033</v>
      </c>
      <c r="K365" s="1" t="s">
        <v>51</v>
      </c>
    </row>
    <row r="366" spans="1:11" ht="29.5" thickBot="1" x14ac:dyDescent="0.4">
      <c r="A366" s="3">
        <v>1365</v>
      </c>
      <c r="B366" s="1" t="s">
        <v>46</v>
      </c>
      <c r="C366" s="1" t="s">
        <v>33</v>
      </c>
      <c r="D366" s="1" t="s">
        <v>13</v>
      </c>
      <c r="E366" s="1" t="s">
        <v>50</v>
      </c>
      <c r="F366" s="3">
        <v>17</v>
      </c>
      <c r="G366" s="3">
        <v>119</v>
      </c>
      <c r="H366" s="3">
        <v>7</v>
      </c>
      <c r="I366" s="4">
        <v>46070</v>
      </c>
      <c r="J366" s="4">
        <v>46072</v>
      </c>
      <c r="K366" s="1" t="s">
        <v>20</v>
      </c>
    </row>
    <row r="367" spans="1:11" ht="29.5" thickBot="1" x14ac:dyDescent="0.4">
      <c r="A367" s="3">
        <v>1366</v>
      </c>
      <c r="B367" s="1" t="s">
        <v>26</v>
      </c>
      <c r="C367" s="1" t="s">
        <v>17</v>
      </c>
      <c r="D367" s="1" t="s">
        <v>34</v>
      </c>
      <c r="E367" s="1" t="s">
        <v>61</v>
      </c>
      <c r="F367" s="3">
        <v>20</v>
      </c>
      <c r="G367" s="3">
        <v>44312</v>
      </c>
      <c r="H367" s="3">
        <v>10</v>
      </c>
      <c r="I367" s="4">
        <v>46047</v>
      </c>
      <c r="J367" s="4">
        <v>46054</v>
      </c>
      <c r="K367" s="1" t="s">
        <v>29</v>
      </c>
    </row>
    <row r="368" spans="1:11" ht="29.5" thickBot="1" x14ac:dyDescent="0.4">
      <c r="A368" s="3">
        <v>1367</v>
      </c>
      <c r="B368" s="1" t="s">
        <v>54</v>
      </c>
      <c r="C368" s="1" t="s">
        <v>25</v>
      </c>
      <c r="D368" s="1" t="s">
        <v>13</v>
      </c>
      <c r="E368" s="1" t="s">
        <v>53</v>
      </c>
      <c r="F368" s="3">
        <v>1</v>
      </c>
      <c r="G368" s="3">
        <v>371</v>
      </c>
      <c r="H368" s="3">
        <v>5</v>
      </c>
      <c r="I368" s="4">
        <v>46158</v>
      </c>
      <c r="J368" s="4">
        <v>46168</v>
      </c>
      <c r="K368" s="1" t="s">
        <v>29</v>
      </c>
    </row>
    <row r="369" spans="1:11" ht="29.5" thickBot="1" x14ac:dyDescent="0.4">
      <c r="A369" s="3">
        <v>1368</v>
      </c>
      <c r="B369" s="1" t="s">
        <v>55</v>
      </c>
      <c r="C369" s="1" t="s">
        <v>38</v>
      </c>
      <c r="D369" s="1" t="s">
        <v>13</v>
      </c>
      <c r="E369" s="1" t="s">
        <v>36</v>
      </c>
      <c r="F369" s="3">
        <v>9</v>
      </c>
      <c r="G369" s="3">
        <v>115</v>
      </c>
      <c r="H369" s="3">
        <v>0</v>
      </c>
      <c r="I369" s="4">
        <v>46036</v>
      </c>
      <c r="J369" s="4">
        <v>46045</v>
      </c>
      <c r="K369" s="1" t="s">
        <v>24</v>
      </c>
    </row>
    <row r="370" spans="1:11" ht="29.5" thickBot="1" x14ac:dyDescent="0.4">
      <c r="A370" s="3">
        <v>1369</v>
      </c>
      <c r="B370" s="1" t="s">
        <v>57</v>
      </c>
      <c r="C370" s="1" t="s">
        <v>25</v>
      </c>
      <c r="D370" s="1" t="s">
        <v>18</v>
      </c>
      <c r="E370" s="1" t="s">
        <v>19</v>
      </c>
      <c r="F370" s="3">
        <v>19</v>
      </c>
      <c r="G370" s="3">
        <v>5840</v>
      </c>
      <c r="H370" s="3">
        <v>5</v>
      </c>
      <c r="I370" s="4">
        <v>46062</v>
      </c>
      <c r="J370" s="4">
        <v>46067</v>
      </c>
      <c r="K370" s="1" t="s">
        <v>15</v>
      </c>
    </row>
    <row r="371" spans="1:11" ht="29.5" thickBot="1" x14ac:dyDescent="0.4">
      <c r="A371" s="3">
        <v>1370</v>
      </c>
      <c r="B371" s="1" t="s">
        <v>59</v>
      </c>
      <c r="C371" s="1" t="s">
        <v>38</v>
      </c>
      <c r="D371" s="1" t="s">
        <v>13</v>
      </c>
      <c r="E371" s="1" t="s">
        <v>53</v>
      </c>
      <c r="F371" s="3">
        <v>13</v>
      </c>
      <c r="G371" s="3">
        <v>337</v>
      </c>
      <c r="H371" s="3">
        <v>7</v>
      </c>
      <c r="I371" s="4">
        <v>46184</v>
      </c>
      <c r="J371" s="4">
        <v>46188</v>
      </c>
      <c r="K371" s="1" t="s">
        <v>15</v>
      </c>
    </row>
    <row r="372" spans="1:11" ht="15" thickBot="1" x14ac:dyDescent="0.4">
      <c r="A372" s="3">
        <v>1371</v>
      </c>
      <c r="B372" s="1" t="s">
        <v>48</v>
      </c>
      <c r="C372" s="1" t="s">
        <v>38</v>
      </c>
      <c r="D372" s="1" t="s">
        <v>18</v>
      </c>
      <c r="E372" s="1" t="s">
        <v>19</v>
      </c>
      <c r="F372" s="3">
        <v>19</v>
      </c>
      <c r="G372" s="3">
        <v>1087</v>
      </c>
      <c r="H372" s="3">
        <v>15</v>
      </c>
      <c r="I372" s="4">
        <v>46072</v>
      </c>
      <c r="J372" s="4">
        <v>46082</v>
      </c>
      <c r="K372" s="1" t="s">
        <v>20</v>
      </c>
    </row>
    <row r="373" spans="1:11" ht="29.5" thickBot="1" x14ac:dyDescent="0.4">
      <c r="A373" s="3">
        <v>1372</v>
      </c>
      <c r="B373" s="1" t="s">
        <v>48</v>
      </c>
      <c r="C373" s="1" t="s">
        <v>17</v>
      </c>
      <c r="D373" s="1" t="s">
        <v>34</v>
      </c>
      <c r="E373" s="1" t="s">
        <v>39</v>
      </c>
      <c r="F373" s="3">
        <v>9</v>
      </c>
      <c r="G373" s="3">
        <v>9551</v>
      </c>
      <c r="H373" s="3">
        <v>10</v>
      </c>
      <c r="I373" s="4">
        <v>46161</v>
      </c>
      <c r="J373" s="4">
        <v>46168</v>
      </c>
      <c r="K373" s="1" t="s">
        <v>15</v>
      </c>
    </row>
    <row r="374" spans="1:11" ht="29.5" thickBot="1" x14ac:dyDescent="0.4">
      <c r="A374" s="3">
        <v>1373</v>
      </c>
      <c r="B374" s="1" t="s">
        <v>54</v>
      </c>
      <c r="C374" s="1" t="s">
        <v>25</v>
      </c>
      <c r="D374" s="1" t="s">
        <v>34</v>
      </c>
      <c r="E374" s="1" t="s">
        <v>60</v>
      </c>
      <c r="F374" s="3">
        <v>11</v>
      </c>
      <c r="G374" s="3">
        <v>47930</v>
      </c>
      <c r="H374" s="3">
        <v>12</v>
      </c>
      <c r="I374" s="4">
        <v>46191</v>
      </c>
      <c r="J374" s="4">
        <v>46201</v>
      </c>
      <c r="K374" s="1" t="s">
        <v>20</v>
      </c>
    </row>
    <row r="375" spans="1:11" ht="29.5" thickBot="1" x14ac:dyDescent="0.4">
      <c r="A375" s="3">
        <v>1374</v>
      </c>
      <c r="B375" s="1" t="s">
        <v>57</v>
      </c>
      <c r="C375" s="1" t="s">
        <v>33</v>
      </c>
      <c r="D375" s="1" t="s">
        <v>34</v>
      </c>
      <c r="E375" s="1" t="s">
        <v>35</v>
      </c>
      <c r="F375" s="3">
        <v>12</v>
      </c>
      <c r="G375" s="3">
        <v>66052</v>
      </c>
      <c r="H375" s="3">
        <v>2</v>
      </c>
      <c r="I375" s="4">
        <v>46063</v>
      </c>
      <c r="J375" s="4">
        <v>46066</v>
      </c>
      <c r="K375" s="1" t="s">
        <v>51</v>
      </c>
    </row>
    <row r="376" spans="1:11" ht="29.5" thickBot="1" x14ac:dyDescent="0.4">
      <c r="A376" s="3">
        <v>1375</v>
      </c>
      <c r="B376" s="1" t="s">
        <v>46</v>
      </c>
      <c r="C376" s="1" t="s">
        <v>43</v>
      </c>
      <c r="D376" s="1" t="s">
        <v>34</v>
      </c>
      <c r="E376" s="1" t="s">
        <v>45</v>
      </c>
      <c r="F376" s="3">
        <v>20</v>
      </c>
      <c r="G376" s="3">
        <v>56766</v>
      </c>
      <c r="H376" s="3">
        <v>0</v>
      </c>
      <c r="I376" s="4">
        <v>46052</v>
      </c>
      <c r="J376" s="4">
        <v>46061</v>
      </c>
      <c r="K376" s="1" t="s">
        <v>24</v>
      </c>
    </row>
    <row r="377" spans="1:11" ht="29.5" thickBot="1" x14ac:dyDescent="0.4">
      <c r="A377" s="3">
        <v>1376</v>
      </c>
      <c r="B377" s="1" t="s">
        <v>52</v>
      </c>
      <c r="C377" s="1" t="s">
        <v>31</v>
      </c>
      <c r="D377" s="1" t="s">
        <v>13</v>
      </c>
      <c r="E377" s="1" t="s">
        <v>50</v>
      </c>
      <c r="F377" s="3">
        <v>20</v>
      </c>
      <c r="G377" s="3">
        <v>429</v>
      </c>
      <c r="H377" s="3">
        <v>5</v>
      </c>
      <c r="I377" s="4">
        <v>46178</v>
      </c>
      <c r="J377" s="4">
        <v>46184</v>
      </c>
      <c r="K377" s="1" t="s">
        <v>20</v>
      </c>
    </row>
    <row r="378" spans="1:11" ht="15" thickBot="1" x14ac:dyDescent="0.4">
      <c r="A378" s="3">
        <v>1377</v>
      </c>
      <c r="B378" s="1" t="s">
        <v>32</v>
      </c>
      <c r="C378" s="1" t="s">
        <v>38</v>
      </c>
      <c r="D378" s="1" t="s">
        <v>18</v>
      </c>
      <c r="E378" s="1" t="s">
        <v>19</v>
      </c>
      <c r="F378" s="3">
        <v>3</v>
      </c>
      <c r="G378" s="3">
        <v>5480</v>
      </c>
      <c r="H378" s="3">
        <v>12</v>
      </c>
      <c r="I378" s="4">
        <v>46105</v>
      </c>
      <c r="J378" s="4">
        <v>46111</v>
      </c>
      <c r="K378" s="1" t="s">
        <v>24</v>
      </c>
    </row>
    <row r="379" spans="1:11" ht="29.5" thickBot="1" x14ac:dyDescent="0.4">
      <c r="A379" s="3">
        <v>1378</v>
      </c>
      <c r="B379" s="1" t="s">
        <v>55</v>
      </c>
      <c r="C379" s="1" t="s">
        <v>22</v>
      </c>
      <c r="D379" s="1" t="s">
        <v>34</v>
      </c>
      <c r="E379" s="1" t="s">
        <v>45</v>
      </c>
      <c r="F379" s="3">
        <v>15</v>
      </c>
      <c r="G379" s="3">
        <v>22693</v>
      </c>
      <c r="H379" s="3">
        <v>12</v>
      </c>
      <c r="I379" s="4">
        <v>46074</v>
      </c>
      <c r="J379" s="4">
        <v>46080</v>
      </c>
      <c r="K379" s="1" t="s">
        <v>51</v>
      </c>
    </row>
    <row r="380" spans="1:11" ht="29.5" thickBot="1" x14ac:dyDescent="0.4">
      <c r="A380" s="3">
        <v>1379</v>
      </c>
      <c r="B380" s="1" t="s">
        <v>47</v>
      </c>
      <c r="C380" s="1" t="s">
        <v>17</v>
      </c>
      <c r="D380" s="1" t="s">
        <v>13</v>
      </c>
      <c r="E380" s="1" t="s">
        <v>14</v>
      </c>
      <c r="F380" s="3">
        <v>11</v>
      </c>
      <c r="G380" s="3">
        <v>136</v>
      </c>
      <c r="H380" s="3">
        <v>15</v>
      </c>
      <c r="I380" s="4">
        <v>46106</v>
      </c>
      <c r="J380" s="4">
        <v>46107</v>
      </c>
      <c r="K380" s="1" t="s">
        <v>20</v>
      </c>
    </row>
    <row r="381" spans="1:11" ht="29.5" thickBot="1" x14ac:dyDescent="0.4">
      <c r="A381" s="3">
        <v>1380</v>
      </c>
      <c r="B381" s="1" t="s">
        <v>52</v>
      </c>
      <c r="C381" s="1" t="s">
        <v>43</v>
      </c>
      <c r="D381" s="1" t="s">
        <v>13</v>
      </c>
      <c r="E381" s="1" t="s">
        <v>53</v>
      </c>
      <c r="F381" s="3">
        <v>3</v>
      </c>
      <c r="G381" s="3">
        <v>412</v>
      </c>
      <c r="H381" s="3">
        <v>7</v>
      </c>
      <c r="I381" s="4">
        <v>46128</v>
      </c>
      <c r="J381" s="4">
        <v>46138</v>
      </c>
      <c r="K381" s="1" t="s">
        <v>24</v>
      </c>
    </row>
    <row r="382" spans="1:11" ht="15" thickBot="1" x14ac:dyDescent="0.4">
      <c r="A382" s="3">
        <v>1381</v>
      </c>
      <c r="B382" s="1" t="s">
        <v>55</v>
      </c>
      <c r="C382" s="1" t="s">
        <v>33</v>
      </c>
      <c r="D382" s="1" t="s">
        <v>18</v>
      </c>
      <c r="E382" s="1" t="s">
        <v>28</v>
      </c>
      <c r="F382" s="3">
        <v>5</v>
      </c>
      <c r="G382" s="3">
        <v>7484</v>
      </c>
      <c r="H382" s="3">
        <v>2</v>
      </c>
      <c r="I382" s="4">
        <v>46089</v>
      </c>
      <c r="J382" s="4">
        <v>46093</v>
      </c>
      <c r="K382" s="1" t="s">
        <v>20</v>
      </c>
    </row>
    <row r="383" spans="1:11" ht="29.5" thickBot="1" x14ac:dyDescent="0.4">
      <c r="A383" s="3">
        <v>1382</v>
      </c>
      <c r="B383" s="1" t="s">
        <v>49</v>
      </c>
      <c r="C383" s="1" t="s">
        <v>33</v>
      </c>
      <c r="D383" s="1" t="s">
        <v>34</v>
      </c>
      <c r="E383" s="1" t="s">
        <v>60</v>
      </c>
      <c r="F383" s="3">
        <v>11</v>
      </c>
      <c r="G383" s="3">
        <v>36198</v>
      </c>
      <c r="H383" s="3">
        <v>0</v>
      </c>
      <c r="I383" s="4">
        <v>46130</v>
      </c>
      <c r="J383" s="4">
        <v>46134</v>
      </c>
      <c r="K383" s="1" t="s">
        <v>15</v>
      </c>
    </row>
    <row r="384" spans="1:11" ht="29.5" thickBot="1" x14ac:dyDescent="0.4">
      <c r="A384" s="3">
        <v>1383</v>
      </c>
      <c r="B384" s="1" t="s">
        <v>32</v>
      </c>
      <c r="C384" s="1" t="s">
        <v>12</v>
      </c>
      <c r="D384" s="1" t="s">
        <v>13</v>
      </c>
      <c r="E384" s="1" t="s">
        <v>53</v>
      </c>
      <c r="F384" s="3">
        <v>14</v>
      </c>
      <c r="G384" s="3">
        <v>334</v>
      </c>
      <c r="H384" s="3">
        <v>10</v>
      </c>
      <c r="I384" s="4">
        <v>46196</v>
      </c>
      <c r="J384" s="4">
        <v>46203</v>
      </c>
      <c r="K384" s="1" t="s">
        <v>15</v>
      </c>
    </row>
    <row r="385" spans="1:11" ht="29.5" thickBot="1" x14ac:dyDescent="0.4">
      <c r="A385" s="3">
        <v>1384</v>
      </c>
      <c r="B385" s="1" t="s">
        <v>59</v>
      </c>
      <c r="C385" s="1" t="s">
        <v>12</v>
      </c>
      <c r="D385" s="1" t="s">
        <v>34</v>
      </c>
      <c r="E385" s="1" t="s">
        <v>39</v>
      </c>
      <c r="F385" s="3">
        <v>15</v>
      </c>
      <c r="G385" s="3">
        <v>38116</v>
      </c>
      <c r="H385" s="3">
        <v>0</v>
      </c>
      <c r="I385" s="4">
        <v>46074</v>
      </c>
      <c r="J385" s="4">
        <v>46078</v>
      </c>
      <c r="K385" s="1" t="s">
        <v>29</v>
      </c>
    </row>
    <row r="386" spans="1:11" ht="29.5" thickBot="1" x14ac:dyDescent="0.4">
      <c r="A386" s="3">
        <v>1385</v>
      </c>
      <c r="B386" s="1" t="s">
        <v>26</v>
      </c>
      <c r="C386" s="1" t="s">
        <v>33</v>
      </c>
      <c r="D386" s="1" t="s">
        <v>34</v>
      </c>
      <c r="E386" s="1" t="s">
        <v>39</v>
      </c>
      <c r="F386" s="3">
        <v>12</v>
      </c>
      <c r="G386" s="3">
        <v>61360</v>
      </c>
      <c r="H386" s="3">
        <v>10</v>
      </c>
      <c r="I386" s="4">
        <v>46048</v>
      </c>
      <c r="J386" s="4">
        <v>46053</v>
      </c>
      <c r="K386" s="1" t="s">
        <v>51</v>
      </c>
    </row>
    <row r="387" spans="1:11" ht="15" thickBot="1" x14ac:dyDescent="0.4">
      <c r="A387" s="3">
        <v>1386</v>
      </c>
      <c r="B387" s="1" t="s">
        <v>27</v>
      </c>
      <c r="C387" s="1" t="s">
        <v>31</v>
      </c>
      <c r="D387" s="1" t="s">
        <v>18</v>
      </c>
      <c r="E387" s="1" t="s">
        <v>28</v>
      </c>
      <c r="F387" s="3">
        <v>9</v>
      </c>
      <c r="G387" s="3">
        <v>7509</v>
      </c>
      <c r="H387" s="3">
        <v>5</v>
      </c>
      <c r="I387" s="4">
        <v>46162</v>
      </c>
      <c r="J387" s="4">
        <v>46171</v>
      </c>
      <c r="K387" s="1" t="s">
        <v>51</v>
      </c>
    </row>
    <row r="388" spans="1:11" ht="29.5" thickBot="1" x14ac:dyDescent="0.4">
      <c r="A388" s="3">
        <v>1387</v>
      </c>
      <c r="B388" s="1" t="s">
        <v>54</v>
      </c>
      <c r="C388" s="1" t="s">
        <v>33</v>
      </c>
      <c r="D388" s="1" t="s">
        <v>34</v>
      </c>
      <c r="E388" s="1" t="s">
        <v>35</v>
      </c>
      <c r="F388" s="3">
        <v>11</v>
      </c>
      <c r="G388" s="3">
        <v>56515</v>
      </c>
      <c r="H388" s="3">
        <v>5</v>
      </c>
      <c r="I388" s="4">
        <v>46102</v>
      </c>
      <c r="J388" s="4">
        <v>46112</v>
      </c>
      <c r="K388" s="1" t="s">
        <v>24</v>
      </c>
    </row>
    <row r="389" spans="1:11" ht="15" thickBot="1" x14ac:dyDescent="0.4">
      <c r="A389" s="3">
        <v>1388</v>
      </c>
      <c r="B389" s="1" t="s">
        <v>55</v>
      </c>
      <c r="C389" s="1" t="s">
        <v>31</v>
      </c>
      <c r="D389" s="1" t="s">
        <v>18</v>
      </c>
      <c r="E389" s="1" t="s">
        <v>28</v>
      </c>
      <c r="F389" s="3">
        <v>12</v>
      </c>
      <c r="G389" s="3">
        <v>11662</v>
      </c>
      <c r="H389" s="3">
        <v>12</v>
      </c>
      <c r="I389" s="4">
        <v>46094</v>
      </c>
      <c r="J389" s="4">
        <v>46096</v>
      </c>
      <c r="K389" s="1" t="s">
        <v>20</v>
      </c>
    </row>
    <row r="390" spans="1:11" ht="29.5" thickBot="1" x14ac:dyDescent="0.4">
      <c r="A390" s="3">
        <v>1389</v>
      </c>
      <c r="B390" s="1" t="s">
        <v>32</v>
      </c>
      <c r="C390" s="1" t="s">
        <v>12</v>
      </c>
      <c r="D390" s="1" t="s">
        <v>34</v>
      </c>
      <c r="E390" s="1" t="s">
        <v>41</v>
      </c>
      <c r="F390" s="3">
        <v>3</v>
      </c>
      <c r="G390" s="3">
        <v>56380</v>
      </c>
      <c r="H390" s="3">
        <v>5</v>
      </c>
      <c r="I390" s="4">
        <v>46044</v>
      </c>
      <c r="J390" s="4">
        <v>46048</v>
      </c>
      <c r="K390" s="1" t="s">
        <v>51</v>
      </c>
    </row>
    <row r="391" spans="1:11" ht="15" thickBot="1" x14ac:dyDescent="0.4">
      <c r="A391" s="3">
        <v>1390</v>
      </c>
      <c r="B391" s="1" t="s">
        <v>58</v>
      </c>
      <c r="C391" s="1" t="s">
        <v>43</v>
      </c>
      <c r="D391" s="1" t="s">
        <v>18</v>
      </c>
      <c r="E391" s="1" t="s">
        <v>19</v>
      </c>
      <c r="F391" s="3">
        <v>9</v>
      </c>
      <c r="G391" s="3">
        <v>7670</v>
      </c>
      <c r="H391" s="3">
        <v>0</v>
      </c>
      <c r="I391" s="4">
        <v>46076</v>
      </c>
      <c r="J391" s="4">
        <v>46081</v>
      </c>
      <c r="K391" s="1" t="s">
        <v>51</v>
      </c>
    </row>
    <row r="392" spans="1:11" ht="29.5" thickBot="1" x14ac:dyDescent="0.4">
      <c r="A392" s="3">
        <v>1391</v>
      </c>
      <c r="B392" s="1" t="s">
        <v>30</v>
      </c>
      <c r="C392" s="1" t="s">
        <v>31</v>
      </c>
      <c r="D392" s="1" t="s">
        <v>34</v>
      </c>
      <c r="E392" s="1" t="s">
        <v>35</v>
      </c>
      <c r="F392" s="3">
        <v>5</v>
      </c>
      <c r="G392" s="3">
        <v>65270</v>
      </c>
      <c r="H392" s="3">
        <v>5</v>
      </c>
      <c r="I392" s="4">
        <v>46100</v>
      </c>
      <c r="J392" s="4">
        <v>46103</v>
      </c>
      <c r="K392" s="1" t="s">
        <v>24</v>
      </c>
    </row>
    <row r="393" spans="1:11" ht="29.5" thickBot="1" x14ac:dyDescent="0.4">
      <c r="A393" s="3">
        <v>1392</v>
      </c>
      <c r="B393" s="1" t="s">
        <v>29</v>
      </c>
      <c r="C393" s="1" t="s">
        <v>43</v>
      </c>
      <c r="D393" s="1" t="s">
        <v>34</v>
      </c>
      <c r="E393" s="1" t="s">
        <v>35</v>
      </c>
      <c r="F393" s="3">
        <v>13</v>
      </c>
      <c r="G393" s="3">
        <v>23903</v>
      </c>
      <c r="H393" s="3">
        <v>5</v>
      </c>
      <c r="I393" s="4">
        <v>46124</v>
      </c>
      <c r="J393" s="4">
        <v>46125</v>
      </c>
      <c r="K393" s="1" t="s">
        <v>29</v>
      </c>
    </row>
    <row r="394" spans="1:11" ht="29.5" thickBot="1" x14ac:dyDescent="0.4">
      <c r="A394" s="3">
        <v>1393</v>
      </c>
      <c r="B394" s="1" t="s">
        <v>30</v>
      </c>
      <c r="C394" s="1" t="s">
        <v>25</v>
      </c>
      <c r="D394" s="1" t="s">
        <v>34</v>
      </c>
      <c r="E394" s="1" t="s">
        <v>45</v>
      </c>
      <c r="F394" s="3">
        <v>17</v>
      </c>
      <c r="G394" s="3">
        <v>30351</v>
      </c>
      <c r="H394" s="3">
        <v>15</v>
      </c>
      <c r="I394" s="4">
        <v>46047</v>
      </c>
      <c r="J394" s="4">
        <v>46051</v>
      </c>
      <c r="K394" s="1" t="s">
        <v>51</v>
      </c>
    </row>
    <row r="395" spans="1:11" ht="29.5" thickBot="1" x14ac:dyDescent="0.4">
      <c r="A395" s="3">
        <v>1394</v>
      </c>
      <c r="B395" s="1" t="s">
        <v>54</v>
      </c>
      <c r="C395" s="1" t="s">
        <v>12</v>
      </c>
      <c r="D395" s="1" t="s">
        <v>13</v>
      </c>
      <c r="E395" s="1" t="s">
        <v>14</v>
      </c>
      <c r="F395" s="3">
        <v>10</v>
      </c>
      <c r="G395" s="3">
        <v>138</v>
      </c>
      <c r="H395" s="3">
        <v>2</v>
      </c>
      <c r="I395" s="4">
        <v>46056</v>
      </c>
      <c r="J395" s="4">
        <v>46057</v>
      </c>
      <c r="K395" s="1" t="s">
        <v>15</v>
      </c>
    </row>
    <row r="396" spans="1:11" ht="29.5" thickBot="1" x14ac:dyDescent="0.4">
      <c r="A396" s="3">
        <v>1395</v>
      </c>
      <c r="B396" s="1" t="s">
        <v>54</v>
      </c>
      <c r="C396" s="1" t="s">
        <v>33</v>
      </c>
      <c r="D396" s="1" t="s">
        <v>18</v>
      </c>
      <c r="E396" s="1" t="s">
        <v>44</v>
      </c>
      <c r="F396" s="3">
        <v>18</v>
      </c>
      <c r="G396" s="3">
        <v>10402</v>
      </c>
      <c r="H396" s="3">
        <v>15</v>
      </c>
      <c r="I396" s="4">
        <v>46062</v>
      </c>
      <c r="J396" s="4">
        <v>46067</v>
      </c>
      <c r="K396" s="1" t="s">
        <v>29</v>
      </c>
    </row>
    <row r="397" spans="1:11" ht="29.5" thickBot="1" x14ac:dyDescent="0.4">
      <c r="A397" s="3">
        <v>1396</v>
      </c>
      <c r="B397" s="1" t="s">
        <v>21</v>
      </c>
      <c r="C397" s="1" t="s">
        <v>38</v>
      </c>
      <c r="D397" s="1" t="s">
        <v>13</v>
      </c>
      <c r="E397" s="1" t="s">
        <v>53</v>
      </c>
      <c r="F397" s="3">
        <v>8</v>
      </c>
      <c r="G397" s="3">
        <v>54</v>
      </c>
      <c r="H397" s="3">
        <v>15</v>
      </c>
      <c r="I397" s="4">
        <v>46031</v>
      </c>
      <c r="J397" s="4">
        <v>46035</v>
      </c>
      <c r="K397" s="1" t="s">
        <v>15</v>
      </c>
    </row>
    <row r="398" spans="1:11" ht="15" thickBot="1" x14ac:dyDescent="0.4">
      <c r="A398" s="3">
        <v>1397</v>
      </c>
      <c r="B398" s="1" t="s">
        <v>21</v>
      </c>
      <c r="C398" s="1" t="s">
        <v>33</v>
      </c>
      <c r="D398" s="1" t="s">
        <v>18</v>
      </c>
      <c r="E398" s="1" t="s">
        <v>23</v>
      </c>
      <c r="F398" s="3">
        <v>1</v>
      </c>
      <c r="G398" s="3">
        <v>8948</v>
      </c>
      <c r="H398" s="3">
        <v>5</v>
      </c>
      <c r="I398" s="4">
        <v>46194</v>
      </c>
      <c r="J398" s="4">
        <v>46201</v>
      </c>
      <c r="K398" s="1" t="s">
        <v>51</v>
      </c>
    </row>
    <row r="399" spans="1:11" ht="29.5" thickBot="1" x14ac:dyDescent="0.4">
      <c r="A399" s="3">
        <v>1398</v>
      </c>
      <c r="B399" s="1" t="s">
        <v>58</v>
      </c>
      <c r="C399" s="1" t="s">
        <v>43</v>
      </c>
      <c r="D399" s="1" t="s">
        <v>34</v>
      </c>
      <c r="E399" s="1" t="s">
        <v>39</v>
      </c>
      <c r="F399" s="3">
        <v>12</v>
      </c>
      <c r="G399" s="3">
        <v>10668</v>
      </c>
      <c r="H399" s="3">
        <v>0</v>
      </c>
      <c r="I399" s="4">
        <v>46170</v>
      </c>
      <c r="J399" s="4">
        <v>46176</v>
      </c>
      <c r="K399" s="1" t="s">
        <v>15</v>
      </c>
    </row>
    <row r="400" spans="1:11" ht="29.5" thickBot="1" x14ac:dyDescent="0.4">
      <c r="A400" s="3">
        <v>1399</v>
      </c>
      <c r="B400" s="1" t="s">
        <v>48</v>
      </c>
      <c r="C400" s="1" t="s">
        <v>31</v>
      </c>
      <c r="D400" s="1" t="s">
        <v>13</v>
      </c>
      <c r="E400" s="1" t="s">
        <v>14</v>
      </c>
      <c r="F400" s="3">
        <v>15</v>
      </c>
      <c r="G400" s="3">
        <v>87</v>
      </c>
      <c r="H400" s="3">
        <v>15</v>
      </c>
      <c r="I400" s="4">
        <v>46089</v>
      </c>
      <c r="J400" s="4">
        <v>46093</v>
      </c>
      <c r="K400" s="1" t="s">
        <v>20</v>
      </c>
    </row>
    <row r="401" spans="1:11" ht="29.5" thickBot="1" x14ac:dyDescent="0.4">
      <c r="A401" s="3">
        <v>1400</v>
      </c>
      <c r="B401" s="1" t="s">
        <v>40</v>
      </c>
      <c r="C401" s="1" t="s">
        <v>22</v>
      </c>
      <c r="D401" s="1" t="s">
        <v>34</v>
      </c>
      <c r="E401" s="1" t="s">
        <v>35</v>
      </c>
      <c r="F401" s="3">
        <v>13</v>
      </c>
      <c r="G401" s="3">
        <v>52411</v>
      </c>
      <c r="H401" s="3">
        <v>15</v>
      </c>
      <c r="I401" s="4">
        <v>46090</v>
      </c>
      <c r="J401" s="4">
        <v>46092</v>
      </c>
      <c r="K401" s="1" t="s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4B2F45-434E-4334-92E5-9FD1EC92C38B}">
  <dimension ref="A1:K401"/>
  <sheetViews>
    <sheetView workbookViewId="0">
      <pane ySplit="1" topLeftCell="A2" activePane="bottomLeft" state="frozen"/>
      <selection pane="bottomLeft" sqref="A1:K1"/>
    </sheetView>
  </sheetViews>
  <sheetFormatPr defaultRowHeight="14.5" x14ac:dyDescent="0.35"/>
  <cols>
    <col min="1" max="1" width="8.54296875" bestFit="1" customWidth="1"/>
    <col min="2" max="2" width="9.08984375" customWidth="1"/>
    <col min="3" max="3" width="14.36328125" customWidth="1"/>
    <col min="4" max="4" width="11.08984375" customWidth="1"/>
    <col min="5" max="5" width="11.54296875" customWidth="1"/>
    <col min="6" max="6" width="8" bestFit="1" customWidth="1"/>
    <col min="7" max="7" width="11.90625" customWidth="1"/>
    <col min="8" max="8" width="11.36328125" customWidth="1"/>
    <col min="9" max="9" width="11.08984375" customWidth="1"/>
    <col min="10" max="10" width="14" customWidth="1"/>
    <col min="11" max="11" width="10.81640625" bestFit="1" customWidth="1"/>
  </cols>
  <sheetData>
    <row r="1" spans="1:11" ht="16.5" customHeight="1" thickBot="1" x14ac:dyDescent="0.4">
      <c r="A1" s="31" t="s">
        <v>0</v>
      </c>
      <c r="B1" s="31" t="s">
        <v>1</v>
      </c>
      <c r="C1" s="31" t="s">
        <v>2</v>
      </c>
      <c r="D1" s="31" t="s">
        <v>3</v>
      </c>
      <c r="E1" s="31" t="s">
        <v>4</v>
      </c>
      <c r="F1" s="31" t="s">
        <v>5</v>
      </c>
      <c r="G1" s="31" t="s">
        <v>6</v>
      </c>
      <c r="H1" s="31" t="s">
        <v>7</v>
      </c>
      <c r="I1" s="31" t="s">
        <v>8</v>
      </c>
      <c r="J1" s="31" t="s">
        <v>9</v>
      </c>
      <c r="K1" s="32" t="s">
        <v>10</v>
      </c>
    </row>
    <row r="2" spans="1:11" ht="15" thickBot="1" x14ac:dyDescent="0.4">
      <c r="A2" s="5">
        <v>1001</v>
      </c>
      <c r="B2" s="5" t="s">
        <v>11</v>
      </c>
      <c r="C2" s="5" t="s">
        <v>12</v>
      </c>
      <c r="D2" s="5" t="s">
        <v>13</v>
      </c>
      <c r="E2" s="5" t="s">
        <v>14</v>
      </c>
      <c r="F2" s="5">
        <v>3</v>
      </c>
      <c r="G2" s="5">
        <v>222</v>
      </c>
      <c r="H2" s="5">
        <v>15</v>
      </c>
      <c r="I2" s="6">
        <v>46081</v>
      </c>
      <c r="J2" s="6">
        <v>46083</v>
      </c>
      <c r="K2" s="5" t="s">
        <v>15</v>
      </c>
    </row>
    <row r="3" spans="1:11" ht="15" thickBot="1" x14ac:dyDescent="0.4">
      <c r="A3" s="5">
        <v>1002</v>
      </c>
      <c r="B3" s="5" t="s">
        <v>16</v>
      </c>
      <c r="C3" s="5" t="s">
        <v>17</v>
      </c>
      <c r="D3" s="5" t="s">
        <v>18</v>
      </c>
      <c r="E3" s="5" t="s">
        <v>19</v>
      </c>
      <c r="F3" s="5">
        <v>7</v>
      </c>
      <c r="G3" s="5">
        <v>8448</v>
      </c>
      <c r="H3" s="5">
        <v>12</v>
      </c>
      <c r="I3" s="6">
        <v>46174</v>
      </c>
      <c r="J3" s="6">
        <v>46179</v>
      </c>
      <c r="K3" s="5" t="s">
        <v>20</v>
      </c>
    </row>
    <row r="4" spans="1:11" ht="15" thickBot="1" x14ac:dyDescent="0.4">
      <c r="A4" s="5">
        <v>1003</v>
      </c>
      <c r="B4" s="5" t="s">
        <v>21</v>
      </c>
      <c r="C4" s="5" t="s">
        <v>22</v>
      </c>
      <c r="D4" s="5" t="s">
        <v>18</v>
      </c>
      <c r="E4" s="5" t="s">
        <v>23</v>
      </c>
      <c r="F4" s="5">
        <v>20</v>
      </c>
      <c r="G4" s="5">
        <v>2123</v>
      </c>
      <c r="H4" s="5">
        <v>15</v>
      </c>
      <c r="I4" s="6">
        <v>46183</v>
      </c>
      <c r="J4" s="6">
        <v>46192</v>
      </c>
      <c r="K4" s="5" t="s">
        <v>24</v>
      </c>
    </row>
    <row r="5" spans="1:11" ht="15" thickBot="1" x14ac:dyDescent="0.4">
      <c r="A5" s="5">
        <v>1004</v>
      </c>
      <c r="B5" s="5" t="s">
        <v>16</v>
      </c>
      <c r="C5" s="5" t="s">
        <v>25</v>
      </c>
      <c r="D5" s="5" t="s">
        <v>18</v>
      </c>
      <c r="E5" s="5" t="s">
        <v>23</v>
      </c>
      <c r="F5" s="5">
        <v>16</v>
      </c>
      <c r="G5" s="5">
        <v>11739</v>
      </c>
      <c r="H5" s="5">
        <v>12</v>
      </c>
      <c r="I5" s="6">
        <v>46034</v>
      </c>
      <c r="J5" s="6">
        <v>46040</v>
      </c>
      <c r="K5" s="5" t="s">
        <v>20</v>
      </c>
    </row>
    <row r="6" spans="1:11" ht="15" thickBot="1" x14ac:dyDescent="0.4">
      <c r="A6" s="5">
        <v>1005</v>
      </c>
      <c r="B6" s="5" t="s">
        <v>26</v>
      </c>
      <c r="C6" s="5" t="s">
        <v>17</v>
      </c>
      <c r="D6" s="5" t="s">
        <v>13</v>
      </c>
      <c r="E6" s="5" t="s">
        <v>14</v>
      </c>
      <c r="F6" s="5">
        <v>18</v>
      </c>
      <c r="G6" s="5">
        <v>70</v>
      </c>
      <c r="H6" s="5">
        <v>0</v>
      </c>
      <c r="I6" s="6">
        <v>46171</v>
      </c>
      <c r="J6" s="6">
        <v>46179</v>
      </c>
      <c r="K6" s="5" t="s">
        <v>24</v>
      </c>
    </row>
    <row r="7" spans="1:11" ht="15" thickBot="1" x14ac:dyDescent="0.4">
      <c r="A7" s="5">
        <v>1006</v>
      </c>
      <c r="B7" s="5" t="s">
        <v>27</v>
      </c>
      <c r="C7" s="5" t="s">
        <v>25</v>
      </c>
      <c r="D7" s="5" t="s">
        <v>18</v>
      </c>
      <c r="E7" s="5" t="s">
        <v>28</v>
      </c>
      <c r="F7" s="5">
        <v>3</v>
      </c>
      <c r="G7" s="5">
        <v>2714</v>
      </c>
      <c r="H7" s="5">
        <v>5</v>
      </c>
      <c r="I7" s="6">
        <v>46055</v>
      </c>
      <c r="J7" s="6">
        <v>46062</v>
      </c>
      <c r="K7" s="5" t="s">
        <v>29</v>
      </c>
    </row>
    <row r="8" spans="1:11" ht="15" thickBot="1" x14ac:dyDescent="0.4">
      <c r="A8" s="5">
        <v>1007</v>
      </c>
      <c r="B8" s="5" t="s">
        <v>21</v>
      </c>
      <c r="C8" s="5" t="s">
        <v>22</v>
      </c>
      <c r="D8" s="5" t="s">
        <v>13</v>
      </c>
      <c r="E8" s="5" t="s">
        <v>14</v>
      </c>
      <c r="F8" s="5">
        <v>19</v>
      </c>
      <c r="G8" s="5">
        <v>149</v>
      </c>
      <c r="H8" s="5">
        <v>7</v>
      </c>
      <c r="I8" s="6">
        <v>46162</v>
      </c>
      <c r="J8" s="6">
        <v>46168</v>
      </c>
      <c r="K8" s="5" t="s">
        <v>24</v>
      </c>
    </row>
    <row r="9" spans="1:11" ht="15" thickBot="1" x14ac:dyDescent="0.4">
      <c r="A9" s="5">
        <v>1008</v>
      </c>
      <c r="B9" s="5" t="s">
        <v>30</v>
      </c>
      <c r="C9" s="5" t="s">
        <v>31</v>
      </c>
      <c r="D9" s="5" t="s">
        <v>18</v>
      </c>
      <c r="E9" s="5" t="s">
        <v>28</v>
      </c>
      <c r="F9" s="5">
        <v>1</v>
      </c>
      <c r="G9" s="5">
        <v>1134</v>
      </c>
      <c r="H9" s="5">
        <v>0</v>
      </c>
      <c r="I9" s="6">
        <v>46033</v>
      </c>
      <c r="J9" s="6">
        <v>46041</v>
      </c>
      <c r="K9" s="5" t="s">
        <v>24</v>
      </c>
    </row>
    <row r="10" spans="1:11" ht="15" thickBot="1" x14ac:dyDescent="0.4">
      <c r="A10" s="5">
        <v>1009</v>
      </c>
      <c r="B10" s="5" t="s">
        <v>32</v>
      </c>
      <c r="C10" s="5" t="s">
        <v>33</v>
      </c>
      <c r="D10" s="5" t="s">
        <v>34</v>
      </c>
      <c r="E10" s="5" t="s">
        <v>35</v>
      </c>
      <c r="F10" s="5">
        <v>10</v>
      </c>
      <c r="G10" s="5">
        <v>40671</v>
      </c>
      <c r="H10" s="5">
        <v>12</v>
      </c>
      <c r="I10" s="6">
        <v>46183</v>
      </c>
      <c r="J10" s="6">
        <v>46193</v>
      </c>
      <c r="K10" s="5" t="s">
        <v>24</v>
      </c>
    </row>
    <row r="11" spans="1:11" ht="15" thickBot="1" x14ac:dyDescent="0.4">
      <c r="A11" s="5">
        <v>1010</v>
      </c>
      <c r="B11" s="5" t="s">
        <v>11</v>
      </c>
      <c r="C11" s="5" t="s">
        <v>17</v>
      </c>
      <c r="D11" s="5" t="s">
        <v>13</v>
      </c>
      <c r="E11" s="5" t="s">
        <v>36</v>
      </c>
      <c r="F11" s="5">
        <v>14</v>
      </c>
      <c r="G11" s="5">
        <v>470</v>
      </c>
      <c r="H11" s="5">
        <v>5</v>
      </c>
      <c r="I11" s="6">
        <v>46062</v>
      </c>
      <c r="J11" s="6">
        <v>46068</v>
      </c>
      <c r="K11" s="5" t="s">
        <v>15</v>
      </c>
    </row>
    <row r="12" spans="1:11" ht="15" thickBot="1" x14ac:dyDescent="0.4">
      <c r="A12" s="5">
        <v>1011</v>
      </c>
      <c r="B12" s="5" t="s">
        <v>11</v>
      </c>
      <c r="C12" s="5" t="s">
        <v>17</v>
      </c>
      <c r="D12" s="5" t="s">
        <v>13</v>
      </c>
      <c r="E12" s="5" t="s">
        <v>37</v>
      </c>
      <c r="F12" s="5">
        <v>14</v>
      </c>
      <c r="G12" s="5">
        <v>88</v>
      </c>
      <c r="H12" s="5">
        <v>12</v>
      </c>
      <c r="I12" s="6">
        <v>46161</v>
      </c>
      <c r="J12" s="6">
        <v>46163</v>
      </c>
      <c r="K12" s="5" t="s">
        <v>15</v>
      </c>
    </row>
    <row r="13" spans="1:11" ht="15" thickBot="1" x14ac:dyDescent="0.4">
      <c r="A13" s="5">
        <v>1012</v>
      </c>
      <c r="B13" s="5" t="s">
        <v>26</v>
      </c>
      <c r="C13" s="5" t="s">
        <v>38</v>
      </c>
      <c r="D13" s="5" t="s">
        <v>34</v>
      </c>
      <c r="E13" s="5" t="s">
        <v>39</v>
      </c>
      <c r="F13" s="5">
        <v>3</v>
      </c>
      <c r="G13" s="5">
        <v>64615</v>
      </c>
      <c r="H13" s="5">
        <v>10</v>
      </c>
      <c r="I13" s="6">
        <v>46086</v>
      </c>
      <c r="J13" s="6">
        <v>46095</v>
      </c>
      <c r="K13" s="5" t="s">
        <v>29</v>
      </c>
    </row>
    <row r="14" spans="1:11" ht="15" thickBot="1" x14ac:dyDescent="0.4">
      <c r="A14" s="5">
        <v>1013</v>
      </c>
      <c r="B14" s="5" t="s">
        <v>16</v>
      </c>
      <c r="C14" s="5" t="s">
        <v>31</v>
      </c>
      <c r="D14" s="5" t="s">
        <v>13</v>
      </c>
      <c r="E14" s="5" t="s">
        <v>36</v>
      </c>
      <c r="F14" s="5">
        <v>17</v>
      </c>
      <c r="G14" s="5">
        <v>459</v>
      </c>
      <c r="H14" s="5">
        <v>12</v>
      </c>
      <c r="I14" s="6">
        <v>46095</v>
      </c>
      <c r="J14" s="6">
        <v>46105</v>
      </c>
      <c r="K14" s="5" t="s">
        <v>29</v>
      </c>
    </row>
    <row r="15" spans="1:11" ht="15" thickBot="1" x14ac:dyDescent="0.4">
      <c r="A15" s="5">
        <v>1014</v>
      </c>
      <c r="B15" s="5" t="s">
        <v>40</v>
      </c>
      <c r="C15" s="5" t="s">
        <v>17</v>
      </c>
      <c r="D15" s="5" t="s">
        <v>34</v>
      </c>
      <c r="E15" s="5" t="s">
        <v>41</v>
      </c>
      <c r="F15" s="5">
        <v>19</v>
      </c>
      <c r="G15" s="5">
        <v>53683</v>
      </c>
      <c r="H15" s="5">
        <v>12</v>
      </c>
      <c r="I15" s="6">
        <v>46129</v>
      </c>
      <c r="J15" s="6">
        <v>46134</v>
      </c>
      <c r="K15" s="5" t="s">
        <v>29</v>
      </c>
    </row>
    <row r="16" spans="1:11" ht="15" thickBot="1" x14ac:dyDescent="0.4">
      <c r="A16" s="5">
        <v>1015</v>
      </c>
      <c r="B16" s="5" t="s">
        <v>42</v>
      </c>
      <c r="C16" s="5" t="s">
        <v>43</v>
      </c>
      <c r="D16" s="5" t="s">
        <v>18</v>
      </c>
      <c r="E16" s="5" t="s">
        <v>44</v>
      </c>
      <c r="F16" s="5">
        <v>11</v>
      </c>
      <c r="G16" s="5">
        <v>14511</v>
      </c>
      <c r="H16" s="5">
        <v>2</v>
      </c>
      <c r="I16" s="6">
        <v>46175</v>
      </c>
      <c r="J16" s="6">
        <v>46185</v>
      </c>
      <c r="K16" s="5" t="s">
        <v>20</v>
      </c>
    </row>
    <row r="17" spans="1:11" ht="15" thickBot="1" x14ac:dyDescent="0.4">
      <c r="A17" s="5">
        <v>1016</v>
      </c>
      <c r="B17" s="5" t="s">
        <v>32</v>
      </c>
      <c r="C17" s="5" t="s">
        <v>33</v>
      </c>
      <c r="D17" s="5" t="s">
        <v>34</v>
      </c>
      <c r="E17" s="5" t="s">
        <v>45</v>
      </c>
      <c r="F17" s="5">
        <v>16</v>
      </c>
      <c r="G17" s="5">
        <v>30234</v>
      </c>
      <c r="H17" s="5">
        <v>15</v>
      </c>
      <c r="I17" s="6">
        <v>46137</v>
      </c>
      <c r="J17" s="6">
        <v>46140</v>
      </c>
      <c r="K17" s="5" t="s">
        <v>24</v>
      </c>
    </row>
    <row r="18" spans="1:11" ht="15" thickBot="1" x14ac:dyDescent="0.4">
      <c r="A18" s="5">
        <v>1017</v>
      </c>
      <c r="B18" s="5" t="s">
        <v>46</v>
      </c>
      <c r="C18" s="5" t="s">
        <v>38</v>
      </c>
      <c r="D18" s="5" t="s">
        <v>13</v>
      </c>
      <c r="E18" s="5" t="s">
        <v>36</v>
      </c>
      <c r="F18" s="5">
        <v>8</v>
      </c>
      <c r="G18" s="5">
        <v>179</v>
      </c>
      <c r="H18" s="5">
        <v>15</v>
      </c>
      <c r="I18" s="6">
        <v>46082</v>
      </c>
      <c r="J18" s="6">
        <v>46084</v>
      </c>
      <c r="K18" s="5" t="s">
        <v>15</v>
      </c>
    </row>
    <row r="19" spans="1:11" ht="15" thickBot="1" x14ac:dyDescent="0.4">
      <c r="A19" s="5">
        <v>1018</v>
      </c>
      <c r="B19" s="5" t="s">
        <v>47</v>
      </c>
      <c r="C19" s="5" t="s">
        <v>25</v>
      </c>
      <c r="D19" s="5" t="s">
        <v>13</v>
      </c>
      <c r="E19" s="5" t="s">
        <v>14</v>
      </c>
      <c r="F19" s="5">
        <v>20</v>
      </c>
      <c r="G19" s="5">
        <v>301</v>
      </c>
      <c r="H19" s="5">
        <v>0</v>
      </c>
      <c r="I19" s="6">
        <v>46089</v>
      </c>
      <c r="J19" s="6">
        <v>46094</v>
      </c>
      <c r="K19" s="5" t="s">
        <v>29</v>
      </c>
    </row>
    <row r="20" spans="1:11" ht="15" thickBot="1" x14ac:dyDescent="0.4">
      <c r="A20" s="5">
        <v>1019</v>
      </c>
      <c r="B20" s="5" t="s">
        <v>11</v>
      </c>
      <c r="C20" s="5" t="s">
        <v>43</v>
      </c>
      <c r="D20" s="5" t="s">
        <v>34</v>
      </c>
      <c r="E20" s="5" t="s">
        <v>41</v>
      </c>
      <c r="F20" s="5">
        <v>18</v>
      </c>
      <c r="G20" s="5">
        <v>45652</v>
      </c>
      <c r="H20" s="5">
        <v>10</v>
      </c>
      <c r="I20" s="6">
        <v>46023</v>
      </c>
      <c r="J20" s="6">
        <v>46030</v>
      </c>
      <c r="K20" s="5" t="s">
        <v>20</v>
      </c>
    </row>
    <row r="21" spans="1:11" ht="15" thickBot="1" x14ac:dyDescent="0.4">
      <c r="A21" s="5">
        <v>1020</v>
      </c>
      <c r="B21" s="5" t="s">
        <v>46</v>
      </c>
      <c r="C21" s="5" t="s">
        <v>12</v>
      </c>
      <c r="D21" s="5" t="s">
        <v>18</v>
      </c>
      <c r="E21" s="5" t="s">
        <v>19</v>
      </c>
      <c r="F21" s="5">
        <v>5</v>
      </c>
      <c r="G21" s="5">
        <v>4582</v>
      </c>
      <c r="H21" s="5">
        <v>5</v>
      </c>
      <c r="I21" s="6">
        <v>46078</v>
      </c>
      <c r="J21" s="6">
        <v>46083</v>
      </c>
      <c r="K21" s="5" t="s">
        <v>15</v>
      </c>
    </row>
    <row r="22" spans="1:11" ht="15" thickBot="1" x14ac:dyDescent="0.4">
      <c r="A22" s="5">
        <v>1021</v>
      </c>
      <c r="B22" s="5" t="s">
        <v>48</v>
      </c>
      <c r="C22" s="5" t="s">
        <v>43</v>
      </c>
      <c r="D22" s="5" t="s">
        <v>13</v>
      </c>
      <c r="E22" s="5" t="s">
        <v>14</v>
      </c>
      <c r="F22" s="5">
        <v>3</v>
      </c>
      <c r="G22" s="5">
        <v>484</v>
      </c>
      <c r="H22" s="5">
        <v>2</v>
      </c>
      <c r="I22" s="6">
        <v>46144</v>
      </c>
      <c r="J22" s="6">
        <v>46148</v>
      </c>
      <c r="K22" s="5" t="s">
        <v>24</v>
      </c>
    </row>
    <row r="23" spans="1:11" ht="15" thickBot="1" x14ac:dyDescent="0.4">
      <c r="A23" s="5">
        <v>1022</v>
      </c>
      <c r="B23" s="5" t="s">
        <v>26</v>
      </c>
      <c r="C23" s="5" t="s">
        <v>17</v>
      </c>
      <c r="D23" s="5" t="s">
        <v>34</v>
      </c>
      <c r="E23" s="5" t="s">
        <v>45</v>
      </c>
      <c r="F23" s="5">
        <v>15</v>
      </c>
      <c r="G23" s="5">
        <v>11596</v>
      </c>
      <c r="H23" s="5">
        <v>0</v>
      </c>
      <c r="I23" s="6">
        <v>46117</v>
      </c>
      <c r="J23" s="6">
        <v>46121</v>
      </c>
      <c r="K23" s="5" t="s">
        <v>29</v>
      </c>
    </row>
    <row r="24" spans="1:11" ht="15" thickBot="1" x14ac:dyDescent="0.4">
      <c r="A24" s="5">
        <v>1023</v>
      </c>
      <c r="B24" s="5" t="s">
        <v>40</v>
      </c>
      <c r="C24" s="5" t="s">
        <v>12</v>
      </c>
      <c r="D24" s="5" t="s">
        <v>18</v>
      </c>
      <c r="E24" s="5" t="s">
        <v>44</v>
      </c>
      <c r="F24" s="5">
        <v>15</v>
      </c>
      <c r="G24" s="5">
        <v>3506</v>
      </c>
      <c r="H24" s="5">
        <v>2</v>
      </c>
      <c r="I24" s="6">
        <v>46193</v>
      </c>
      <c r="J24" s="6">
        <v>46194</v>
      </c>
      <c r="K24" s="5" t="s">
        <v>29</v>
      </c>
    </row>
    <row r="25" spans="1:11" ht="15" thickBot="1" x14ac:dyDescent="0.4">
      <c r="A25" s="5">
        <v>1024</v>
      </c>
      <c r="B25" s="5" t="s">
        <v>32</v>
      </c>
      <c r="C25" s="5" t="s">
        <v>38</v>
      </c>
      <c r="D25" s="5" t="s">
        <v>34</v>
      </c>
      <c r="E25" s="5" t="s">
        <v>41</v>
      </c>
      <c r="F25" s="5">
        <v>12</v>
      </c>
      <c r="G25" s="5">
        <v>1682</v>
      </c>
      <c r="H25" s="5">
        <v>5</v>
      </c>
      <c r="I25" s="6">
        <v>46161</v>
      </c>
      <c r="J25" s="6">
        <v>46165</v>
      </c>
      <c r="K25" s="5" t="s">
        <v>15</v>
      </c>
    </row>
    <row r="26" spans="1:11" ht="15" thickBot="1" x14ac:dyDescent="0.4">
      <c r="A26" s="5">
        <v>1025</v>
      </c>
      <c r="B26" s="5" t="s">
        <v>21</v>
      </c>
      <c r="C26" s="5" t="s">
        <v>12</v>
      </c>
      <c r="D26" s="5" t="s">
        <v>18</v>
      </c>
      <c r="E26" s="5" t="s">
        <v>19</v>
      </c>
      <c r="F26" s="5">
        <v>18</v>
      </c>
      <c r="G26" s="5">
        <v>7924</v>
      </c>
      <c r="H26" s="5">
        <v>0</v>
      </c>
      <c r="I26" s="6">
        <v>46175</v>
      </c>
      <c r="J26" s="6">
        <v>46181</v>
      </c>
      <c r="K26" s="5" t="s">
        <v>15</v>
      </c>
    </row>
    <row r="27" spans="1:11" ht="15" thickBot="1" x14ac:dyDescent="0.4">
      <c r="A27" s="5">
        <v>1026</v>
      </c>
      <c r="B27" s="5" t="s">
        <v>49</v>
      </c>
      <c r="C27" s="5" t="s">
        <v>31</v>
      </c>
      <c r="D27" s="5" t="s">
        <v>13</v>
      </c>
      <c r="E27" s="5" t="s">
        <v>50</v>
      </c>
      <c r="F27" s="5">
        <v>17</v>
      </c>
      <c r="G27" s="5">
        <v>323</v>
      </c>
      <c r="H27" s="5">
        <v>10</v>
      </c>
      <c r="I27" s="6">
        <v>46039</v>
      </c>
      <c r="J27" s="6">
        <v>46040</v>
      </c>
      <c r="K27" s="5" t="s">
        <v>29</v>
      </c>
    </row>
    <row r="28" spans="1:11" ht="15" thickBot="1" x14ac:dyDescent="0.4">
      <c r="A28" s="5">
        <v>1027</v>
      </c>
      <c r="B28" s="5" t="s">
        <v>29</v>
      </c>
      <c r="C28" s="5" t="s">
        <v>43</v>
      </c>
      <c r="D28" s="5" t="s">
        <v>13</v>
      </c>
      <c r="E28" s="5" t="s">
        <v>50</v>
      </c>
      <c r="F28" s="5">
        <v>4</v>
      </c>
      <c r="G28" s="5">
        <v>264</v>
      </c>
      <c r="H28" s="5">
        <v>0</v>
      </c>
      <c r="I28" s="6">
        <v>46155</v>
      </c>
      <c r="J28" s="6">
        <v>46161</v>
      </c>
      <c r="K28" s="5" t="s">
        <v>51</v>
      </c>
    </row>
    <row r="29" spans="1:11" ht="15" thickBot="1" x14ac:dyDescent="0.4">
      <c r="A29" s="5">
        <v>1028</v>
      </c>
      <c r="B29" s="5" t="s">
        <v>47</v>
      </c>
      <c r="C29" s="5" t="s">
        <v>22</v>
      </c>
      <c r="D29" s="5" t="s">
        <v>13</v>
      </c>
      <c r="E29" s="5" t="s">
        <v>36</v>
      </c>
      <c r="F29" s="5">
        <v>13</v>
      </c>
      <c r="G29" s="5">
        <v>433</v>
      </c>
      <c r="H29" s="5">
        <v>2</v>
      </c>
      <c r="I29" s="6">
        <v>46116</v>
      </c>
      <c r="J29" s="6">
        <v>46121</v>
      </c>
      <c r="K29" s="5" t="s">
        <v>24</v>
      </c>
    </row>
    <row r="30" spans="1:11" ht="15" thickBot="1" x14ac:dyDescent="0.4">
      <c r="A30" s="5">
        <v>1029</v>
      </c>
      <c r="B30" s="5" t="s">
        <v>30</v>
      </c>
      <c r="C30" s="5" t="s">
        <v>25</v>
      </c>
      <c r="D30" s="5" t="s">
        <v>13</v>
      </c>
      <c r="E30" s="5" t="s">
        <v>36</v>
      </c>
      <c r="F30" s="5">
        <v>18</v>
      </c>
      <c r="G30" s="5">
        <v>443</v>
      </c>
      <c r="H30" s="5">
        <v>5</v>
      </c>
      <c r="I30" s="6">
        <v>46046</v>
      </c>
      <c r="J30" s="6">
        <v>46054</v>
      </c>
      <c r="K30" s="5" t="s">
        <v>24</v>
      </c>
    </row>
    <row r="31" spans="1:11" ht="15" thickBot="1" x14ac:dyDescent="0.4">
      <c r="A31" s="5">
        <v>1030</v>
      </c>
      <c r="B31" s="5" t="s">
        <v>52</v>
      </c>
      <c r="C31" s="5" t="s">
        <v>12</v>
      </c>
      <c r="D31" s="5" t="s">
        <v>13</v>
      </c>
      <c r="E31" s="5" t="s">
        <v>53</v>
      </c>
      <c r="F31" s="5">
        <v>13</v>
      </c>
      <c r="G31" s="5">
        <v>336</v>
      </c>
      <c r="H31" s="5">
        <v>10</v>
      </c>
      <c r="I31" s="6">
        <v>46098</v>
      </c>
      <c r="J31" s="6">
        <v>46108</v>
      </c>
      <c r="K31" s="5" t="s">
        <v>15</v>
      </c>
    </row>
    <row r="32" spans="1:11" ht="15" thickBot="1" x14ac:dyDescent="0.4">
      <c r="A32" s="5">
        <v>1031</v>
      </c>
      <c r="B32" s="5" t="s">
        <v>54</v>
      </c>
      <c r="C32" s="5" t="s">
        <v>31</v>
      </c>
      <c r="D32" s="5" t="s">
        <v>13</v>
      </c>
      <c r="E32" s="5" t="s">
        <v>53</v>
      </c>
      <c r="F32" s="5">
        <v>2</v>
      </c>
      <c r="G32" s="5">
        <v>184</v>
      </c>
      <c r="H32" s="5">
        <v>5</v>
      </c>
      <c r="I32" s="6">
        <v>46089</v>
      </c>
      <c r="J32" s="6">
        <v>46093</v>
      </c>
      <c r="K32" s="5" t="s">
        <v>20</v>
      </c>
    </row>
    <row r="33" spans="1:11" ht="15" thickBot="1" x14ac:dyDescent="0.4">
      <c r="A33" s="5">
        <v>1032</v>
      </c>
      <c r="B33" s="5" t="s">
        <v>54</v>
      </c>
      <c r="C33" s="5" t="s">
        <v>43</v>
      </c>
      <c r="D33" s="5" t="s">
        <v>34</v>
      </c>
      <c r="E33" s="5" t="s">
        <v>39</v>
      </c>
      <c r="F33" s="5">
        <v>20</v>
      </c>
      <c r="G33" s="5">
        <v>11305</v>
      </c>
      <c r="H33" s="5">
        <v>2</v>
      </c>
      <c r="I33" s="6">
        <v>46163</v>
      </c>
      <c r="J33" s="6">
        <v>46165</v>
      </c>
      <c r="K33" s="5" t="s">
        <v>29</v>
      </c>
    </row>
    <row r="34" spans="1:11" ht="15" thickBot="1" x14ac:dyDescent="0.4">
      <c r="A34" s="5">
        <v>1033</v>
      </c>
      <c r="B34" s="5" t="s">
        <v>11</v>
      </c>
      <c r="C34" s="5" t="s">
        <v>43</v>
      </c>
      <c r="D34" s="5" t="s">
        <v>18</v>
      </c>
      <c r="E34" s="5" t="s">
        <v>19</v>
      </c>
      <c r="F34" s="5">
        <v>9</v>
      </c>
      <c r="G34" s="5">
        <v>4895</v>
      </c>
      <c r="H34" s="5">
        <v>2</v>
      </c>
      <c r="I34" s="6">
        <v>46082</v>
      </c>
      <c r="J34" s="6">
        <v>46084</v>
      </c>
      <c r="K34" s="5" t="s">
        <v>29</v>
      </c>
    </row>
    <row r="35" spans="1:11" ht="15" thickBot="1" x14ac:dyDescent="0.4">
      <c r="A35" s="5">
        <v>1034</v>
      </c>
      <c r="B35" s="5" t="s">
        <v>55</v>
      </c>
      <c r="C35" s="5" t="s">
        <v>33</v>
      </c>
      <c r="D35" s="5" t="s">
        <v>18</v>
      </c>
      <c r="E35" s="5" t="s">
        <v>28</v>
      </c>
      <c r="F35" s="5">
        <v>17</v>
      </c>
      <c r="G35" s="5">
        <v>5104</v>
      </c>
      <c r="H35" s="5">
        <v>12</v>
      </c>
      <c r="I35" s="6">
        <v>46052</v>
      </c>
      <c r="J35" s="6">
        <v>46061</v>
      </c>
      <c r="K35" s="5" t="s">
        <v>51</v>
      </c>
    </row>
    <row r="36" spans="1:11" ht="15" thickBot="1" x14ac:dyDescent="0.4">
      <c r="A36" s="5">
        <v>1035</v>
      </c>
      <c r="B36" s="5" t="s">
        <v>49</v>
      </c>
      <c r="C36" s="5" t="s">
        <v>43</v>
      </c>
      <c r="D36" s="5" t="s">
        <v>18</v>
      </c>
      <c r="E36" s="5" t="s">
        <v>56</v>
      </c>
      <c r="F36" s="5">
        <v>3</v>
      </c>
      <c r="G36" s="5">
        <v>9149</v>
      </c>
      <c r="H36" s="5">
        <v>0</v>
      </c>
      <c r="I36" s="6">
        <v>46031</v>
      </c>
      <c r="J36" s="6">
        <v>46034</v>
      </c>
      <c r="K36" s="5" t="s">
        <v>24</v>
      </c>
    </row>
    <row r="37" spans="1:11" ht="15" thickBot="1" x14ac:dyDescent="0.4">
      <c r="A37" s="5">
        <v>1036</v>
      </c>
      <c r="B37" s="5" t="s">
        <v>11</v>
      </c>
      <c r="C37" s="5" t="s">
        <v>25</v>
      </c>
      <c r="D37" s="5" t="s">
        <v>13</v>
      </c>
      <c r="E37" s="5" t="s">
        <v>36</v>
      </c>
      <c r="F37" s="5">
        <v>20</v>
      </c>
      <c r="G37" s="5">
        <v>161</v>
      </c>
      <c r="H37" s="5">
        <v>7</v>
      </c>
      <c r="I37" s="6">
        <v>46071</v>
      </c>
      <c r="J37" s="6">
        <v>46077</v>
      </c>
      <c r="K37" s="5" t="s">
        <v>24</v>
      </c>
    </row>
    <row r="38" spans="1:11" ht="15" thickBot="1" x14ac:dyDescent="0.4">
      <c r="A38" s="5">
        <v>1037</v>
      </c>
      <c r="B38" s="5" t="s">
        <v>46</v>
      </c>
      <c r="C38" s="5" t="s">
        <v>43</v>
      </c>
      <c r="D38" s="5" t="s">
        <v>18</v>
      </c>
      <c r="E38" s="5" t="s">
        <v>56</v>
      </c>
      <c r="F38" s="5">
        <v>6</v>
      </c>
      <c r="G38" s="5">
        <v>14385</v>
      </c>
      <c r="H38" s="5">
        <v>12</v>
      </c>
      <c r="I38" s="6">
        <v>46033</v>
      </c>
      <c r="J38" s="6">
        <v>46043</v>
      </c>
      <c r="K38" s="5" t="s">
        <v>24</v>
      </c>
    </row>
    <row r="39" spans="1:11" ht="15" thickBot="1" x14ac:dyDescent="0.4">
      <c r="A39" s="5">
        <v>1038</v>
      </c>
      <c r="B39" s="5" t="s">
        <v>55</v>
      </c>
      <c r="C39" s="5" t="s">
        <v>17</v>
      </c>
      <c r="D39" s="5" t="s">
        <v>13</v>
      </c>
      <c r="E39" s="5" t="s">
        <v>36</v>
      </c>
      <c r="F39" s="5">
        <v>17</v>
      </c>
      <c r="G39" s="5">
        <v>223</v>
      </c>
      <c r="H39" s="5">
        <v>7</v>
      </c>
      <c r="I39" s="6">
        <v>46030</v>
      </c>
      <c r="J39" s="6">
        <v>46031</v>
      </c>
      <c r="K39" s="5" t="s">
        <v>51</v>
      </c>
    </row>
    <row r="40" spans="1:11" ht="15" thickBot="1" x14ac:dyDescent="0.4">
      <c r="A40" s="5">
        <v>1039</v>
      </c>
      <c r="B40" s="5" t="s">
        <v>48</v>
      </c>
      <c r="C40" s="5" t="s">
        <v>38</v>
      </c>
      <c r="D40" s="5" t="s">
        <v>34</v>
      </c>
      <c r="E40" s="5" t="s">
        <v>45</v>
      </c>
      <c r="F40" s="5">
        <v>5</v>
      </c>
      <c r="G40" s="5">
        <v>60236</v>
      </c>
      <c r="H40" s="5">
        <v>10</v>
      </c>
      <c r="I40" s="6">
        <v>46107</v>
      </c>
      <c r="J40" s="6">
        <v>46110</v>
      </c>
      <c r="K40" s="5" t="s">
        <v>20</v>
      </c>
    </row>
    <row r="41" spans="1:11" ht="15" thickBot="1" x14ac:dyDescent="0.4">
      <c r="A41" s="5">
        <v>1040</v>
      </c>
      <c r="B41" s="5" t="s">
        <v>49</v>
      </c>
      <c r="C41" s="5" t="s">
        <v>38</v>
      </c>
      <c r="D41" s="5" t="s">
        <v>18</v>
      </c>
      <c r="E41" s="5" t="s">
        <v>28</v>
      </c>
      <c r="F41" s="5">
        <v>10</v>
      </c>
      <c r="G41" s="5">
        <v>7531</v>
      </c>
      <c r="H41" s="5">
        <v>2</v>
      </c>
      <c r="I41" s="6">
        <v>46171</v>
      </c>
      <c r="J41" s="6">
        <v>46178</v>
      </c>
      <c r="K41" s="5" t="s">
        <v>24</v>
      </c>
    </row>
    <row r="42" spans="1:11" ht="15" thickBot="1" x14ac:dyDescent="0.4">
      <c r="A42" s="5">
        <v>1041</v>
      </c>
      <c r="B42" s="5" t="s">
        <v>54</v>
      </c>
      <c r="C42" s="5" t="s">
        <v>38</v>
      </c>
      <c r="D42" s="5" t="s">
        <v>13</v>
      </c>
      <c r="E42" s="5" t="s">
        <v>50</v>
      </c>
      <c r="F42" s="5">
        <v>9</v>
      </c>
      <c r="G42" s="5">
        <v>71</v>
      </c>
      <c r="H42" s="5">
        <v>7</v>
      </c>
      <c r="I42" s="6">
        <v>46185</v>
      </c>
      <c r="J42" s="6">
        <v>46188</v>
      </c>
      <c r="K42" s="5" t="s">
        <v>15</v>
      </c>
    </row>
    <row r="43" spans="1:11" ht="15" thickBot="1" x14ac:dyDescent="0.4">
      <c r="A43" s="5">
        <v>1042</v>
      </c>
      <c r="B43" s="5" t="s">
        <v>46</v>
      </c>
      <c r="C43" s="5" t="s">
        <v>33</v>
      </c>
      <c r="D43" s="5" t="s">
        <v>13</v>
      </c>
      <c r="E43" s="5" t="s">
        <v>53</v>
      </c>
      <c r="F43" s="5">
        <v>16</v>
      </c>
      <c r="G43" s="5">
        <v>232</v>
      </c>
      <c r="H43" s="5">
        <v>0</v>
      </c>
      <c r="I43" s="6">
        <v>46081</v>
      </c>
      <c r="J43" s="6">
        <v>46088</v>
      </c>
      <c r="K43" s="5" t="s">
        <v>29</v>
      </c>
    </row>
    <row r="44" spans="1:11" ht="15" thickBot="1" x14ac:dyDescent="0.4">
      <c r="A44" s="5">
        <v>1043</v>
      </c>
      <c r="B44" s="5" t="s">
        <v>49</v>
      </c>
      <c r="C44" s="5" t="s">
        <v>38</v>
      </c>
      <c r="D44" s="5" t="s">
        <v>34</v>
      </c>
      <c r="E44" s="5" t="s">
        <v>35</v>
      </c>
      <c r="F44" s="5">
        <v>20</v>
      </c>
      <c r="G44" s="5">
        <v>46093</v>
      </c>
      <c r="H44" s="5">
        <v>5</v>
      </c>
      <c r="I44" s="6">
        <v>46091</v>
      </c>
      <c r="J44" s="6">
        <v>46098</v>
      </c>
      <c r="K44" s="5" t="s">
        <v>29</v>
      </c>
    </row>
    <row r="45" spans="1:11" ht="15" thickBot="1" x14ac:dyDescent="0.4">
      <c r="A45" s="5">
        <v>1044</v>
      </c>
      <c r="B45" s="5" t="s">
        <v>48</v>
      </c>
      <c r="C45" s="5" t="s">
        <v>38</v>
      </c>
      <c r="D45" s="5" t="s">
        <v>18</v>
      </c>
      <c r="E45" s="5" t="s">
        <v>19</v>
      </c>
      <c r="F45" s="5">
        <v>4</v>
      </c>
      <c r="G45" s="5">
        <v>14731</v>
      </c>
      <c r="H45" s="5">
        <v>2</v>
      </c>
      <c r="I45" s="6">
        <v>46173</v>
      </c>
      <c r="J45" s="6">
        <v>46176</v>
      </c>
      <c r="K45" s="5" t="s">
        <v>20</v>
      </c>
    </row>
    <row r="46" spans="1:11" ht="15" thickBot="1" x14ac:dyDescent="0.4">
      <c r="A46" s="5">
        <v>1045</v>
      </c>
      <c r="B46" s="5" t="s">
        <v>32</v>
      </c>
      <c r="C46" s="5" t="s">
        <v>38</v>
      </c>
      <c r="D46" s="5" t="s">
        <v>34</v>
      </c>
      <c r="E46" s="5" t="s">
        <v>35</v>
      </c>
      <c r="F46" s="5">
        <v>3</v>
      </c>
      <c r="G46" s="5">
        <v>62762</v>
      </c>
      <c r="H46" s="5">
        <v>7</v>
      </c>
      <c r="I46" s="6">
        <v>46038</v>
      </c>
      <c r="J46" s="6">
        <v>46039</v>
      </c>
      <c r="K46" s="5" t="s">
        <v>29</v>
      </c>
    </row>
    <row r="47" spans="1:11" ht="15" thickBot="1" x14ac:dyDescent="0.4">
      <c r="A47" s="5">
        <v>1046</v>
      </c>
      <c r="B47" s="5" t="s">
        <v>57</v>
      </c>
      <c r="C47" s="5" t="s">
        <v>38</v>
      </c>
      <c r="D47" s="5" t="s">
        <v>34</v>
      </c>
      <c r="E47" s="5" t="s">
        <v>45</v>
      </c>
      <c r="F47" s="5">
        <v>3</v>
      </c>
      <c r="G47" s="5">
        <v>19443</v>
      </c>
      <c r="H47" s="5">
        <v>10</v>
      </c>
      <c r="I47" s="6">
        <v>46153</v>
      </c>
      <c r="J47" s="6">
        <v>46158</v>
      </c>
      <c r="K47" s="5" t="s">
        <v>29</v>
      </c>
    </row>
    <row r="48" spans="1:11" ht="15" thickBot="1" x14ac:dyDescent="0.4">
      <c r="A48" s="5">
        <v>1047</v>
      </c>
      <c r="B48" s="5" t="s">
        <v>58</v>
      </c>
      <c r="C48" s="5" t="s">
        <v>38</v>
      </c>
      <c r="D48" s="5" t="s">
        <v>18</v>
      </c>
      <c r="E48" s="5" t="s">
        <v>56</v>
      </c>
      <c r="F48" s="5">
        <v>11</v>
      </c>
      <c r="G48" s="5">
        <v>9976</v>
      </c>
      <c r="H48" s="5">
        <v>12</v>
      </c>
      <c r="I48" s="6">
        <v>46200</v>
      </c>
      <c r="J48" s="6">
        <v>46209</v>
      </c>
      <c r="K48" s="5" t="s">
        <v>15</v>
      </c>
    </row>
    <row r="49" spans="1:11" ht="15" thickBot="1" x14ac:dyDescent="0.4">
      <c r="A49" s="5">
        <v>1048</v>
      </c>
      <c r="B49" s="5" t="s">
        <v>59</v>
      </c>
      <c r="C49" s="5" t="s">
        <v>25</v>
      </c>
      <c r="D49" s="5" t="s">
        <v>34</v>
      </c>
      <c r="E49" s="5" t="s">
        <v>60</v>
      </c>
      <c r="F49" s="5">
        <v>14</v>
      </c>
      <c r="G49" s="5">
        <v>11762</v>
      </c>
      <c r="H49" s="5">
        <v>7</v>
      </c>
      <c r="I49" s="6">
        <v>46180</v>
      </c>
      <c r="J49" s="6">
        <v>46186</v>
      </c>
      <c r="K49" s="5" t="s">
        <v>24</v>
      </c>
    </row>
    <row r="50" spans="1:11" ht="15" thickBot="1" x14ac:dyDescent="0.4">
      <c r="A50" s="5">
        <v>1049</v>
      </c>
      <c r="B50" s="5" t="s">
        <v>52</v>
      </c>
      <c r="C50" s="5" t="s">
        <v>25</v>
      </c>
      <c r="D50" s="5" t="s">
        <v>34</v>
      </c>
      <c r="E50" s="5" t="s">
        <v>45</v>
      </c>
      <c r="F50" s="5">
        <v>2</v>
      </c>
      <c r="G50" s="5">
        <v>40789</v>
      </c>
      <c r="H50" s="5">
        <v>0</v>
      </c>
      <c r="I50" s="6">
        <v>46102</v>
      </c>
      <c r="J50" s="6">
        <v>46108</v>
      </c>
      <c r="K50" s="5" t="s">
        <v>24</v>
      </c>
    </row>
    <row r="51" spans="1:11" ht="15" thickBot="1" x14ac:dyDescent="0.4">
      <c r="A51" s="5">
        <v>1050</v>
      </c>
      <c r="B51" s="5" t="s">
        <v>32</v>
      </c>
      <c r="C51" s="5" t="s">
        <v>25</v>
      </c>
      <c r="D51" s="5" t="s">
        <v>13</v>
      </c>
      <c r="E51" s="5" t="s">
        <v>53</v>
      </c>
      <c r="F51" s="5">
        <v>12</v>
      </c>
      <c r="G51" s="5">
        <v>360</v>
      </c>
      <c r="H51" s="5">
        <v>5</v>
      </c>
      <c r="I51" s="6">
        <v>46127</v>
      </c>
      <c r="J51" s="6">
        <v>46137</v>
      </c>
      <c r="K51" s="5" t="s">
        <v>29</v>
      </c>
    </row>
    <row r="52" spans="1:11" ht="15" thickBot="1" x14ac:dyDescent="0.4">
      <c r="A52" s="5">
        <v>1051</v>
      </c>
      <c r="B52" s="5" t="s">
        <v>58</v>
      </c>
      <c r="C52" s="5" t="s">
        <v>17</v>
      </c>
      <c r="D52" s="5" t="s">
        <v>13</v>
      </c>
      <c r="E52" s="5" t="s">
        <v>36</v>
      </c>
      <c r="F52" s="5">
        <v>12</v>
      </c>
      <c r="G52" s="5">
        <v>47</v>
      </c>
      <c r="H52" s="5">
        <v>2</v>
      </c>
      <c r="I52" s="6">
        <v>46037</v>
      </c>
      <c r="J52" s="6">
        <v>46045</v>
      </c>
      <c r="K52" s="5" t="s">
        <v>15</v>
      </c>
    </row>
    <row r="53" spans="1:11" ht="15" thickBot="1" x14ac:dyDescent="0.4">
      <c r="A53" s="5">
        <v>1052</v>
      </c>
      <c r="B53" s="5" t="s">
        <v>55</v>
      </c>
      <c r="C53" s="5" t="s">
        <v>12</v>
      </c>
      <c r="D53" s="5" t="s">
        <v>13</v>
      </c>
      <c r="E53" s="5" t="s">
        <v>14</v>
      </c>
      <c r="F53" s="5">
        <v>17</v>
      </c>
      <c r="G53" s="5">
        <v>172</v>
      </c>
      <c r="H53" s="5">
        <v>10</v>
      </c>
      <c r="I53" s="6">
        <v>46159</v>
      </c>
      <c r="J53" s="6">
        <v>46165</v>
      </c>
      <c r="K53" s="5" t="s">
        <v>20</v>
      </c>
    </row>
    <row r="54" spans="1:11" ht="15" thickBot="1" x14ac:dyDescent="0.4">
      <c r="A54" s="5">
        <v>1053</v>
      </c>
      <c r="B54" s="5" t="s">
        <v>16</v>
      </c>
      <c r="C54" s="5" t="s">
        <v>33</v>
      </c>
      <c r="D54" s="5" t="s">
        <v>18</v>
      </c>
      <c r="E54" s="5" t="s">
        <v>28</v>
      </c>
      <c r="F54" s="5">
        <v>1</v>
      </c>
      <c r="G54" s="5">
        <v>9749</v>
      </c>
      <c r="H54" s="5">
        <v>15</v>
      </c>
      <c r="I54" s="6">
        <v>46064</v>
      </c>
      <c r="J54" s="6">
        <v>46070</v>
      </c>
      <c r="K54" s="5" t="s">
        <v>24</v>
      </c>
    </row>
    <row r="55" spans="1:11" ht="15" thickBot="1" x14ac:dyDescent="0.4">
      <c r="A55" s="5">
        <v>1054</v>
      </c>
      <c r="B55" s="5" t="s">
        <v>26</v>
      </c>
      <c r="C55" s="5" t="s">
        <v>25</v>
      </c>
      <c r="D55" s="5" t="s">
        <v>18</v>
      </c>
      <c r="E55" s="5" t="s">
        <v>23</v>
      </c>
      <c r="F55" s="5">
        <v>8</v>
      </c>
      <c r="G55" s="5">
        <v>9798</v>
      </c>
      <c r="H55" s="5">
        <v>12</v>
      </c>
      <c r="I55" s="6">
        <v>46200</v>
      </c>
      <c r="J55" s="6">
        <v>46201</v>
      </c>
      <c r="K55" s="5" t="s">
        <v>51</v>
      </c>
    </row>
    <row r="56" spans="1:11" ht="15" thickBot="1" x14ac:dyDescent="0.4">
      <c r="A56" s="5">
        <v>1055</v>
      </c>
      <c r="B56" s="5" t="s">
        <v>48</v>
      </c>
      <c r="C56" s="5" t="s">
        <v>12</v>
      </c>
      <c r="D56" s="5" t="s">
        <v>13</v>
      </c>
      <c r="E56" s="5" t="s">
        <v>37</v>
      </c>
      <c r="F56" s="5">
        <v>18</v>
      </c>
      <c r="G56" s="5">
        <v>185</v>
      </c>
      <c r="H56" s="5">
        <v>15</v>
      </c>
      <c r="I56" s="6">
        <v>46077</v>
      </c>
      <c r="J56" s="6">
        <v>46078</v>
      </c>
      <c r="K56" s="5" t="s">
        <v>15</v>
      </c>
    </row>
    <row r="57" spans="1:11" ht="15" thickBot="1" x14ac:dyDescent="0.4">
      <c r="A57" s="5">
        <v>1056</v>
      </c>
      <c r="B57" s="5" t="s">
        <v>11</v>
      </c>
      <c r="C57" s="5" t="s">
        <v>22</v>
      </c>
      <c r="D57" s="5" t="s">
        <v>18</v>
      </c>
      <c r="E57" s="5" t="s">
        <v>19</v>
      </c>
      <c r="F57" s="5">
        <v>3</v>
      </c>
      <c r="G57" s="5">
        <v>9771</v>
      </c>
      <c r="H57" s="5">
        <v>5</v>
      </c>
      <c r="I57" s="6">
        <v>46133</v>
      </c>
      <c r="J57" s="6">
        <v>46139</v>
      </c>
      <c r="K57" s="5" t="s">
        <v>24</v>
      </c>
    </row>
    <row r="58" spans="1:11" ht="15" thickBot="1" x14ac:dyDescent="0.4">
      <c r="A58" s="5">
        <v>1057</v>
      </c>
      <c r="B58" s="5" t="s">
        <v>59</v>
      </c>
      <c r="C58" s="5" t="s">
        <v>22</v>
      </c>
      <c r="D58" s="5" t="s">
        <v>18</v>
      </c>
      <c r="E58" s="5" t="s">
        <v>28</v>
      </c>
      <c r="F58" s="5">
        <v>2</v>
      </c>
      <c r="G58" s="5">
        <v>9531</v>
      </c>
      <c r="H58" s="5">
        <v>15</v>
      </c>
      <c r="I58" s="6">
        <v>46067</v>
      </c>
      <c r="J58" s="6">
        <v>46076</v>
      </c>
      <c r="K58" s="5" t="s">
        <v>51</v>
      </c>
    </row>
    <row r="59" spans="1:11" ht="15" thickBot="1" x14ac:dyDescent="0.4">
      <c r="A59" s="5">
        <v>1058</v>
      </c>
      <c r="B59" s="5" t="s">
        <v>52</v>
      </c>
      <c r="C59" s="5" t="s">
        <v>38</v>
      </c>
      <c r="D59" s="5" t="s">
        <v>18</v>
      </c>
      <c r="E59" s="5" t="s">
        <v>28</v>
      </c>
      <c r="F59" s="5">
        <v>10</v>
      </c>
      <c r="G59" s="5">
        <v>5532</v>
      </c>
      <c r="H59" s="5">
        <v>7</v>
      </c>
      <c r="I59" s="6">
        <v>46074</v>
      </c>
      <c r="J59" s="6">
        <v>46084</v>
      </c>
      <c r="K59" s="5" t="s">
        <v>24</v>
      </c>
    </row>
    <row r="60" spans="1:11" ht="15" thickBot="1" x14ac:dyDescent="0.4">
      <c r="A60" s="5">
        <v>1059</v>
      </c>
      <c r="B60" s="5" t="s">
        <v>54</v>
      </c>
      <c r="C60" s="5" t="s">
        <v>25</v>
      </c>
      <c r="D60" s="5" t="s">
        <v>13</v>
      </c>
      <c r="E60" s="5" t="s">
        <v>50</v>
      </c>
      <c r="F60" s="5">
        <v>20</v>
      </c>
      <c r="G60" s="5">
        <v>112</v>
      </c>
      <c r="H60" s="5">
        <v>10</v>
      </c>
      <c r="I60" s="6">
        <v>46113</v>
      </c>
      <c r="J60" s="6">
        <v>46122</v>
      </c>
      <c r="K60" s="5" t="s">
        <v>51</v>
      </c>
    </row>
    <row r="61" spans="1:11" ht="15" thickBot="1" x14ac:dyDescent="0.4">
      <c r="A61" s="5">
        <v>1060</v>
      </c>
      <c r="B61" s="5" t="s">
        <v>49</v>
      </c>
      <c r="C61" s="5" t="s">
        <v>12</v>
      </c>
      <c r="D61" s="5" t="s">
        <v>18</v>
      </c>
      <c r="E61" s="5" t="s">
        <v>44</v>
      </c>
      <c r="F61" s="5">
        <v>9</v>
      </c>
      <c r="G61" s="5">
        <v>9727</v>
      </c>
      <c r="H61" s="5">
        <v>2</v>
      </c>
      <c r="I61" s="6">
        <v>46024</v>
      </c>
      <c r="J61" s="6">
        <v>46030</v>
      </c>
      <c r="K61" s="5" t="s">
        <v>20</v>
      </c>
    </row>
    <row r="62" spans="1:11" ht="15" thickBot="1" x14ac:dyDescent="0.4">
      <c r="A62" s="5">
        <v>1061</v>
      </c>
      <c r="B62" s="5" t="s">
        <v>57</v>
      </c>
      <c r="C62" s="5" t="s">
        <v>12</v>
      </c>
      <c r="D62" s="5" t="s">
        <v>34</v>
      </c>
      <c r="E62" s="5" t="s">
        <v>41</v>
      </c>
      <c r="F62" s="5">
        <v>16</v>
      </c>
      <c r="G62" s="5">
        <v>59084</v>
      </c>
      <c r="H62" s="5">
        <v>0</v>
      </c>
      <c r="I62" s="6">
        <v>46060</v>
      </c>
      <c r="J62" s="6">
        <v>46069</v>
      </c>
      <c r="K62" s="5" t="s">
        <v>20</v>
      </c>
    </row>
    <row r="63" spans="1:11" ht="15" thickBot="1" x14ac:dyDescent="0.4">
      <c r="A63" s="5">
        <v>1062</v>
      </c>
      <c r="B63" s="5" t="s">
        <v>40</v>
      </c>
      <c r="C63" s="5" t="s">
        <v>43</v>
      </c>
      <c r="D63" s="5" t="s">
        <v>18</v>
      </c>
      <c r="E63" s="5" t="s">
        <v>23</v>
      </c>
      <c r="F63" s="5">
        <v>8</v>
      </c>
      <c r="G63" s="5">
        <v>8360</v>
      </c>
      <c r="H63" s="5">
        <v>2</v>
      </c>
      <c r="I63" s="6">
        <v>46190</v>
      </c>
      <c r="J63" s="6">
        <v>46200</v>
      </c>
      <c r="K63" s="5" t="s">
        <v>51</v>
      </c>
    </row>
    <row r="64" spans="1:11" ht="15" thickBot="1" x14ac:dyDescent="0.4">
      <c r="A64" s="5">
        <v>1063</v>
      </c>
      <c r="B64" s="5" t="s">
        <v>54</v>
      </c>
      <c r="C64" s="5" t="s">
        <v>22</v>
      </c>
      <c r="D64" s="5" t="s">
        <v>34</v>
      </c>
      <c r="E64" s="5" t="s">
        <v>45</v>
      </c>
      <c r="F64" s="5">
        <v>7</v>
      </c>
      <c r="G64" s="5">
        <v>66744</v>
      </c>
      <c r="H64" s="5">
        <v>7</v>
      </c>
      <c r="I64" s="6">
        <v>46148</v>
      </c>
      <c r="J64" s="6">
        <v>46155</v>
      </c>
      <c r="K64" s="5" t="s">
        <v>15</v>
      </c>
    </row>
    <row r="65" spans="1:11" ht="15" thickBot="1" x14ac:dyDescent="0.4">
      <c r="A65" s="5">
        <v>1064</v>
      </c>
      <c r="B65" s="5" t="s">
        <v>26</v>
      </c>
      <c r="C65" s="5" t="s">
        <v>17</v>
      </c>
      <c r="D65" s="5" t="s">
        <v>13</v>
      </c>
      <c r="E65" s="5" t="s">
        <v>50</v>
      </c>
      <c r="F65" s="5">
        <v>20</v>
      </c>
      <c r="G65" s="5">
        <v>191</v>
      </c>
      <c r="H65" s="5">
        <v>7</v>
      </c>
      <c r="I65" s="6">
        <v>46185</v>
      </c>
      <c r="J65" s="6">
        <v>46195</v>
      </c>
      <c r="K65" s="5" t="s">
        <v>29</v>
      </c>
    </row>
    <row r="66" spans="1:11" ht="15" thickBot="1" x14ac:dyDescent="0.4">
      <c r="A66" s="5">
        <v>1065</v>
      </c>
      <c r="B66" s="5" t="s">
        <v>42</v>
      </c>
      <c r="C66" s="5" t="s">
        <v>43</v>
      </c>
      <c r="D66" s="5" t="s">
        <v>18</v>
      </c>
      <c r="E66" s="5" t="s">
        <v>44</v>
      </c>
      <c r="F66" s="5">
        <v>1</v>
      </c>
      <c r="G66" s="5">
        <v>7730</v>
      </c>
      <c r="H66" s="5">
        <v>5</v>
      </c>
      <c r="I66" s="6">
        <v>46192</v>
      </c>
      <c r="J66" s="6">
        <v>46195</v>
      </c>
      <c r="K66" s="5" t="s">
        <v>51</v>
      </c>
    </row>
    <row r="67" spans="1:11" ht="15" thickBot="1" x14ac:dyDescent="0.4">
      <c r="A67" s="5">
        <v>1066</v>
      </c>
      <c r="B67" s="5" t="s">
        <v>47</v>
      </c>
      <c r="C67" s="5" t="s">
        <v>25</v>
      </c>
      <c r="D67" s="5" t="s">
        <v>18</v>
      </c>
      <c r="E67" s="5" t="s">
        <v>44</v>
      </c>
      <c r="F67" s="5">
        <v>15</v>
      </c>
      <c r="G67" s="5">
        <v>11987</v>
      </c>
      <c r="H67" s="5">
        <v>5</v>
      </c>
      <c r="I67" s="6">
        <v>46082</v>
      </c>
      <c r="J67" s="6">
        <v>46083</v>
      </c>
      <c r="K67" s="5" t="s">
        <v>15</v>
      </c>
    </row>
    <row r="68" spans="1:11" ht="15" thickBot="1" x14ac:dyDescent="0.4">
      <c r="A68" s="5">
        <v>1067</v>
      </c>
      <c r="B68" s="5" t="s">
        <v>32</v>
      </c>
      <c r="C68" s="5" t="s">
        <v>43</v>
      </c>
      <c r="D68" s="5" t="s">
        <v>18</v>
      </c>
      <c r="E68" s="5" t="s">
        <v>56</v>
      </c>
      <c r="F68" s="5">
        <v>14</v>
      </c>
      <c r="G68" s="5">
        <v>10869</v>
      </c>
      <c r="H68" s="5">
        <v>0</v>
      </c>
      <c r="I68" s="6">
        <v>46058</v>
      </c>
      <c r="J68" s="6">
        <v>46062</v>
      </c>
      <c r="K68" s="5" t="s">
        <v>29</v>
      </c>
    </row>
    <row r="69" spans="1:11" ht="15" thickBot="1" x14ac:dyDescent="0.4">
      <c r="A69" s="5">
        <v>1068</v>
      </c>
      <c r="B69" s="5" t="s">
        <v>52</v>
      </c>
      <c r="C69" s="5" t="s">
        <v>43</v>
      </c>
      <c r="D69" s="5" t="s">
        <v>34</v>
      </c>
      <c r="E69" s="5" t="s">
        <v>60</v>
      </c>
      <c r="F69" s="5">
        <v>15</v>
      </c>
      <c r="G69" s="5">
        <v>14534</v>
      </c>
      <c r="H69" s="5">
        <v>5</v>
      </c>
      <c r="I69" s="6">
        <v>46196</v>
      </c>
      <c r="J69" s="6">
        <v>46199</v>
      </c>
      <c r="K69" s="5" t="s">
        <v>29</v>
      </c>
    </row>
    <row r="70" spans="1:11" ht="15" thickBot="1" x14ac:dyDescent="0.4">
      <c r="A70" s="5">
        <v>1069</v>
      </c>
      <c r="B70" s="5" t="s">
        <v>52</v>
      </c>
      <c r="C70" s="5" t="s">
        <v>31</v>
      </c>
      <c r="D70" s="5" t="s">
        <v>18</v>
      </c>
      <c r="E70" s="5" t="s">
        <v>28</v>
      </c>
      <c r="F70" s="5">
        <v>9</v>
      </c>
      <c r="G70" s="5">
        <v>4415</v>
      </c>
      <c r="H70" s="5">
        <v>5</v>
      </c>
      <c r="I70" s="6">
        <v>46039</v>
      </c>
      <c r="J70" s="6">
        <v>46046</v>
      </c>
      <c r="K70" s="5" t="s">
        <v>15</v>
      </c>
    </row>
    <row r="71" spans="1:11" ht="15" thickBot="1" x14ac:dyDescent="0.4">
      <c r="A71" s="5">
        <v>1070</v>
      </c>
      <c r="B71" s="5" t="s">
        <v>52</v>
      </c>
      <c r="C71" s="5" t="s">
        <v>43</v>
      </c>
      <c r="D71" s="5" t="s">
        <v>13</v>
      </c>
      <c r="E71" s="5" t="s">
        <v>36</v>
      </c>
      <c r="F71" s="5">
        <v>10</v>
      </c>
      <c r="G71" s="5">
        <v>233</v>
      </c>
      <c r="H71" s="5">
        <v>7</v>
      </c>
      <c r="I71" s="6">
        <v>46076</v>
      </c>
      <c r="J71" s="6">
        <v>46077</v>
      </c>
      <c r="K71" s="5" t="s">
        <v>29</v>
      </c>
    </row>
    <row r="72" spans="1:11" ht="15" thickBot="1" x14ac:dyDescent="0.4">
      <c r="A72" s="5">
        <v>1071</v>
      </c>
      <c r="B72" s="5" t="s">
        <v>59</v>
      </c>
      <c r="C72" s="5" t="s">
        <v>22</v>
      </c>
      <c r="D72" s="5" t="s">
        <v>34</v>
      </c>
      <c r="E72" s="5" t="s">
        <v>61</v>
      </c>
      <c r="F72" s="5">
        <v>18</v>
      </c>
      <c r="G72" s="5">
        <v>32197</v>
      </c>
      <c r="H72" s="5">
        <v>5</v>
      </c>
      <c r="I72" s="6">
        <v>46129</v>
      </c>
      <c r="J72" s="6">
        <v>46137</v>
      </c>
      <c r="K72" s="5" t="s">
        <v>20</v>
      </c>
    </row>
    <row r="73" spans="1:11" ht="15" thickBot="1" x14ac:dyDescent="0.4">
      <c r="A73" s="5">
        <v>1072</v>
      </c>
      <c r="B73" s="5" t="s">
        <v>16</v>
      </c>
      <c r="C73" s="5" t="s">
        <v>25</v>
      </c>
      <c r="D73" s="5" t="s">
        <v>34</v>
      </c>
      <c r="E73" s="5" t="s">
        <v>61</v>
      </c>
      <c r="F73" s="5">
        <v>20</v>
      </c>
      <c r="G73" s="5">
        <v>58779</v>
      </c>
      <c r="H73" s="5">
        <v>0</v>
      </c>
      <c r="I73" s="6">
        <v>46035</v>
      </c>
      <c r="J73" s="6">
        <v>46036</v>
      </c>
      <c r="K73" s="5" t="s">
        <v>24</v>
      </c>
    </row>
    <row r="74" spans="1:11" ht="15" thickBot="1" x14ac:dyDescent="0.4">
      <c r="A74" s="5">
        <v>1073</v>
      </c>
      <c r="B74" s="5" t="s">
        <v>58</v>
      </c>
      <c r="C74" s="5" t="s">
        <v>17</v>
      </c>
      <c r="D74" s="5" t="s">
        <v>18</v>
      </c>
      <c r="E74" s="5" t="s">
        <v>56</v>
      </c>
      <c r="F74" s="5">
        <v>4</v>
      </c>
      <c r="G74" s="5">
        <v>2453</v>
      </c>
      <c r="H74" s="5">
        <v>7</v>
      </c>
      <c r="I74" s="6">
        <v>46126</v>
      </c>
      <c r="J74" s="6">
        <v>46129</v>
      </c>
      <c r="K74" s="5" t="s">
        <v>51</v>
      </c>
    </row>
    <row r="75" spans="1:11" ht="15" thickBot="1" x14ac:dyDescent="0.4">
      <c r="A75" s="5">
        <v>1074</v>
      </c>
      <c r="B75" s="5" t="s">
        <v>26</v>
      </c>
      <c r="C75" s="5" t="s">
        <v>31</v>
      </c>
      <c r="D75" s="5" t="s">
        <v>13</v>
      </c>
      <c r="E75" s="5" t="s">
        <v>50</v>
      </c>
      <c r="F75" s="5">
        <v>11</v>
      </c>
      <c r="G75" s="5">
        <v>390</v>
      </c>
      <c r="H75" s="5">
        <v>15</v>
      </c>
      <c r="I75" s="6">
        <v>46114</v>
      </c>
      <c r="J75" s="6">
        <v>46123</v>
      </c>
      <c r="K75" s="5" t="s">
        <v>29</v>
      </c>
    </row>
    <row r="76" spans="1:11" ht="15" thickBot="1" x14ac:dyDescent="0.4">
      <c r="A76" s="5">
        <v>1075</v>
      </c>
      <c r="B76" s="5" t="s">
        <v>42</v>
      </c>
      <c r="C76" s="5" t="s">
        <v>43</v>
      </c>
      <c r="D76" s="5" t="s">
        <v>34</v>
      </c>
      <c r="E76" s="5" t="s">
        <v>61</v>
      </c>
      <c r="F76" s="5">
        <v>4</v>
      </c>
      <c r="G76" s="5">
        <v>64773</v>
      </c>
      <c r="H76" s="5">
        <v>10</v>
      </c>
      <c r="I76" s="6">
        <v>46185</v>
      </c>
      <c r="J76" s="6">
        <v>46186</v>
      </c>
      <c r="K76" s="5" t="s">
        <v>51</v>
      </c>
    </row>
    <row r="77" spans="1:11" ht="15" thickBot="1" x14ac:dyDescent="0.4">
      <c r="A77" s="5">
        <v>1076</v>
      </c>
      <c r="B77" s="5" t="s">
        <v>29</v>
      </c>
      <c r="C77" s="5" t="s">
        <v>17</v>
      </c>
      <c r="D77" s="5" t="s">
        <v>34</v>
      </c>
      <c r="E77" s="5" t="s">
        <v>35</v>
      </c>
      <c r="F77" s="5">
        <v>19</v>
      </c>
      <c r="G77" s="5">
        <v>26714</v>
      </c>
      <c r="H77" s="5">
        <v>5</v>
      </c>
      <c r="I77" s="6">
        <v>46045</v>
      </c>
      <c r="J77" s="6">
        <v>46055</v>
      </c>
      <c r="K77" s="5" t="s">
        <v>29</v>
      </c>
    </row>
    <row r="78" spans="1:11" ht="15" thickBot="1" x14ac:dyDescent="0.4">
      <c r="A78" s="5">
        <v>1077</v>
      </c>
      <c r="B78" s="5" t="s">
        <v>55</v>
      </c>
      <c r="C78" s="5" t="s">
        <v>25</v>
      </c>
      <c r="D78" s="5" t="s">
        <v>13</v>
      </c>
      <c r="E78" s="5" t="s">
        <v>14</v>
      </c>
      <c r="F78" s="5">
        <v>1</v>
      </c>
      <c r="G78" s="5">
        <v>123</v>
      </c>
      <c r="H78" s="5">
        <v>10</v>
      </c>
      <c r="I78" s="6">
        <v>46113</v>
      </c>
      <c r="J78" s="6">
        <v>46121</v>
      </c>
      <c r="K78" s="5" t="s">
        <v>51</v>
      </c>
    </row>
    <row r="79" spans="1:11" ht="15" thickBot="1" x14ac:dyDescent="0.4">
      <c r="A79" s="5">
        <v>1078</v>
      </c>
      <c r="B79" s="5" t="s">
        <v>52</v>
      </c>
      <c r="C79" s="5" t="s">
        <v>17</v>
      </c>
      <c r="D79" s="5" t="s">
        <v>34</v>
      </c>
      <c r="E79" s="5" t="s">
        <v>39</v>
      </c>
      <c r="F79" s="5">
        <v>11</v>
      </c>
      <c r="G79" s="5">
        <v>24278</v>
      </c>
      <c r="H79" s="5">
        <v>12</v>
      </c>
      <c r="I79" s="6">
        <v>46084</v>
      </c>
      <c r="J79" s="6">
        <v>46090</v>
      </c>
      <c r="K79" s="5" t="s">
        <v>29</v>
      </c>
    </row>
    <row r="80" spans="1:11" ht="15" thickBot="1" x14ac:dyDescent="0.4">
      <c r="A80" s="5">
        <v>1079</v>
      </c>
      <c r="B80" s="5" t="s">
        <v>26</v>
      </c>
      <c r="C80" s="5" t="s">
        <v>38</v>
      </c>
      <c r="D80" s="5" t="s">
        <v>34</v>
      </c>
      <c r="E80" s="5" t="s">
        <v>41</v>
      </c>
      <c r="F80" s="5">
        <v>19</v>
      </c>
      <c r="G80" s="5">
        <v>48956</v>
      </c>
      <c r="H80" s="5">
        <v>12</v>
      </c>
      <c r="I80" s="6">
        <v>46170</v>
      </c>
      <c r="J80" s="6">
        <v>46177</v>
      </c>
      <c r="K80" s="5" t="s">
        <v>51</v>
      </c>
    </row>
    <row r="81" spans="1:11" ht="15" thickBot="1" x14ac:dyDescent="0.4">
      <c r="A81" s="5">
        <v>1080</v>
      </c>
      <c r="B81" s="5" t="s">
        <v>21</v>
      </c>
      <c r="C81" s="5" t="s">
        <v>22</v>
      </c>
      <c r="D81" s="5" t="s">
        <v>34</v>
      </c>
      <c r="E81" s="5" t="s">
        <v>41</v>
      </c>
      <c r="F81" s="5">
        <v>12</v>
      </c>
      <c r="G81" s="5">
        <v>54161</v>
      </c>
      <c r="H81" s="5">
        <v>15</v>
      </c>
      <c r="I81" s="6">
        <v>46133</v>
      </c>
      <c r="J81" s="6">
        <v>46143</v>
      </c>
      <c r="K81" s="5" t="s">
        <v>24</v>
      </c>
    </row>
    <row r="82" spans="1:11" ht="15" thickBot="1" x14ac:dyDescent="0.4">
      <c r="A82" s="5">
        <v>1081</v>
      </c>
      <c r="B82" s="5" t="s">
        <v>47</v>
      </c>
      <c r="C82" s="5" t="s">
        <v>12</v>
      </c>
      <c r="D82" s="5" t="s">
        <v>34</v>
      </c>
      <c r="E82" s="5" t="s">
        <v>35</v>
      </c>
      <c r="F82" s="5">
        <v>15</v>
      </c>
      <c r="G82" s="5">
        <v>59912</v>
      </c>
      <c r="H82" s="5">
        <v>7</v>
      </c>
      <c r="I82" s="6">
        <v>46058</v>
      </c>
      <c r="J82" s="6">
        <v>46060</v>
      </c>
      <c r="K82" s="5" t="s">
        <v>51</v>
      </c>
    </row>
    <row r="83" spans="1:11" ht="15" thickBot="1" x14ac:dyDescent="0.4">
      <c r="A83" s="5">
        <v>1082</v>
      </c>
      <c r="B83" s="5" t="s">
        <v>21</v>
      </c>
      <c r="C83" s="5" t="s">
        <v>12</v>
      </c>
      <c r="D83" s="5" t="s">
        <v>13</v>
      </c>
      <c r="E83" s="5" t="s">
        <v>14</v>
      </c>
      <c r="F83" s="5">
        <v>7</v>
      </c>
      <c r="G83" s="5">
        <v>133</v>
      </c>
      <c r="H83" s="5">
        <v>10</v>
      </c>
      <c r="I83" s="6">
        <v>46075</v>
      </c>
      <c r="J83" s="6">
        <v>46085</v>
      </c>
      <c r="K83" s="5" t="s">
        <v>51</v>
      </c>
    </row>
    <row r="84" spans="1:11" ht="15" thickBot="1" x14ac:dyDescent="0.4">
      <c r="A84" s="5">
        <v>1083</v>
      </c>
      <c r="B84" s="5" t="s">
        <v>55</v>
      </c>
      <c r="C84" s="5" t="s">
        <v>33</v>
      </c>
      <c r="D84" s="5" t="s">
        <v>13</v>
      </c>
      <c r="E84" s="5" t="s">
        <v>53</v>
      </c>
      <c r="F84" s="5">
        <v>4</v>
      </c>
      <c r="G84" s="5">
        <v>397</v>
      </c>
      <c r="H84" s="5">
        <v>7</v>
      </c>
      <c r="I84" s="6">
        <v>46185</v>
      </c>
      <c r="J84" s="6">
        <v>46193</v>
      </c>
      <c r="K84" s="5" t="s">
        <v>15</v>
      </c>
    </row>
    <row r="85" spans="1:11" ht="15" thickBot="1" x14ac:dyDescent="0.4">
      <c r="A85" s="5">
        <v>1084</v>
      </c>
      <c r="B85" s="5" t="s">
        <v>49</v>
      </c>
      <c r="C85" s="5" t="s">
        <v>31</v>
      </c>
      <c r="D85" s="5" t="s">
        <v>18</v>
      </c>
      <c r="E85" s="5" t="s">
        <v>28</v>
      </c>
      <c r="F85" s="5">
        <v>4</v>
      </c>
      <c r="G85" s="5">
        <v>6901</v>
      </c>
      <c r="H85" s="5">
        <v>10</v>
      </c>
      <c r="I85" s="6">
        <v>46047</v>
      </c>
      <c r="J85" s="6">
        <v>46057</v>
      </c>
      <c r="K85" s="5" t="s">
        <v>20</v>
      </c>
    </row>
    <row r="86" spans="1:11" ht="15" thickBot="1" x14ac:dyDescent="0.4">
      <c r="A86" s="5">
        <v>1085</v>
      </c>
      <c r="B86" s="5" t="s">
        <v>32</v>
      </c>
      <c r="C86" s="5" t="s">
        <v>38</v>
      </c>
      <c r="D86" s="5" t="s">
        <v>34</v>
      </c>
      <c r="E86" s="5" t="s">
        <v>60</v>
      </c>
      <c r="F86" s="5">
        <v>19</v>
      </c>
      <c r="G86" s="5">
        <v>45307</v>
      </c>
      <c r="H86" s="5">
        <v>12</v>
      </c>
      <c r="I86" s="6">
        <v>46146</v>
      </c>
      <c r="J86" s="6">
        <v>46150</v>
      </c>
      <c r="K86" s="5" t="s">
        <v>24</v>
      </c>
    </row>
    <row r="87" spans="1:11" ht="15" thickBot="1" x14ac:dyDescent="0.4">
      <c r="A87" s="5">
        <v>1086</v>
      </c>
      <c r="B87" s="5" t="s">
        <v>32</v>
      </c>
      <c r="C87" s="5" t="s">
        <v>12</v>
      </c>
      <c r="D87" s="5" t="s">
        <v>13</v>
      </c>
      <c r="E87" s="5" t="s">
        <v>53</v>
      </c>
      <c r="F87" s="5">
        <v>15</v>
      </c>
      <c r="G87" s="5">
        <v>40</v>
      </c>
      <c r="H87" s="5">
        <v>10</v>
      </c>
      <c r="I87" s="6">
        <v>46045</v>
      </c>
      <c r="J87" s="6">
        <v>46049</v>
      </c>
      <c r="K87" s="5" t="s">
        <v>24</v>
      </c>
    </row>
    <row r="88" spans="1:11" ht="15" thickBot="1" x14ac:dyDescent="0.4">
      <c r="A88" s="5">
        <v>1087</v>
      </c>
      <c r="B88" s="5" t="s">
        <v>11</v>
      </c>
      <c r="C88" s="5" t="s">
        <v>31</v>
      </c>
      <c r="D88" s="5" t="s">
        <v>13</v>
      </c>
      <c r="E88" s="5" t="s">
        <v>37</v>
      </c>
      <c r="F88" s="5">
        <v>13</v>
      </c>
      <c r="G88" s="5">
        <v>387</v>
      </c>
      <c r="H88" s="5">
        <v>7</v>
      </c>
      <c r="I88" s="6">
        <v>46171</v>
      </c>
      <c r="J88" s="6">
        <v>46176</v>
      </c>
      <c r="K88" s="5" t="s">
        <v>24</v>
      </c>
    </row>
    <row r="89" spans="1:11" ht="15" thickBot="1" x14ac:dyDescent="0.4">
      <c r="A89" s="5">
        <v>1088</v>
      </c>
      <c r="B89" s="5" t="s">
        <v>40</v>
      </c>
      <c r="C89" s="5" t="s">
        <v>33</v>
      </c>
      <c r="D89" s="5" t="s">
        <v>34</v>
      </c>
      <c r="E89" s="5" t="s">
        <v>41</v>
      </c>
      <c r="F89" s="5">
        <v>20</v>
      </c>
      <c r="G89" s="5">
        <v>41165</v>
      </c>
      <c r="H89" s="5">
        <v>0</v>
      </c>
      <c r="I89" s="6">
        <v>46068</v>
      </c>
      <c r="J89" s="6">
        <v>46069</v>
      </c>
      <c r="K89" s="5" t="s">
        <v>20</v>
      </c>
    </row>
    <row r="90" spans="1:11" ht="15" thickBot="1" x14ac:dyDescent="0.4">
      <c r="A90" s="5">
        <v>1089</v>
      </c>
      <c r="B90" s="5" t="s">
        <v>46</v>
      </c>
      <c r="C90" s="5" t="s">
        <v>12</v>
      </c>
      <c r="D90" s="5" t="s">
        <v>34</v>
      </c>
      <c r="E90" s="5" t="s">
        <v>35</v>
      </c>
      <c r="F90" s="5">
        <v>10</v>
      </c>
      <c r="G90" s="5">
        <v>17041</v>
      </c>
      <c r="H90" s="5">
        <v>2</v>
      </c>
      <c r="I90" s="6">
        <v>46066</v>
      </c>
      <c r="J90" s="6">
        <v>46071</v>
      </c>
      <c r="K90" s="5" t="s">
        <v>24</v>
      </c>
    </row>
    <row r="91" spans="1:11" ht="15" thickBot="1" x14ac:dyDescent="0.4">
      <c r="A91" s="5">
        <v>1090</v>
      </c>
      <c r="B91" s="5" t="s">
        <v>49</v>
      </c>
      <c r="C91" s="5" t="s">
        <v>31</v>
      </c>
      <c r="D91" s="5" t="s">
        <v>34</v>
      </c>
      <c r="E91" s="5" t="s">
        <v>45</v>
      </c>
      <c r="F91" s="5">
        <v>19</v>
      </c>
      <c r="G91" s="5">
        <v>66139</v>
      </c>
      <c r="H91" s="5">
        <v>5</v>
      </c>
      <c r="I91" s="6">
        <v>46088</v>
      </c>
      <c r="J91" s="6">
        <v>46095</v>
      </c>
      <c r="K91" s="5" t="s">
        <v>24</v>
      </c>
    </row>
    <row r="92" spans="1:11" ht="15" thickBot="1" x14ac:dyDescent="0.4">
      <c r="A92" s="5">
        <v>1091</v>
      </c>
      <c r="B92" s="5" t="s">
        <v>55</v>
      </c>
      <c r="C92" s="5" t="s">
        <v>17</v>
      </c>
      <c r="D92" s="5" t="s">
        <v>13</v>
      </c>
      <c r="E92" s="5" t="s">
        <v>53</v>
      </c>
      <c r="F92" s="5">
        <v>2</v>
      </c>
      <c r="G92" s="5">
        <v>305</v>
      </c>
      <c r="H92" s="5">
        <v>0</v>
      </c>
      <c r="I92" s="6">
        <v>46136</v>
      </c>
      <c r="J92" s="6">
        <v>46144</v>
      </c>
      <c r="K92" s="5" t="s">
        <v>15</v>
      </c>
    </row>
    <row r="93" spans="1:11" ht="15" thickBot="1" x14ac:dyDescent="0.4">
      <c r="A93" s="5">
        <v>1092</v>
      </c>
      <c r="B93" s="5" t="s">
        <v>21</v>
      </c>
      <c r="C93" s="5" t="s">
        <v>22</v>
      </c>
      <c r="D93" s="5" t="s">
        <v>34</v>
      </c>
      <c r="E93" s="5" t="s">
        <v>41</v>
      </c>
      <c r="F93" s="5">
        <v>9</v>
      </c>
      <c r="G93" s="5">
        <v>23438</v>
      </c>
      <c r="H93" s="5">
        <v>2</v>
      </c>
      <c r="I93" s="6">
        <v>46049</v>
      </c>
      <c r="J93" s="6">
        <v>46055</v>
      </c>
      <c r="K93" s="5" t="s">
        <v>29</v>
      </c>
    </row>
    <row r="94" spans="1:11" ht="15" thickBot="1" x14ac:dyDescent="0.4">
      <c r="A94" s="5">
        <v>1093</v>
      </c>
      <c r="B94" s="5" t="s">
        <v>47</v>
      </c>
      <c r="C94" s="5" t="s">
        <v>25</v>
      </c>
      <c r="D94" s="5" t="s">
        <v>18</v>
      </c>
      <c r="E94" s="5" t="s">
        <v>23</v>
      </c>
      <c r="F94" s="5">
        <v>6</v>
      </c>
      <c r="G94" s="5">
        <v>8224</v>
      </c>
      <c r="H94" s="5">
        <v>15</v>
      </c>
      <c r="I94" s="6">
        <v>46175</v>
      </c>
      <c r="J94" s="6">
        <v>46185</v>
      </c>
      <c r="K94" s="5" t="s">
        <v>51</v>
      </c>
    </row>
    <row r="95" spans="1:11" ht="15" thickBot="1" x14ac:dyDescent="0.4">
      <c r="A95" s="5">
        <v>1094</v>
      </c>
      <c r="B95" s="5" t="s">
        <v>47</v>
      </c>
      <c r="C95" s="5" t="s">
        <v>43</v>
      </c>
      <c r="D95" s="5" t="s">
        <v>34</v>
      </c>
      <c r="E95" s="5" t="s">
        <v>61</v>
      </c>
      <c r="F95" s="5">
        <v>4</v>
      </c>
      <c r="G95" s="5">
        <v>7073</v>
      </c>
      <c r="H95" s="5">
        <v>0</v>
      </c>
      <c r="I95" s="6">
        <v>46101</v>
      </c>
      <c r="J95" s="6">
        <v>46105</v>
      </c>
      <c r="K95" s="5" t="s">
        <v>29</v>
      </c>
    </row>
    <row r="96" spans="1:11" ht="15" thickBot="1" x14ac:dyDescent="0.4">
      <c r="A96" s="5">
        <v>1095</v>
      </c>
      <c r="B96" s="5" t="s">
        <v>47</v>
      </c>
      <c r="C96" s="5" t="s">
        <v>25</v>
      </c>
      <c r="D96" s="5" t="s">
        <v>34</v>
      </c>
      <c r="E96" s="5" t="s">
        <v>41</v>
      </c>
      <c r="F96" s="5">
        <v>18</v>
      </c>
      <c r="G96" s="5">
        <v>587</v>
      </c>
      <c r="H96" s="5">
        <v>2</v>
      </c>
      <c r="I96" s="6">
        <v>46167</v>
      </c>
      <c r="J96" s="6">
        <v>46171</v>
      </c>
      <c r="K96" s="5" t="s">
        <v>20</v>
      </c>
    </row>
    <row r="97" spans="1:11" ht="15" thickBot="1" x14ac:dyDescent="0.4">
      <c r="A97" s="5">
        <v>1096</v>
      </c>
      <c r="B97" s="5" t="s">
        <v>49</v>
      </c>
      <c r="C97" s="5" t="s">
        <v>17</v>
      </c>
      <c r="D97" s="5" t="s">
        <v>18</v>
      </c>
      <c r="E97" s="5" t="s">
        <v>23</v>
      </c>
      <c r="F97" s="5">
        <v>15</v>
      </c>
      <c r="G97" s="5">
        <v>14724</v>
      </c>
      <c r="H97" s="5">
        <v>15</v>
      </c>
      <c r="I97" s="6">
        <v>46054</v>
      </c>
      <c r="J97" s="6">
        <v>46061</v>
      </c>
      <c r="K97" s="5" t="s">
        <v>20</v>
      </c>
    </row>
    <row r="98" spans="1:11" ht="15" thickBot="1" x14ac:dyDescent="0.4">
      <c r="A98" s="5">
        <v>1097</v>
      </c>
      <c r="B98" s="5" t="s">
        <v>52</v>
      </c>
      <c r="C98" s="5" t="s">
        <v>22</v>
      </c>
      <c r="D98" s="5" t="s">
        <v>34</v>
      </c>
      <c r="E98" s="5" t="s">
        <v>61</v>
      </c>
      <c r="F98" s="5">
        <v>10</v>
      </c>
      <c r="G98" s="5">
        <v>28980</v>
      </c>
      <c r="H98" s="5">
        <v>10</v>
      </c>
      <c r="I98" s="6">
        <v>46089</v>
      </c>
      <c r="J98" s="6">
        <v>46094</v>
      </c>
      <c r="K98" s="5" t="s">
        <v>24</v>
      </c>
    </row>
    <row r="99" spans="1:11" ht="15" thickBot="1" x14ac:dyDescent="0.4">
      <c r="A99" s="5">
        <v>1098</v>
      </c>
      <c r="B99" s="5" t="s">
        <v>26</v>
      </c>
      <c r="C99" s="5" t="s">
        <v>25</v>
      </c>
      <c r="D99" s="5" t="s">
        <v>13</v>
      </c>
      <c r="E99" s="5" t="s">
        <v>53</v>
      </c>
      <c r="F99" s="5">
        <v>17</v>
      </c>
      <c r="G99" s="5">
        <v>345</v>
      </c>
      <c r="H99" s="5">
        <v>2</v>
      </c>
      <c r="I99" s="6">
        <v>46126</v>
      </c>
      <c r="J99" s="6">
        <v>46127</v>
      </c>
      <c r="K99" s="5" t="s">
        <v>51</v>
      </c>
    </row>
    <row r="100" spans="1:11" ht="15" thickBot="1" x14ac:dyDescent="0.4">
      <c r="A100" s="5">
        <v>1099</v>
      </c>
      <c r="B100" s="5" t="s">
        <v>26</v>
      </c>
      <c r="C100" s="5" t="s">
        <v>31</v>
      </c>
      <c r="D100" s="5" t="s">
        <v>18</v>
      </c>
      <c r="E100" s="5" t="s">
        <v>19</v>
      </c>
      <c r="F100" s="5">
        <v>1</v>
      </c>
      <c r="G100" s="5">
        <v>5165</v>
      </c>
      <c r="H100" s="5">
        <v>2</v>
      </c>
      <c r="I100" s="6">
        <v>46058</v>
      </c>
      <c r="J100" s="6">
        <v>46060</v>
      </c>
      <c r="K100" s="5" t="s">
        <v>15</v>
      </c>
    </row>
    <row r="101" spans="1:11" ht="15" thickBot="1" x14ac:dyDescent="0.4">
      <c r="A101" s="5">
        <v>1100</v>
      </c>
      <c r="B101" s="5" t="s">
        <v>11</v>
      </c>
      <c r="C101" s="5" t="s">
        <v>31</v>
      </c>
      <c r="D101" s="5" t="s">
        <v>13</v>
      </c>
      <c r="E101" s="5" t="s">
        <v>14</v>
      </c>
      <c r="F101" s="5">
        <v>11</v>
      </c>
      <c r="G101" s="5">
        <v>296</v>
      </c>
      <c r="H101" s="5">
        <v>10</v>
      </c>
      <c r="I101" s="6">
        <v>46027</v>
      </c>
      <c r="J101" s="6">
        <v>46031</v>
      </c>
      <c r="K101" s="5" t="s">
        <v>51</v>
      </c>
    </row>
    <row r="102" spans="1:11" ht="15" thickBot="1" x14ac:dyDescent="0.4">
      <c r="A102" s="5">
        <v>1101</v>
      </c>
      <c r="B102" s="5" t="s">
        <v>27</v>
      </c>
      <c r="C102" s="5" t="s">
        <v>22</v>
      </c>
      <c r="D102" s="5" t="s">
        <v>34</v>
      </c>
      <c r="E102" s="5" t="s">
        <v>61</v>
      </c>
      <c r="F102" s="5">
        <v>9</v>
      </c>
      <c r="G102" s="5">
        <v>37361</v>
      </c>
      <c r="H102" s="5">
        <v>10</v>
      </c>
      <c r="I102" s="6">
        <v>46141</v>
      </c>
      <c r="J102" s="6">
        <v>46142</v>
      </c>
      <c r="K102" s="5" t="s">
        <v>24</v>
      </c>
    </row>
    <row r="103" spans="1:11" ht="15" thickBot="1" x14ac:dyDescent="0.4">
      <c r="A103" s="5">
        <v>1102</v>
      </c>
      <c r="B103" s="5" t="s">
        <v>54</v>
      </c>
      <c r="C103" s="5" t="s">
        <v>25</v>
      </c>
      <c r="D103" s="5" t="s">
        <v>34</v>
      </c>
      <c r="E103" s="5" t="s">
        <v>45</v>
      </c>
      <c r="F103" s="5">
        <v>12</v>
      </c>
      <c r="G103" s="5">
        <v>63402</v>
      </c>
      <c r="H103" s="5">
        <v>7</v>
      </c>
      <c r="I103" s="6">
        <v>46106</v>
      </c>
      <c r="J103" s="6">
        <v>46113</v>
      </c>
      <c r="K103" s="5" t="s">
        <v>51</v>
      </c>
    </row>
    <row r="104" spans="1:11" ht="15" thickBot="1" x14ac:dyDescent="0.4">
      <c r="A104" s="5">
        <v>1103</v>
      </c>
      <c r="B104" s="5" t="s">
        <v>16</v>
      </c>
      <c r="C104" s="5" t="s">
        <v>12</v>
      </c>
      <c r="D104" s="5" t="s">
        <v>18</v>
      </c>
      <c r="E104" s="5" t="s">
        <v>23</v>
      </c>
      <c r="F104" s="5">
        <v>7</v>
      </c>
      <c r="G104" s="5">
        <v>11925</v>
      </c>
      <c r="H104" s="5">
        <v>5</v>
      </c>
      <c r="I104" s="6">
        <v>46040</v>
      </c>
      <c r="J104" s="6">
        <v>46041</v>
      </c>
      <c r="K104" s="5" t="s">
        <v>29</v>
      </c>
    </row>
    <row r="105" spans="1:11" ht="15" thickBot="1" x14ac:dyDescent="0.4">
      <c r="A105" s="5">
        <v>1104</v>
      </c>
      <c r="B105" s="5" t="s">
        <v>16</v>
      </c>
      <c r="C105" s="5" t="s">
        <v>43</v>
      </c>
      <c r="D105" s="5" t="s">
        <v>18</v>
      </c>
      <c r="E105" s="5" t="s">
        <v>19</v>
      </c>
      <c r="F105" s="5">
        <v>10</v>
      </c>
      <c r="G105" s="5">
        <v>12848</v>
      </c>
      <c r="H105" s="5">
        <v>15</v>
      </c>
      <c r="I105" s="6">
        <v>46060</v>
      </c>
      <c r="J105" s="6">
        <v>46064</v>
      </c>
      <c r="K105" s="5" t="s">
        <v>29</v>
      </c>
    </row>
    <row r="106" spans="1:11" ht="15" thickBot="1" x14ac:dyDescent="0.4">
      <c r="A106" s="5">
        <v>1105</v>
      </c>
      <c r="B106" s="5" t="s">
        <v>59</v>
      </c>
      <c r="C106" s="5" t="s">
        <v>25</v>
      </c>
      <c r="D106" s="5" t="s">
        <v>13</v>
      </c>
      <c r="E106" s="5" t="s">
        <v>50</v>
      </c>
      <c r="F106" s="5">
        <v>2</v>
      </c>
      <c r="G106" s="5">
        <v>493</v>
      </c>
      <c r="H106" s="5">
        <v>12</v>
      </c>
      <c r="I106" s="6">
        <v>46057</v>
      </c>
      <c r="J106" s="6">
        <v>46066</v>
      </c>
      <c r="K106" s="5" t="s">
        <v>51</v>
      </c>
    </row>
    <row r="107" spans="1:11" ht="15" thickBot="1" x14ac:dyDescent="0.4">
      <c r="A107" s="5">
        <v>1106</v>
      </c>
      <c r="B107" s="5" t="s">
        <v>27</v>
      </c>
      <c r="C107" s="5" t="s">
        <v>43</v>
      </c>
      <c r="D107" s="5" t="s">
        <v>18</v>
      </c>
      <c r="E107" s="5" t="s">
        <v>23</v>
      </c>
      <c r="F107" s="5">
        <v>20</v>
      </c>
      <c r="G107" s="5">
        <v>2141</v>
      </c>
      <c r="H107" s="5">
        <v>2</v>
      </c>
      <c r="I107" s="6">
        <v>46091</v>
      </c>
      <c r="J107" s="6">
        <v>46097</v>
      </c>
      <c r="K107" s="5" t="s">
        <v>29</v>
      </c>
    </row>
    <row r="108" spans="1:11" ht="15" thickBot="1" x14ac:dyDescent="0.4">
      <c r="A108" s="5">
        <v>1107</v>
      </c>
      <c r="B108" s="5" t="s">
        <v>52</v>
      </c>
      <c r="C108" s="5" t="s">
        <v>17</v>
      </c>
      <c r="D108" s="5" t="s">
        <v>34</v>
      </c>
      <c r="E108" s="5" t="s">
        <v>60</v>
      </c>
      <c r="F108" s="5">
        <v>4</v>
      </c>
      <c r="G108" s="5">
        <v>14291</v>
      </c>
      <c r="H108" s="5">
        <v>2</v>
      </c>
      <c r="I108" s="6">
        <v>46076</v>
      </c>
      <c r="J108" s="6">
        <v>46078</v>
      </c>
      <c r="K108" s="5" t="s">
        <v>15</v>
      </c>
    </row>
    <row r="109" spans="1:11" ht="15" thickBot="1" x14ac:dyDescent="0.4">
      <c r="A109" s="5">
        <v>1108</v>
      </c>
      <c r="B109" s="5" t="s">
        <v>42</v>
      </c>
      <c r="C109" s="5" t="s">
        <v>33</v>
      </c>
      <c r="D109" s="5" t="s">
        <v>18</v>
      </c>
      <c r="E109" s="5" t="s">
        <v>28</v>
      </c>
      <c r="F109" s="5">
        <v>15</v>
      </c>
      <c r="G109" s="5">
        <v>13843</v>
      </c>
      <c r="H109" s="5">
        <v>7</v>
      </c>
      <c r="I109" s="6">
        <v>46119</v>
      </c>
      <c r="J109" s="6">
        <v>46127</v>
      </c>
      <c r="K109" s="5" t="s">
        <v>20</v>
      </c>
    </row>
    <row r="110" spans="1:11" ht="15" thickBot="1" x14ac:dyDescent="0.4">
      <c r="A110" s="5">
        <v>1109</v>
      </c>
      <c r="B110" s="5" t="s">
        <v>21</v>
      </c>
      <c r="C110" s="5" t="s">
        <v>31</v>
      </c>
      <c r="D110" s="5" t="s">
        <v>18</v>
      </c>
      <c r="E110" s="5" t="s">
        <v>44</v>
      </c>
      <c r="F110" s="5">
        <v>19</v>
      </c>
      <c r="G110" s="5">
        <v>6512</v>
      </c>
      <c r="H110" s="5">
        <v>10</v>
      </c>
      <c r="I110" s="6">
        <v>46033</v>
      </c>
      <c r="J110" s="6">
        <v>46037</v>
      </c>
      <c r="K110" s="5" t="s">
        <v>20</v>
      </c>
    </row>
    <row r="111" spans="1:11" ht="15" thickBot="1" x14ac:dyDescent="0.4">
      <c r="A111" s="5">
        <v>1110</v>
      </c>
      <c r="B111" s="5" t="s">
        <v>49</v>
      </c>
      <c r="C111" s="5" t="s">
        <v>38</v>
      </c>
      <c r="D111" s="5" t="s">
        <v>18</v>
      </c>
      <c r="E111" s="5" t="s">
        <v>23</v>
      </c>
      <c r="F111" s="5">
        <v>14</v>
      </c>
      <c r="G111" s="5">
        <v>6793</v>
      </c>
      <c r="H111" s="5">
        <v>7</v>
      </c>
      <c r="I111" s="6">
        <v>46077</v>
      </c>
      <c r="J111" s="6">
        <v>46082</v>
      </c>
      <c r="K111" s="5" t="s">
        <v>29</v>
      </c>
    </row>
    <row r="112" spans="1:11" ht="15" thickBot="1" x14ac:dyDescent="0.4">
      <c r="A112" s="5">
        <v>1111</v>
      </c>
      <c r="B112" s="5" t="s">
        <v>47</v>
      </c>
      <c r="C112" s="5" t="s">
        <v>17</v>
      </c>
      <c r="D112" s="5" t="s">
        <v>34</v>
      </c>
      <c r="E112" s="5" t="s">
        <v>35</v>
      </c>
      <c r="F112" s="5">
        <v>5</v>
      </c>
      <c r="G112" s="5">
        <v>49945</v>
      </c>
      <c r="H112" s="5">
        <v>12</v>
      </c>
      <c r="I112" s="6">
        <v>46133</v>
      </c>
      <c r="J112" s="6">
        <v>46141</v>
      </c>
      <c r="K112" s="5" t="s">
        <v>29</v>
      </c>
    </row>
    <row r="113" spans="1:11" ht="15" thickBot="1" x14ac:dyDescent="0.4">
      <c r="A113" s="5">
        <v>1112</v>
      </c>
      <c r="B113" s="5" t="s">
        <v>21</v>
      </c>
      <c r="C113" s="5" t="s">
        <v>43</v>
      </c>
      <c r="D113" s="5" t="s">
        <v>18</v>
      </c>
      <c r="E113" s="5" t="s">
        <v>44</v>
      </c>
      <c r="F113" s="5">
        <v>7</v>
      </c>
      <c r="G113" s="5">
        <v>1959</v>
      </c>
      <c r="H113" s="5">
        <v>15</v>
      </c>
      <c r="I113" s="6">
        <v>46090</v>
      </c>
      <c r="J113" s="6">
        <v>46100</v>
      </c>
      <c r="K113" s="5" t="s">
        <v>15</v>
      </c>
    </row>
    <row r="114" spans="1:11" ht="15" thickBot="1" x14ac:dyDescent="0.4">
      <c r="A114" s="5">
        <v>1113</v>
      </c>
      <c r="B114" s="5" t="s">
        <v>26</v>
      </c>
      <c r="C114" s="5" t="s">
        <v>43</v>
      </c>
      <c r="D114" s="5" t="s">
        <v>18</v>
      </c>
      <c r="E114" s="5" t="s">
        <v>56</v>
      </c>
      <c r="F114" s="5">
        <v>13</v>
      </c>
      <c r="G114" s="5">
        <v>6719</v>
      </c>
      <c r="H114" s="5">
        <v>15</v>
      </c>
      <c r="I114" s="6">
        <v>46076</v>
      </c>
      <c r="J114" s="6">
        <v>46081</v>
      </c>
      <c r="K114" s="5" t="s">
        <v>24</v>
      </c>
    </row>
    <row r="115" spans="1:11" ht="15" thickBot="1" x14ac:dyDescent="0.4">
      <c r="A115" s="5">
        <v>1114</v>
      </c>
      <c r="B115" s="5" t="s">
        <v>16</v>
      </c>
      <c r="C115" s="5" t="s">
        <v>25</v>
      </c>
      <c r="D115" s="5" t="s">
        <v>13</v>
      </c>
      <c r="E115" s="5" t="s">
        <v>50</v>
      </c>
      <c r="F115" s="5">
        <v>13</v>
      </c>
      <c r="G115" s="5">
        <v>32</v>
      </c>
      <c r="H115" s="5">
        <v>15</v>
      </c>
      <c r="I115" s="6">
        <v>46066</v>
      </c>
      <c r="J115" s="6">
        <v>46069</v>
      </c>
      <c r="K115" s="5" t="s">
        <v>15</v>
      </c>
    </row>
    <row r="116" spans="1:11" ht="15" thickBot="1" x14ac:dyDescent="0.4">
      <c r="A116" s="5">
        <v>1115</v>
      </c>
      <c r="B116" s="5" t="s">
        <v>59</v>
      </c>
      <c r="C116" s="5" t="s">
        <v>43</v>
      </c>
      <c r="D116" s="5" t="s">
        <v>13</v>
      </c>
      <c r="E116" s="5" t="s">
        <v>50</v>
      </c>
      <c r="F116" s="5">
        <v>9</v>
      </c>
      <c r="G116" s="5">
        <v>303</v>
      </c>
      <c r="H116" s="5">
        <v>10</v>
      </c>
      <c r="I116" s="6">
        <v>46149</v>
      </c>
      <c r="J116" s="6">
        <v>46157</v>
      </c>
      <c r="K116" s="5" t="s">
        <v>29</v>
      </c>
    </row>
    <row r="117" spans="1:11" ht="15" thickBot="1" x14ac:dyDescent="0.4">
      <c r="A117" s="5">
        <v>1116</v>
      </c>
      <c r="B117" s="5" t="s">
        <v>16</v>
      </c>
      <c r="C117" s="5" t="s">
        <v>25</v>
      </c>
      <c r="D117" s="5" t="s">
        <v>18</v>
      </c>
      <c r="E117" s="5" t="s">
        <v>56</v>
      </c>
      <c r="F117" s="5">
        <v>2</v>
      </c>
      <c r="G117" s="5">
        <v>12692</v>
      </c>
      <c r="H117" s="5">
        <v>15</v>
      </c>
      <c r="I117" s="6">
        <v>46049</v>
      </c>
      <c r="J117" s="6">
        <v>46051</v>
      </c>
      <c r="K117" s="5" t="s">
        <v>15</v>
      </c>
    </row>
    <row r="118" spans="1:11" ht="15" thickBot="1" x14ac:dyDescent="0.4">
      <c r="A118" s="5">
        <v>1117</v>
      </c>
      <c r="B118" s="5" t="s">
        <v>55</v>
      </c>
      <c r="C118" s="5" t="s">
        <v>43</v>
      </c>
      <c r="D118" s="5" t="s">
        <v>34</v>
      </c>
      <c r="E118" s="5" t="s">
        <v>39</v>
      </c>
      <c r="F118" s="5">
        <v>16</v>
      </c>
      <c r="G118" s="5">
        <v>33162</v>
      </c>
      <c r="H118" s="5">
        <v>7</v>
      </c>
      <c r="I118" s="6">
        <v>46147</v>
      </c>
      <c r="J118" s="6">
        <v>46155</v>
      </c>
      <c r="K118" s="5" t="s">
        <v>29</v>
      </c>
    </row>
    <row r="119" spans="1:11" ht="15" thickBot="1" x14ac:dyDescent="0.4">
      <c r="A119" s="5">
        <v>1118</v>
      </c>
      <c r="B119" s="5" t="s">
        <v>21</v>
      </c>
      <c r="C119" s="5" t="s">
        <v>22</v>
      </c>
      <c r="D119" s="5" t="s">
        <v>18</v>
      </c>
      <c r="E119" s="5" t="s">
        <v>23</v>
      </c>
      <c r="F119" s="5">
        <v>18</v>
      </c>
      <c r="G119" s="5">
        <v>9118</v>
      </c>
      <c r="H119" s="5">
        <v>5</v>
      </c>
      <c r="I119" s="6">
        <v>46178</v>
      </c>
      <c r="J119" s="6">
        <v>46187</v>
      </c>
      <c r="K119" s="5" t="s">
        <v>29</v>
      </c>
    </row>
    <row r="120" spans="1:11" ht="15" thickBot="1" x14ac:dyDescent="0.4">
      <c r="A120" s="5">
        <v>1119</v>
      </c>
      <c r="B120" s="5" t="s">
        <v>30</v>
      </c>
      <c r="C120" s="5" t="s">
        <v>43</v>
      </c>
      <c r="D120" s="5" t="s">
        <v>18</v>
      </c>
      <c r="E120" s="5" t="s">
        <v>28</v>
      </c>
      <c r="F120" s="5">
        <v>2</v>
      </c>
      <c r="G120" s="5">
        <v>3706</v>
      </c>
      <c r="H120" s="5">
        <v>5</v>
      </c>
      <c r="I120" s="6">
        <v>46184</v>
      </c>
      <c r="J120" s="6">
        <v>46192</v>
      </c>
      <c r="K120" s="5" t="s">
        <v>51</v>
      </c>
    </row>
    <row r="121" spans="1:11" ht="15" thickBot="1" x14ac:dyDescent="0.4">
      <c r="A121" s="5">
        <v>1120</v>
      </c>
      <c r="B121" s="5" t="s">
        <v>32</v>
      </c>
      <c r="C121" s="5" t="s">
        <v>38</v>
      </c>
      <c r="D121" s="5" t="s">
        <v>13</v>
      </c>
      <c r="E121" s="5" t="s">
        <v>36</v>
      </c>
      <c r="F121" s="5">
        <v>10</v>
      </c>
      <c r="G121" s="5">
        <v>438</v>
      </c>
      <c r="H121" s="5">
        <v>10</v>
      </c>
      <c r="I121" s="6">
        <v>46061</v>
      </c>
      <c r="J121" s="6">
        <v>46065</v>
      </c>
      <c r="K121" s="5" t="s">
        <v>51</v>
      </c>
    </row>
    <row r="122" spans="1:11" ht="15" thickBot="1" x14ac:dyDescent="0.4">
      <c r="A122" s="5">
        <v>1121</v>
      </c>
      <c r="B122" s="5" t="s">
        <v>29</v>
      </c>
      <c r="C122" s="5" t="s">
        <v>12</v>
      </c>
      <c r="D122" s="5" t="s">
        <v>34</v>
      </c>
      <c r="E122" s="5" t="s">
        <v>39</v>
      </c>
      <c r="F122" s="5">
        <v>4</v>
      </c>
      <c r="G122" s="5">
        <v>55809</v>
      </c>
      <c r="H122" s="5">
        <v>2</v>
      </c>
      <c r="I122" s="6">
        <v>46103</v>
      </c>
      <c r="J122" s="6">
        <v>46108</v>
      </c>
      <c r="K122" s="5" t="s">
        <v>29</v>
      </c>
    </row>
    <row r="123" spans="1:11" ht="15" thickBot="1" x14ac:dyDescent="0.4">
      <c r="A123" s="5">
        <v>1122</v>
      </c>
      <c r="B123" s="5" t="s">
        <v>40</v>
      </c>
      <c r="C123" s="5" t="s">
        <v>22</v>
      </c>
      <c r="D123" s="5" t="s">
        <v>34</v>
      </c>
      <c r="E123" s="5" t="s">
        <v>39</v>
      </c>
      <c r="F123" s="5">
        <v>14</v>
      </c>
      <c r="G123" s="5">
        <v>49990</v>
      </c>
      <c r="H123" s="5">
        <v>10</v>
      </c>
      <c r="I123" s="6">
        <v>46132</v>
      </c>
      <c r="J123" s="6">
        <v>46135</v>
      </c>
      <c r="K123" s="5" t="s">
        <v>29</v>
      </c>
    </row>
    <row r="124" spans="1:11" ht="15" thickBot="1" x14ac:dyDescent="0.4">
      <c r="A124" s="5">
        <v>1123</v>
      </c>
      <c r="B124" s="5" t="s">
        <v>32</v>
      </c>
      <c r="C124" s="5" t="s">
        <v>31</v>
      </c>
      <c r="D124" s="5" t="s">
        <v>34</v>
      </c>
      <c r="E124" s="5" t="s">
        <v>45</v>
      </c>
      <c r="F124" s="5">
        <v>16</v>
      </c>
      <c r="G124" s="5">
        <v>1332</v>
      </c>
      <c r="H124" s="5">
        <v>7</v>
      </c>
      <c r="I124" s="6">
        <v>46107</v>
      </c>
      <c r="J124" s="6">
        <v>46109</v>
      </c>
      <c r="K124" s="5" t="s">
        <v>29</v>
      </c>
    </row>
    <row r="125" spans="1:11" ht="15" thickBot="1" x14ac:dyDescent="0.4">
      <c r="A125" s="5">
        <v>1124</v>
      </c>
      <c r="B125" s="5" t="s">
        <v>27</v>
      </c>
      <c r="C125" s="5" t="s">
        <v>38</v>
      </c>
      <c r="D125" s="5" t="s">
        <v>18</v>
      </c>
      <c r="E125" s="5" t="s">
        <v>56</v>
      </c>
      <c r="F125" s="5">
        <v>4</v>
      </c>
      <c r="G125" s="5">
        <v>14195</v>
      </c>
      <c r="H125" s="5">
        <v>15</v>
      </c>
      <c r="I125" s="6">
        <v>46182</v>
      </c>
      <c r="J125" s="6">
        <v>46189</v>
      </c>
      <c r="K125" s="5" t="s">
        <v>51</v>
      </c>
    </row>
    <row r="126" spans="1:11" ht="15" thickBot="1" x14ac:dyDescent="0.4">
      <c r="A126" s="5">
        <v>1125</v>
      </c>
      <c r="B126" s="5" t="s">
        <v>49</v>
      </c>
      <c r="C126" s="5" t="s">
        <v>33</v>
      </c>
      <c r="D126" s="5" t="s">
        <v>13</v>
      </c>
      <c r="E126" s="5" t="s">
        <v>14</v>
      </c>
      <c r="F126" s="5">
        <v>6</v>
      </c>
      <c r="G126" s="5">
        <v>30</v>
      </c>
      <c r="H126" s="5">
        <v>2</v>
      </c>
      <c r="I126" s="6">
        <v>46133</v>
      </c>
      <c r="J126" s="6">
        <v>46138</v>
      </c>
      <c r="K126" s="5" t="s">
        <v>24</v>
      </c>
    </row>
    <row r="127" spans="1:11" ht="15" thickBot="1" x14ac:dyDescent="0.4">
      <c r="A127" s="5">
        <v>1126</v>
      </c>
      <c r="B127" s="5" t="s">
        <v>46</v>
      </c>
      <c r="C127" s="5" t="s">
        <v>22</v>
      </c>
      <c r="D127" s="5" t="s">
        <v>34</v>
      </c>
      <c r="E127" s="5" t="s">
        <v>39</v>
      </c>
      <c r="F127" s="5">
        <v>17</v>
      </c>
      <c r="G127" s="5">
        <v>19390</v>
      </c>
      <c r="H127" s="5">
        <v>12</v>
      </c>
      <c r="I127" s="6">
        <v>46201</v>
      </c>
      <c r="J127" s="6">
        <v>46206</v>
      </c>
      <c r="K127" s="5" t="s">
        <v>29</v>
      </c>
    </row>
    <row r="128" spans="1:11" ht="15" thickBot="1" x14ac:dyDescent="0.4">
      <c r="A128" s="5">
        <v>1127</v>
      </c>
      <c r="B128" s="5" t="s">
        <v>26</v>
      </c>
      <c r="C128" s="5" t="s">
        <v>33</v>
      </c>
      <c r="D128" s="5" t="s">
        <v>18</v>
      </c>
      <c r="E128" s="5" t="s">
        <v>28</v>
      </c>
      <c r="F128" s="5">
        <v>15</v>
      </c>
      <c r="G128" s="5">
        <v>11694</v>
      </c>
      <c r="H128" s="5">
        <v>12</v>
      </c>
      <c r="I128" s="6">
        <v>46170</v>
      </c>
      <c r="J128" s="6">
        <v>46179</v>
      </c>
      <c r="K128" s="5" t="s">
        <v>29</v>
      </c>
    </row>
    <row r="129" spans="1:11" ht="15" thickBot="1" x14ac:dyDescent="0.4">
      <c r="A129" s="5">
        <v>1128</v>
      </c>
      <c r="B129" s="5" t="s">
        <v>30</v>
      </c>
      <c r="C129" s="5" t="s">
        <v>22</v>
      </c>
      <c r="D129" s="5" t="s">
        <v>34</v>
      </c>
      <c r="E129" s="5" t="s">
        <v>61</v>
      </c>
      <c r="F129" s="5">
        <v>6</v>
      </c>
      <c r="G129" s="5">
        <v>5001</v>
      </c>
      <c r="H129" s="5">
        <v>7</v>
      </c>
      <c r="I129" s="6">
        <v>46044</v>
      </c>
      <c r="J129" s="6">
        <v>46050</v>
      </c>
      <c r="K129" s="5" t="s">
        <v>29</v>
      </c>
    </row>
    <row r="130" spans="1:11" ht="15" thickBot="1" x14ac:dyDescent="0.4">
      <c r="A130" s="5">
        <v>1129</v>
      </c>
      <c r="B130" s="5" t="s">
        <v>58</v>
      </c>
      <c r="C130" s="5" t="s">
        <v>17</v>
      </c>
      <c r="D130" s="5" t="s">
        <v>13</v>
      </c>
      <c r="E130" s="5" t="s">
        <v>50</v>
      </c>
      <c r="F130" s="5">
        <v>15</v>
      </c>
      <c r="G130" s="5">
        <v>75</v>
      </c>
      <c r="H130" s="5">
        <v>7</v>
      </c>
      <c r="I130" s="6">
        <v>46160</v>
      </c>
      <c r="J130" s="6">
        <v>46164</v>
      </c>
      <c r="K130" s="5" t="s">
        <v>29</v>
      </c>
    </row>
    <row r="131" spans="1:11" ht="15" thickBot="1" x14ac:dyDescent="0.4">
      <c r="A131" s="5">
        <v>1130</v>
      </c>
      <c r="B131" s="5" t="s">
        <v>48</v>
      </c>
      <c r="C131" s="5" t="s">
        <v>33</v>
      </c>
      <c r="D131" s="5" t="s">
        <v>13</v>
      </c>
      <c r="E131" s="5" t="s">
        <v>14</v>
      </c>
      <c r="F131" s="5">
        <v>12</v>
      </c>
      <c r="G131" s="5">
        <v>50</v>
      </c>
      <c r="H131" s="5">
        <v>2</v>
      </c>
      <c r="I131" s="6">
        <v>46125</v>
      </c>
      <c r="J131" s="6">
        <v>46131</v>
      </c>
      <c r="K131" s="5" t="s">
        <v>24</v>
      </c>
    </row>
    <row r="132" spans="1:11" ht="15" thickBot="1" x14ac:dyDescent="0.4">
      <c r="A132" s="5">
        <v>1131</v>
      </c>
      <c r="B132" s="5" t="s">
        <v>21</v>
      </c>
      <c r="C132" s="5" t="s">
        <v>31</v>
      </c>
      <c r="D132" s="5" t="s">
        <v>18</v>
      </c>
      <c r="E132" s="5" t="s">
        <v>23</v>
      </c>
      <c r="F132" s="5">
        <v>13</v>
      </c>
      <c r="G132" s="5">
        <v>3083</v>
      </c>
      <c r="H132" s="5">
        <v>7</v>
      </c>
      <c r="I132" s="6">
        <v>46168</v>
      </c>
      <c r="J132" s="6">
        <v>46173</v>
      </c>
      <c r="K132" s="5" t="s">
        <v>51</v>
      </c>
    </row>
    <row r="133" spans="1:11" ht="15" thickBot="1" x14ac:dyDescent="0.4">
      <c r="A133" s="5">
        <v>1132</v>
      </c>
      <c r="B133" s="5" t="s">
        <v>11</v>
      </c>
      <c r="C133" s="5" t="s">
        <v>31</v>
      </c>
      <c r="D133" s="5" t="s">
        <v>13</v>
      </c>
      <c r="E133" s="5" t="s">
        <v>50</v>
      </c>
      <c r="F133" s="5">
        <v>10</v>
      </c>
      <c r="G133" s="5">
        <v>270</v>
      </c>
      <c r="H133" s="5">
        <v>7</v>
      </c>
      <c r="I133" s="6">
        <v>46024</v>
      </c>
      <c r="J133" s="6">
        <v>46034</v>
      </c>
      <c r="K133" s="5" t="s">
        <v>24</v>
      </c>
    </row>
    <row r="134" spans="1:11" ht="15" thickBot="1" x14ac:dyDescent="0.4">
      <c r="A134" s="5">
        <v>1133</v>
      </c>
      <c r="B134" s="5" t="s">
        <v>11</v>
      </c>
      <c r="C134" s="5" t="s">
        <v>12</v>
      </c>
      <c r="D134" s="5" t="s">
        <v>18</v>
      </c>
      <c r="E134" s="5" t="s">
        <v>56</v>
      </c>
      <c r="F134" s="5">
        <v>6</v>
      </c>
      <c r="G134" s="5">
        <v>9037</v>
      </c>
      <c r="H134" s="5">
        <v>2</v>
      </c>
      <c r="I134" s="6">
        <v>46112</v>
      </c>
      <c r="J134" s="6">
        <v>46121</v>
      </c>
      <c r="K134" s="5" t="s">
        <v>51</v>
      </c>
    </row>
    <row r="135" spans="1:11" ht="15" thickBot="1" x14ac:dyDescent="0.4">
      <c r="A135" s="5">
        <v>1134</v>
      </c>
      <c r="B135" s="5" t="s">
        <v>57</v>
      </c>
      <c r="C135" s="5" t="s">
        <v>31</v>
      </c>
      <c r="D135" s="5" t="s">
        <v>34</v>
      </c>
      <c r="E135" s="5" t="s">
        <v>61</v>
      </c>
      <c r="F135" s="5">
        <v>10</v>
      </c>
      <c r="G135" s="5">
        <v>29217</v>
      </c>
      <c r="H135" s="5">
        <v>15</v>
      </c>
      <c r="I135" s="6">
        <v>46148</v>
      </c>
      <c r="J135" s="6">
        <v>46150</v>
      </c>
      <c r="K135" s="5" t="s">
        <v>24</v>
      </c>
    </row>
    <row r="136" spans="1:11" ht="15" thickBot="1" x14ac:dyDescent="0.4">
      <c r="A136" s="5">
        <v>1135</v>
      </c>
      <c r="B136" s="5" t="s">
        <v>49</v>
      </c>
      <c r="C136" s="5" t="s">
        <v>43</v>
      </c>
      <c r="D136" s="5" t="s">
        <v>34</v>
      </c>
      <c r="E136" s="5" t="s">
        <v>39</v>
      </c>
      <c r="F136" s="5">
        <v>14</v>
      </c>
      <c r="G136" s="5">
        <v>68534</v>
      </c>
      <c r="H136" s="5">
        <v>0</v>
      </c>
      <c r="I136" s="6">
        <v>46041</v>
      </c>
      <c r="J136" s="6">
        <v>46042</v>
      </c>
      <c r="K136" s="5" t="s">
        <v>15</v>
      </c>
    </row>
    <row r="137" spans="1:11" ht="15" thickBot="1" x14ac:dyDescent="0.4">
      <c r="A137" s="5">
        <v>1136</v>
      </c>
      <c r="B137" s="5" t="s">
        <v>27</v>
      </c>
      <c r="C137" s="5" t="s">
        <v>43</v>
      </c>
      <c r="D137" s="5" t="s">
        <v>18</v>
      </c>
      <c r="E137" s="5" t="s">
        <v>56</v>
      </c>
      <c r="F137" s="5">
        <v>19</v>
      </c>
      <c r="G137" s="5">
        <v>14528</v>
      </c>
      <c r="H137" s="5">
        <v>12</v>
      </c>
      <c r="I137" s="6">
        <v>46056</v>
      </c>
      <c r="J137" s="6">
        <v>46062</v>
      </c>
      <c r="K137" s="5" t="s">
        <v>24</v>
      </c>
    </row>
    <row r="138" spans="1:11" ht="15" thickBot="1" x14ac:dyDescent="0.4">
      <c r="A138" s="5">
        <v>1137</v>
      </c>
      <c r="B138" s="5" t="s">
        <v>52</v>
      </c>
      <c r="C138" s="5" t="s">
        <v>12</v>
      </c>
      <c r="D138" s="5" t="s">
        <v>13</v>
      </c>
      <c r="E138" s="5" t="s">
        <v>37</v>
      </c>
      <c r="F138" s="5">
        <v>16</v>
      </c>
      <c r="G138" s="5">
        <v>270</v>
      </c>
      <c r="H138" s="5">
        <v>10</v>
      </c>
      <c r="I138" s="6">
        <v>46184</v>
      </c>
      <c r="J138" s="6">
        <v>46190</v>
      </c>
      <c r="K138" s="5" t="s">
        <v>29</v>
      </c>
    </row>
    <row r="139" spans="1:11" ht="15" thickBot="1" x14ac:dyDescent="0.4">
      <c r="A139" s="5">
        <v>1138</v>
      </c>
      <c r="B139" s="5" t="s">
        <v>55</v>
      </c>
      <c r="C139" s="5" t="s">
        <v>43</v>
      </c>
      <c r="D139" s="5" t="s">
        <v>18</v>
      </c>
      <c r="E139" s="5" t="s">
        <v>19</v>
      </c>
      <c r="F139" s="5">
        <v>5</v>
      </c>
      <c r="G139" s="5">
        <v>14466</v>
      </c>
      <c r="H139" s="5">
        <v>2</v>
      </c>
      <c r="I139" s="6">
        <v>46084</v>
      </c>
      <c r="J139" s="6">
        <v>46092</v>
      </c>
      <c r="K139" s="5" t="s">
        <v>51</v>
      </c>
    </row>
    <row r="140" spans="1:11" ht="15" thickBot="1" x14ac:dyDescent="0.4">
      <c r="A140" s="5">
        <v>1139</v>
      </c>
      <c r="B140" s="5" t="s">
        <v>55</v>
      </c>
      <c r="C140" s="5" t="s">
        <v>33</v>
      </c>
      <c r="D140" s="5" t="s">
        <v>34</v>
      </c>
      <c r="E140" s="5" t="s">
        <v>61</v>
      </c>
      <c r="F140" s="5">
        <v>17</v>
      </c>
      <c r="G140" s="5">
        <v>28839</v>
      </c>
      <c r="H140" s="5">
        <v>10</v>
      </c>
      <c r="I140" s="6">
        <v>46093</v>
      </c>
      <c r="J140" s="6">
        <v>46099</v>
      </c>
      <c r="K140" s="5" t="s">
        <v>15</v>
      </c>
    </row>
    <row r="141" spans="1:11" ht="15" thickBot="1" x14ac:dyDescent="0.4">
      <c r="A141" s="5">
        <v>1140</v>
      </c>
      <c r="B141" s="5" t="s">
        <v>57</v>
      </c>
      <c r="C141" s="5" t="s">
        <v>38</v>
      </c>
      <c r="D141" s="5" t="s">
        <v>34</v>
      </c>
      <c r="E141" s="5" t="s">
        <v>41</v>
      </c>
      <c r="F141" s="5">
        <v>5</v>
      </c>
      <c r="G141" s="5">
        <v>68012</v>
      </c>
      <c r="H141" s="5">
        <v>5</v>
      </c>
      <c r="I141" s="6">
        <v>46061</v>
      </c>
      <c r="J141" s="6">
        <v>46065</v>
      </c>
      <c r="K141" s="5" t="s">
        <v>15</v>
      </c>
    </row>
    <row r="142" spans="1:11" ht="15" thickBot="1" x14ac:dyDescent="0.4">
      <c r="A142" s="5">
        <v>1141</v>
      </c>
      <c r="B142" s="5" t="s">
        <v>11</v>
      </c>
      <c r="C142" s="5" t="s">
        <v>17</v>
      </c>
      <c r="D142" s="5" t="s">
        <v>18</v>
      </c>
      <c r="E142" s="5" t="s">
        <v>44</v>
      </c>
      <c r="F142" s="5">
        <v>20</v>
      </c>
      <c r="G142" s="5">
        <v>6835</v>
      </c>
      <c r="H142" s="5">
        <v>2</v>
      </c>
      <c r="I142" s="6">
        <v>46043</v>
      </c>
      <c r="J142" s="6">
        <v>46053</v>
      </c>
      <c r="K142" s="5" t="s">
        <v>15</v>
      </c>
    </row>
    <row r="143" spans="1:11" ht="15" thickBot="1" x14ac:dyDescent="0.4">
      <c r="A143" s="5">
        <v>1142</v>
      </c>
      <c r="B143" s="5" t="s">
        <v>40</v>
      </c>
      <c r="C143" s="5" t="s">
        <v>25</v>
      </c>
      <c r="D143" s="5" t="s">
        <v>34</v>
      </c>
      <c r="E143" s="5" t="s">
        <v>60</v>
      </c>
      <c r="F143" s="5">
        <v>9</v>
      </c>
      <c r="G143" s="5">
        <v>59788</v>
      </c>
      <c r="H143" s="5">
        <v>7</v>
      </c>
      <c r="I143" s="6">
        <v>46064</v>
      </c>
      <c r="J143" s="6">
        <v>46071</v>
      </c>
      <c r="K143" s="5" t="s">
        <v>29</v>
      </c>
    </row>
    <row r="144" spans="1:11" ht="15" thickBot="1" x14ac:dyDescent="0.4">
      <c r="A144" s="5">
        <v>1143</v>
      </c>
      <c r="B144" s="5" t="s">
        <v>29</v>
      </c>
      <c r="C144" s="5" t="s">
        <v>17</v>
      </c>
      <c r="D144" s="5" t="s">
        <v>13</v>
      </c>
      <c r="E144" s="5" t="s">
        <v>37</v>
      </c>
      <c r="F144" s="5">
        <v>13</v>
      </c>
      <c r="G144" s="5">
        <v>456</v>
      </c>
      <c r="H144" s="5">
        <v>2</v>
      </c>
      <c r="I144" s="6">
        <v>46160</v>
      </c>
      <c r="J144" s="6">
        <v>46167</v>
      </c>
      <c r="K144" s="5" t="s">
        <v>24</v>
      </c>
    </row>
    <row r="145" spans="1:11" ht="15" thickBot="1" x14ac:dyDescent="0.4">
      <c r="A145" s="5">
        <v>1144</v>
      </c>
      <c r="B145" s="5" t="s">
        <v>42</v>
      </c>
      <c r="C145" s="5" t="s">
        <v>25</v>
      </c>
      <c r="D145" s="5" t="s">
        <v>13</v>
      </c>
      <c r="E145" s="5" t="s">
        <v>14</v>
      </c>
      <c r="F145" s="5">
        <v>16</v>
      </c>
      <c r="G145" s="5">
        <v>219</v>
      </c>
      <c r="H145" s="5">
        <v>7</v>
      </c>
      <c r="I145" s="6">
        <v>46138</v>
      </c>
      <c r="J145" s="6">
        <v>46140</v>
      </c>
      <c r="K145" s="5" t="s">
        <v>20</v>
      </c>
    </row>
    <row r="146" spans="1:11" ht="15" thickBot="1" x14ac:dyDescent="0.4">
      <c r="A146" s="5">
        <v>1145</v>
      </c>
      <c r="B146" s="5" t="s">
        <v>42</v>
      </c>
      <c r="C146" s="5" t="s">
        <v>33</v>
      </c>
      <c r="D146" s="5" t="s">
        <v>34</v>
      </c>
      <c r="E146" s="5" t="s">
        <v>39</v>
      </c>
      <c r="F146" s="5">
        <v>2</v>
      </c>
      <c r="G146" s="5">
        <v>34429</v>
      </c>
      <c r="H146" s="5">
        <v>12</v>
      </c>
      <c r="I146" s="6">
        <v>46102</v>
      </c>
      <c r="J146" s="6">
        <v>46112</v>
      </c>
      <c r="K146" s="5" t="s">
        <v>24</v>
      </c>
    </row>
    <row r="147" spans="1:11" ht="15" thickBot="1" x14ac:dyDescent="0.4">
      <c r="A147" s="5">
        <v>1146</v>
      </c>
      <c r="B147" s="5" t="s">
        <v>16</v>
      </c>
      <c r="C147" s="5" t="s">
        <v>43</v>
      </c>
      <c r="D147" s="5" t="s">
        <v>34</v>
      </c>
      <c r="E147" s="5" t="s">
        <v>45</v>
      </c>
      <c r="F147" s="5">
        <v>7</v>
      </c>
      <c r="G147" s="5">
        <v>68217</v>
      </c>
      <c r="H147" s="5">
        <v>0</v>
      </c>
      <c r="I147" s="6">
        <v>46190</v>
      </c>
      <c r="J147" s="6">
        <v>46197</v>
      </c>
      <c r="K147" s="5" t="s">
        <v>29</v>
      </c>
    </row>
    <row r="148" spans="1:11" ht="15" thickBot="1" x14ac:dyDescent="0.4">
      <c r="A148" s="5">
        <v>1147</v>
      </c>
      <c r="B148" s="5" t="s">
        <v>11</v>
      </c>
      <c r="C148" s="5" t="s">
        <v>22</v>
      </c>
      <c r="D148" s="5" t="s">
        <v>18</v>
      </c>
      <c r="E148" s="5" t="s">
        <v>28</v>
      </c>
      <c r="F148" s="5">
        <v>7</v>
      </c>
      <c r="G148" s="5">
        <v>9581</v>
      </c>
      <c r="H148" s="5">
        <v>5</v>
      </c>
      <c r="I148" s="6">
        <v>46154</v>
      </c>
      <c r="J148" s="6">
        <v>46155</v>
      </c>
      <c r="K148" s="5" t="s">
        <v>20</v>
      </c>
    </row>
    <row r="149" spans="1:11" ht="15" thickBot="1" x14ac:dyDescent="0.4">
      <c r="A149" s="5">
        <v>1148</v>
      </c>
      <c r="B149" s="5" t="s">
        <v>59</v>
      </c>
      <c r="C149" s="5" t="s">
        <v>33</v>
      </c>
      <c r="D149" s="5" t="s">
        <v>18</v>
      </c>
      <c r="E149" s="5" t="s">
        <v>28</v>
      </c>
      <c r="F149" s="5">
        <v>11</v>
      </c>
      <c r="G149" s="5">
        <v>3023</v>
      </c>
      <c r="H149" s="5">
        <v>7</v>
      </c>
      <c r="I149" s="6">
        <v>46030</v>
      </c>
      <c r="J149" s="6">
        <v>46032</v>
      </c>
      <c r="K149" s="5" t="s">
        <v>24</v>
      </c>
    </row>
    <row r="150" spans="1:11" ht="15" thickBot="1" x14ac:dyDescent="0.4">
      <c r="A150" s="5">
        <v>1149</v>
      </c>
      <c r="B150" s="5" t="s">
        <v>26</v>
      </c>
      <c r="C150" s="5" t="s">
        <v>38</v>
      </c>
      <c r="D150" s="5" t="s">
        <v>34</v>
      </c>
      <c r="E150" s="5" t="s">
        <v>35</v>
      </c>
      <c r="F150" s="5">
        <v>10</v>
      </c>
      <c r="G150" s="5">
        <v>22853</v>
      </c>
      <c r="H150" s="5">
        <v>7</v>
      </c>
      <c r="I150" s="6">
        <v>46053</v>
      </c>
      <c r="J150" s="6">
        <v>46054</v>
      </c>
      <c r="K150" s="5" t="s">
        <v>29</v>
      </c>
    </row>
    <row r="151" spans="1:11" ht="15" thickBot="1" x14ac:dyDescent="0.4">
      <c r="A151" s="5">
        <v>1150</v>
      </c>
      <c r="B151" s="5" t="s">
        <v>42</v>
      </c>
      <c r="C151" s="5" t="s">
        <v>12</v>
      </c>
      <c r="D151" s="5" t="s">
        <v>18</v>
      </c>
      <c r="E151" s="5" t="s">
        <v>56</v>
      </c>
      <c r="F151" s="5">
        <v>10</v>
      </c>
      <c r="G151" s="5">
        <v>5323</v>
      </c>
      <c r="H151" s="5">
        <v>7</v>
      </c>
      <c r="I151" s="6">
        <v>46143</v>
      </c>
      <c r="J151" s="6">
        <v>46153</v>
      </c>
      <c r="K151" s="5" t="s">
        <v>24</v>
      </c>
    </row>
    <row r="152" spans="1:11" ht="15" thickBot="1" x14ac:dyDescent="0.4">
      <c r="A152" s="5">
        <v>1151</v>
      </c>
      <c r="B152" s="5" t="s">
        <v>46</v>
      </c>
      <c r="C152" s="5" t="s">
        <v>43</v>
      </c>
      <c r="D152" s="5" t="s">
        <v>13</v>
      </c>
      <c r="E152" s="5" t="s">
        <v>50</v>
      </c>
      <c r="F152" s="5">
        <v>20</v>
      </c>
      <c r="G152" s="5">
        <v>272</v>
      </c>
      <c r="H152" s="5">
        <v>15</v>
      </c>
      <c r="I152" s="6">
        <v>46024</v>
      </c>
      <c r="J152" s="6">
        <v>46029</v>
      </c>
      <c r="K152" s="5" t="s">
        <v>51</v>
      </c>
    </row>
    <row r="153" spans="1:11" ht="15" thickBot="1" x14ac:dyDescent="0.4">
      <c r="A153" s="5">
        <v>1152</v>
      </c>
      <c r="B153" s="5" t="s">
        <v>27</v>
      </c>
      <c r="C153" s="5" t="s">
        <v>31</v>
      </c>
      <c r="D153" s="5" t="s">
        <v>34</v>
      </c>
      <c r="E153" s="5" t="s">
        <v>61</v>
      </c>
      <c r="F153" s="5">
        <v>14</v>
      </c>
      <c r="G153" s="5">
        <v>8150</v>
      </c>
      <c r="H153" s="5">
        <v>10</v>
      </c>
      <c r="I153" s="6">
        <v>46062</v>
      </c>
      <c r="J153" s="6">
        <v>46070</v>
      </c>
      <c r="K153" s="5" t="s">
        <v>15</v>
      </c>
    </row>
    <row r="154" spans="1:11" ht="15" thickBot="1" x14ac:dyDescent="0.4">
      <c r="A154" s="5">
        <v>1153</v>
      </c>
      <c r="B154" s="5" t="s">
        <v>42</v>
      </c>
      <c r="C154" s="5" t="s">
        <v>25</v>
      </c>
      <c r="D154" s="5" t="s">
        <v>18</v>
      </c>
      <c r="E154" s="5" t="s">
        <v>23</v>
      </c>
      <c r="F154" s="5">
        <v>19</v>
      </c>
      <c r="G154" s="5">
        <v>10273</v>
      </c>
      <c r="H154" s="5">
        <v>12</v>
      </c>
      <c r="I154" s="6">
        <v>46069</v>
      </c>
      <c r="J154" s="6">
        <v>46072</v>
      </c>
      <c r="K154" s="5" t="s">
        <v>29</v>
      </c>
    </row>
    <row r="155" spans="1:11" ht="15" thickBot="1" x14ac:dyDescent="0.4">
      <c r="A155" s="5">
        <v>1154</v>
      </c>
      <c r="B155" s="5" t="s">
        <v>32</v>
      </c>
      <c r="C155" s="5" t="s">
        <v>17</v>
      </c>
      <c r="D155" s="5" t="s">
        <v>18</v>
      </c>
      <c r="E155" s="5" t="s">
        <v>56</v>
      </c>
      <c r="F155" s="5">
        <v>15</v>
      </c>
      <c r="G155" s="5">
        <v>6101</v>
      </c>
      <c r="H155" s="5">
        <v>0</v>
      </c>
      <c r="I155" s="6">
        <v>46178</v>
      </c>
      <c r="J155" s="6">
        <v>46183</v>
      </c>
      <c r="K155" s="5" t="s">
        <v>51</v>
      </c>
    </row>
    <row r="156" spans="1:11" ht="15" thickBot="1" x14ac:dyDescent="0.4">
      <c r="A156" s="5">
        <v>1155</v>
      </c>
      <c r="B156" s="5" t="s">
        <v>11</v>
      </c>
      <c r="C156" s="5" t="s">
        <v>31</v>
      </c>
      <c r="D156" s="5" t="s">
        <v>18</v>
      </c>
      <c r="E156" s="5" t="s">
        <v>28</v>
      </c>
      <c r="F156" s="5">
        <v>13</v>
      </c>
      <c r="G156" s="5">
        <v>4341</v>
      </c>
      <c r="H156" s="5">
        <v>15</v>
      </c>
      <c r="I156" s="6">
        <v>46093</v>
      </c>
      <c r="J156" s="6">
        <v>46096</v>
      </c>
      <c r="K156" s="5" t="s">
        <v>24</v>
      </c>
    </row>
    <row r="157" spans="1:11" ht="15" thickBot="1" x14ac:dyDescent="0.4">
      <c r="A157" s="5">
        <v>1156</v>
      </c>
      <c r="B157" s="5" t="s">
        <v>54</v>
      </c>
      <c r="C157" s="5" t="s">
        <v>38</v>
      </c>
      <c r="D157" s="5" t="s">
        <v>13</v>
      </c>
      <c r="E157" s="5" t="s">
        <v>36</v>
      </c>
      <c r="F157" s="5">
        <v>5</v>
      </c>
      <c r="G157" s="5">
        <v>466</v>
      </c>
      <c r="H157" s="5">
        <v>15</v>
      </c>
      <c r="I157" s="6">
        <v>46025</v>
      </c>
      <c r="J157" s="6">
        <v>46029</v>
      </c>
      <c r="K157" s="5" t="s">
        <v>15</v>
      </c>
    </row>
    <row r="158" spans="1:11" ht="15" thickBot="1" x14ac:dyDescent="0.4">
      <c r="A158" s="5">
        <v>1157</v>
      </c>
      <c r="B158" s="5" t="s">
        <v>52</v>
      </c>
      <c r="C158" s="5" t="s">
        <v>33</v>
      </c>
      <c r="D158" s="5" t="s">
        <v>13</v>
      </c>
      <c r="E158" s="5" t="s">
        <v>50</v>
      </c>
      <c r="F158" s="5">
        <v>3</v>
      </c>
      <c r="G158" s="5">
        <v>203</v>
      </c>
      <c r="H158" s="5">
        <v>15</v>
      </c>
      <c r="I158" s="6">
        <v>46076</v>
      </c>
      <c r="J158" s="6">
        <v>46080</v>
      </c>
      <c r="K158" s="5" t="s">
        <v>29</v>
      </c>
    </row>
    <row r="159" spans="1:11" ht="15" thickBot="1" x14ac:dyDescent="0.4">
      <c r="A159" s="5">
        <v>1158</v>
      </c>
      <c r="B159" s="5" t="s">
        <v>26</v>
      </c>
      <c r="C159" s="5" t="s">
        <v>38</v>
      </c>
      <c r="D159" s="5" t="s">
        <v>34</v>
      </c>
      <c r="E159" s="5" t="s">
        <v>41</v>
      </c>
      <c r="F159" s="5">
        <v>13</v>
      </c>
      <c r="G159" s="5">
        <v>12518</v>
      </c>
      <c r="H159" s="5">
        <v>2</v>
      </c>
      <c r="I159" s="6">
        <v>46079</v>
      </c>
      <c r="J159" s="6">
        <v>46082</v>
      </c>
      <c r="K159" s="5" t="s">
        <v>51</v>
      </c>
    </row>
    <row r="160" spans="1:11" ht="15" thickBot="1" x14ac:dyDescent="0.4">
      <c r="A160" s="5">
        <v>1159</v>
      </c>
      <c r="B160" s="5" t="s">
        <v>32</v>
      </c>
      <c r="C160" s="5" t="s">
        <v>43</v>
      </c>
      <c r="D160" s="5" t="s">
        <v>18</v>
      </c>
      <c r="E160" s="5" t="s">
        <v>28</v>
      </c>
      <c r="F160" s="5">
        <v>20</v>
      </c>
      <c r="G160" s="5">
        <v>14000</v>
      </c>
      <c r="H160" s="5">
        <v>15</v>
      </c>
      <c r="I160" s="6">
        <v>46184</v>
      </c>
      <c r="J160" s="6">
        <v>46187</v>
      </c>
      <c r="K160" s="5" t="s">
        <v>15</v>
      </c>
    </row>
    <row r="161" spans="1:11" ht="15" thickBot="1" x14ac:dyDescent="0.4">
      <c r="A161" s="5">
        <v>1160</v>
      </c>
      <c r="B161" s="5" t="s">
        <v>59</v>
      </c>
      <c r="C161" s="5" t="s">
        <v>22</v>
      </c>
      <c r="D161" s="5" t="s">
        <v>34</v>
      </c>
      <c r="E161" s="5" t="s">
        <v>39</v>
      </c>
      <c r="F161" s="5">
        <v>7</v>
      </c>
      <c r="G161" s="5">
        <v>53986</v>
      </c>
      <c r="H161" s="5">
        <v>10</v>
      </c>
      <c r="I161" s="6">
        <v>46142</v>
      </c>
      <c r="J161" s="6">
        <v>46147</v>
      </c>
      <c r="K161" s="5" t="s">
        <v>51</v>
      </c>
    </row>
    <row r="162" spans="1:11" ht="15" thickBot="1" x14ac:dyDescent="0.4">
      <c r="A162" s="5">
        <v>1161</v>
      </c>
      <c r="B162" s="5" t="s">
        <v>27</v>
      </c>
      <c r="C162" s="5" t="s">
        <v>25</v>
      </c>
      <c r="D162" s="5" t="s">
        <v>34</v>
      </c>
      <c r="E162" s="5" t="s">
        <v>39</v>
      </c>
      <c r="F162" s="5">
        <v>4</v>
      </c>
      <c r="G162" s="5">
        <v>54659</v>
      </c>
      <c r="H162" s="5">
        <v>7</v>
      </c>
      <c r="I162" s="6">
        <v>46105</v>
      </c>
      <c r="J162" s="6">
        <v>46109</v>
      </c>
      <c r="K162" s="5" t="s">
        <v>20</v>
      </c>
    </row>
    <row r="163" spans="1:11" ht="15" thickBot="1" x14ac:dyDescent="0.4">
      <c r="A163" s="5">
        <v>1162</v>
      </c>
      <c r="B163" s="5" t="s">
        <v>57</v>
      </c>
      <c r="C163" s="5" t="s">
        <v>31</v>
      </c>
      <c r="D163" s="5" t="s">
        <v>34</v>
      </c>
      <c r="E163" s="5" t="s">
        <v>45</v>
      </c>
      <c r="F163" s="5">
        <v>2</v>
      </c>
      <c r="G163" s="5">
        <v>28176</v>
      </c>
      <c r="H163" s="5">
        <v>10</v>
      </c>
      <c r="I163" s="6">
        <v>46100</v>
      </c>
      <c r="J163" s="6">
        <v>46101</v>
      </c>
      <c r="K163" s="5" t="s">
        <v>20</v>
      </c>
    </row>
    <row r="164" spans="1:11" ht="15" thickBot="1" x14ac:dyDescent="0.4">
      <c r="A164" s="5">
        <v>1163</v>
      </c>
      <c r="B164" s="5" t="s">
        <v>29</v>
      </c>
      <c r="C164" s="5" t="s">
        <v>38</v>
      </c>
      <c r="D164" s="5" t="s">
        <v>34</v>
      </c>
      <c r="E164" s="5" t="s">
        <v>39</v>
      </c>
      <c r="F164" s="5">
        <v>9</v>
      </c>
      <c r="G164" s="5">
        <v>62440</v>
      </c>
      <c r="H164" s="5">
        <v>2</v>
      </c>
      <c r="I164" s="6">
        <v>46081</v>
      </c>
      <c r="J164" s="6">
        <v>46086</v>
      </c>
      <c r="K164" s="5" t="s">
        <v>29</v>
      </c>
    </row>
    <row r="165" spans="1:11" ht="15" thickBot="1" x14ac:dyDescent="0.4">
      <c r="A165" s="5">
        <v>1164</v>
      </c>
      <c r="B165" s="5" t="s">
        <v>40</v>
      </c>
      <c r="C165" s="5" t="s">
        <v>43</v>
      </c>
      <c r="D165" s="5" t="s">
        <v>34</v>
      </c>
      <c r="E165" s="5" t="s">
        <v>61</v>
      </c>
      <c r="F165" s="5">
        <v>7</v>
      </c>
      <c r="G165" s="5">
        <v>24615</v>
      </c>
      <c r="H165" s="5">
        <v>12</v>
      </c>
      <c r="I165" s="6">
        <v>46196</v>
      </c>
      <c r="J165" s="6">
        <v>46203</v>
      </c>
      <c r="K165" s="5" t="s">
        <v>51</v>
      </c>
    </row>
    <row r="166" spans="1:11" ht="15" thickBot="1" x14ac:dyDescent="0.4">
      <c r="A166" s="5">
        <v>1165</v>
      </c>
      <c r="B166" s="5" t="s">
        <v>48</v>
      </c>
      <c r="C166" s="5" t="s">
        <v>25</v>
      </c>
      <c r="D166" s="5" t="s">
        <v>13</v>
      </c>
      <c r="E166" s="5" t="s">
        <v>37</v>
      </c>
      <c r="F166" s="5">
        <v>1</v>
      </c>
      <c r="G166" s="5">
        <v>427</v>
      </c>
      <c r="H166" s="5">
        <v>0</v>
      </c>
      <c r="I166" s="6">
        <v>46042</v>
      </c>
      <c r="J166" s="6">
        <v>46050</v>
      </c>
      <c r="K166" s="5" t="s">
        <v>51</v>
      </c>
    </row>
    <row r="167" spans="1:11" ht="15" thickBot="1" x14ac:dyDescent="0.4">
      <c r="A167" s="5">
        <v>1166</v>
      </c>
      <c r="B167" s="5" t="s">
        <v>32</v>
      </c>
      <c r="C167" s="5" t="s">
        <v>31</v>
      </c>
      <c r="D167" s="5" t="s">
        <v>13</v>
      </c>
      <c r="E167" s="5" t="s">
        <v>37</v>
      </c>
      <c r="F167" s="5">
        <v>1</v>
      </c>
      <c r="G167" s="5">
        <v>396</v>
      </c>
      <c r="H167" s="5">
        <v>5</v>
      </c>
      <c r="I167" s="6">
        <v>46092</v>
      </c>
      <c r="J167" s="6">
        <v>46093</v>
      </c>
      <c r="K167" s="5" t="s">
        <v>20</v>
      </c>
    </row>
    <row r="168" spans="1:11" ht="15" thickBot="1" x14ac:dyDescent="0.4">
      <c r="A168" s="5">
        <v>1167</v>
      </c>
      <c r="B168" s="5" t="s">
        <v>48</v>
      </c>
      <c r="C168" s="5" t="s">
        <v>17</v>
      </c>
      <c r="D168" s="5" t="s">
        <v>13</v>
      </c>
      <c r="E168" s="5" t="s">
        <v>37</v>
      </c>
      <c r="F168" s="5">
        <v>20</v>
      </c>
      <c r="G168" s="5">
        <v>251</v>
      </c>
      <c r="H168" s="5">
        <v>5</v>
      </c>
      <c r="I168" s="6">
        <v>46160</v>
      </c>
      <c r="J168" s="6">
        <v>46170</v>
      </c>
      <c r="K168" s="5" t="s">
        <v>29</v>
      </c>
    </row>
    <row r="169" spans="1:11" ht="15" thickBot="1" x14ac:dyDescent="0.4">
      <c r="A169" s="5">
        <v>1168</v>
      </c>
      <c r="B169" s="5" t="s">
        <v>54</v>
      </c>
      <c r="C169" s="5" t="s">
        <v>12</v>
      </c>
      <c r="D169" s="5" t="s">
        <v>13</v>
      </c>
      <c r="E169" s="5" t="s">
        <v>37</v>
      </c>
      <c r="F169" s="5">
        <v>18</v>
      </c>
      <c r="G169" s="5">
        <v>335</v>
      </c>
      <c r="H169" s="5">
        <v>15</v>
      </c>
      <c r="I169" s="6">
        <v>46130</v>
      </c>
      <c r="J169" s="6">
        <v>46140</v>
      </c>
      <c r="K169" s="5" t="s">
        <v>29</v>
      </c>
    </row>
    <row r="170" spans="1:11" ht="15" thickBot="1" x14ac:dyDescent="0.4">
      <c r="A170" s="5">
        <v>1169</v>
      </c>
      <c r="B170" s="5" t="s">
        <v>47</v>
      </c>
      <c r="C170" s="5" t="s">
        <v>12</v>
      </c>
      <c r="D170" s="5" t="s">
        <v>18</v>
      </c>
      <c r="E170" s="5" t="s">
        <v>56</v>
      </c>
      <c r="F170" s="5">
        <v>12</v>
      </c>
      <c r="G170" s="5">
        <v>12104</v>
      </c>
      <c r="H170" s="5">
        <v>7</v>
      </c>
      <c r="I170" s="6">
        <v>46121</v>
      </c>
      <c r="J170" s="6">
        <v>46130</v>
      </c>
      <c r="K170" s="5" t="s">
        <v>24</v>
      </c>
    </row>
    <row r="171" spans="1:11" ht="15" thickBot="1" x14ac:dyDescent="0.4">
      <c r="A171" s="5">
        <v>1170</v>
      </c>
      <c r="B171" s="5" t="s">
        <v>49</v>
      </c>
      <c r="C171" s="5" t="s">
        <v>38</v>
      </c>
      <c r="D171" s="5" t="s">
        <v>13</v>
      </c>
      <c r="E171" s="5" t="s">
        <v>14</v>
      </c>
      <c r="F171" s="5">
        <v>6</v>
      </c>
      <c r="G171" s="5">
        <v>339</v>
      </c>
      <c r="H171" s="5">
        <v>12</v>
      </c>
      <c r="I171" s="6">
        <v>46105</v>
      </c>
      <c r="J171" s="6">
        <v>46106</v>
      </c>
      <c r="K171" s="5" t="s">
        <v>24</v>
      </c>
    </row>
    <row r="172" spans="1:11" ht="15" thickBot="1" x14ac:dyDescent="0.4">
      <c r="A172" s="5">
        <v>1171</v>
      </c>
      <c r="B172" s="5" t="s">
        <v>57</v>
      </c>
      <c r="C172" s="5" t="s">
        <v>25</v>
      </c>
      <c r="D172" s="5" t="s">
        <v>13</v>
      </c>
      <c r="E172" s="5" t="s">
        <v>50</v>
      </c>
      <c r="F172" s="5">
        <v>17</v>
      </c>
      <c r="G172" s="5">
        <v>147</v>
      </c>
      <c r="H172" s="5">
        <v>12</v>
      </c>
      <c r="I172" s="6">
        <v>46155</v>
      </c>
      <c r="J172" s="6">
        <v>46160</v>
      </c>
      <c r="K172" s="5" t="s">
        <v>20</v>
      </c>
    </row>
    <row r="173" spans="1:11" ht="15" thickBot="1" x14ac:dyDescent="0.4">
      <c r="A173" s="5">
        <v>1172</v>
      </c>
      <c r="B173" s="5" t="s">
        <v>16</v>
      </c>
      <c r="C173" s="5" t="s">
        <v>12</v>
      </c>
      <c r="D173" s="5" t="s">
        <v>34</v>
      </c>
      <c r="E173" s="5" t="s">
        <v>45</v>
      </c>
      <c r="F173" s="5">
        <v>13</v>
      </c>
      <c r="G173" s="5">
        <v>43163</v>
      </c>
      <c r="H173" s="5">
        <v>12</v>
      </c>
      <c r="I173" s="6">
        <v>46120</v>
      </c>
      <c r="J173" s="6">
        <v>46129</v>
      </c>
      <c r="K173" s="5" t="s">
        <v>24</v>
      </c>
    </row>
    <row r="174" spans="1:11" ht="15" thickBot="1" x14ac:dyDescent="0.4">
      <c r="A174" s="5">
        <v>1173</v>
      </c>
      <c r="B174" s="5" t="s">
        <v>40</v>
      </c>
      <c r="C174" s="5" t="s">
        <v>17</v>
      </c>
      <c r="D174" s="5" t="s">
        <v>13</v>
      </c>
      <c r="E174" s="5" t="s">
        <v>37</v>
      </c>
      <c r="F174" s="5">
        <v>15</v>
      </c>
      <c r="G174" s="5">
        <v>214</v>
      </c>
      <c r="H174" s="5">
        <v>10</v>
      </c>
      <c r="I174" s="6">
        <v>46050</v>
      </c>
      <c r="J174" s="6">
        <v>46060</v>
      </c>
      <c r="K174" s="5" t="s">
        <v>51</v>
      </c>
    </row>
    <row r="175" spans="1:11" ht="15" thickBot="1" x14ac:dyDescent="0.4">
      <c r="A175" s="5">
        <v>1174</v>
      </c>
      <c r="B175" s="5" t="s">
        <v>58</v>
      </c>
      <c r="C175" s="5" t="s">
        <v>38</v>
      </c>
      <c r="D175" s="5" t="s">
        <v>13</v>
      </c>
      <c r="E175" s="5" t="s">
        <v>14</v>
      </c>
      <c r="F175" s="5">
        <v>13</v>
      </c>
      <c r="G175" s="5">
        <v>155</v>
      </c>
      <c r="H175" s="5">
        <v>2</v>
      </c>
      <c r="I175" s="6">
        <v>46066</v>
      </c>
      <c r="J175" s="6">
        <v>46069</v>
      </c>
      <c r="K175" s="5" t="s">
        <v>24</v>
      </c>
    </row>
    <row r="176" spans="1:11" ht="15" thickBot="1" x14ac:dyDescent="0.4">
      <c r="A176" s="5">
        <v>1175</v>
      </c>
      <c r="B176" s="5" t="s">
        <v>26</v>
      </c>
      <c r="C176" s="5" t="s">
        <v>17</v>
      </c>
      <c r="D176" s="5" t="s">
        <v>34</v>
      </c>
      <c r="E176" s="5" t="s">
        <v>41</v>
      </c>
      <c r="F176" s="5">
        <v>10</v>
      </c>
      <c r="G176" s="5">
        <v>20339</v>
      </c>
      <c r="H176" s="5">
        <v>2</v>
      </c>
      <c r="I176" s="6">
        <v>46088</v>
      </c>
      <c r="J176" s="6">
        <v>46094</v>
      </c>
      <c r="K176" s="5" t="s">
        <v>20</v>
      </c>
    </row>
    <row r="177" spans="1:11" ht="15" thickBot="1" x14ac:dyDescent="0.4">
      <c r="A177" s="5">
        <v>1176</v>
      </c>
      <c r="B177" s="5" t="s">
        <v>58</v>
      </c>
      <c r="C177" s="5" t="s">
        <v>38</v>
      </c>
      <c r="D177" s="5" t="s">
        <v>34</v>
      </c>
      <c r="E177" s="5" t="s">
        <v>41</v>
      </c>
      <c r="F177" s="5">
        <v>17</v>
      </c>
      <c r="G177" s="5">
        <v>46937</v>
      </c>
      <c r="H177" s="5">
        <v>12</v>
      </c>
      <c r="I177" s="6">
        <v>46048</v>
      </c>
      <c r="J177" s="6">
        <v>46056</v>
      </c>
      <c r="K177" s="5" t="s">
        <v>29</v>
      </c>
    </row>
    <row r="178" spans="1:11" ht="15" thickBot="1" x14ac:dyDescent="0.4">
      <c r="A178" s="5">
        <v>1177</v>
      </c>
      <c r="B178" s="5" t="s">
        <v>29</v>
      </c>
      <c r="C178" s="5" t="s">
        <v>22</v>
      </c>
      <c r="D178" s="5" t="s">
        <v>18</v>
      </c>
      <c r="E178" s="5" t="s">
        <v>19</v>
      </c>
      <c r="F178" s="5">
        <v>14</v>
      </c>
      <c r="G178" s="5">
        <v>7501</v>
      </c>
      <c r="H178" s="5">
        <v>7</v>
      </c>
      <c r="I178" s="6">
        <v>46169</v>
      </c>
      <c r="J178" s="6">
        <v>46179</v>
      </c>
      <c r="K178" s="5" t="s">
        <v>20</v>
      </c>
    </row>
    <row r="179" spans="1:11" ht="15" thickBot="1" x14ac:dyDescent="0.4">
      <c r="A179" s="5">
        <v>1178</v>
      </c>
      <c r="B179" s="5" t="s">
        <v>57</v>
      </c>
      <c r="C179" s="5" t="s">
        <v>17</v>
      </c>
      <c r="D179" s="5" t="s">
        <v>13</v>
      </c>
      <c r="E179" s="5" t="s">
        <v>50</v>
      </c>
      <c r="F179" s="5">
        <v>5</v>
      </c>
      <c r="G179" s="5">
        <v>50</v>
      </c>
      <c r="H179" s="5">
        <v>0</v>
      </c>
      <c r="I179" s="6">
        <v>46111</v>
      </c>
      <c r="J179" s="6">
        <v>46117</v>
      </c>
      <c r="K179" s="5" t="s">
        <v>20</v>
      </c>
    </row>
    <row r="180" spans="1:11" ht="15" thickBot="1" x14ac:dyDescent="0.4">
      <c r="A180" s="5">
        <v>1179</v>
      </c>
      <c r="B180" s="5" t="s">
        <v>47</v>
      </c>
      <c r="C180" s="5" t="s">
        <v>17</v>
      </c>
      <c r="D180" s="5" t="s">
        <v>34</v>
      </c>
      <c r="E180" s="5" t="s">
        <v>39</v>
      </c>
      <c r="F180" s="5">
        <v>6</v>
      </c>
      <c r="G180" s="5">
        <v>10400</v>
      </c>
      <c r="H180" s="5">
        <v>2</v>
      </c>
      <c r="I180" s="6">
        <v>46155</v>
      </c>
      <c r="J180" s="6">
        <v>46158</v>
      </c>
      <c r="K180" s="5" t="s">
        <v>15</v>
      </c>
    </row>
    <row r="181" spans="1:11" ht="15" thickBot="1" x14ac:dyDescent="0.4">
      <c r="A181" s="5">
        <v>1180</v>
      </c>
      <c r="B181" s="5" t="s">
        <v>40</v>
      </c>
      <c r="C181" s="5" t="s">
        <v>31</v>
      </c>
      <c r="D181" s="5" t="s">
        <v>18</v>
      </c>
      <c r="E181" s="5" t="s">
        <v>28</v>
      </c>
      <c r="F181" s="5">
        <v>2</v>
      </c>
      <c r="G181" s="5">
        <v>2076</v>
      </c>
      <c r="H181" s="5">
        <v>2</v>
      </c>
      <c r="I181" s="6">
        <v>46111</v>
      </c>
      <c r="J181" s="6">
        <v>46121</v>
      </c>
      <c r="K181" s="5" t="s">
        <v>29</v>
      </c>
    </row>
    <row r="182" spans="1:11" ht="15" thickBot="1" x14ac:dyDescent="0.4">
      <c r="A182" s="5">
        <v>1181</v>
      </c>
      <c r="B182" s="5" t="s">
        <v>58</v>
      </c>
      <c r="C182" s="5" t="s">
        <v>33</v>
      </c>
      <c r="D182" s="5" t="s">
        <v>13</v>
      </c>
      <c r="E182" s="5" t="s">
        <v>36</v>
      </c>
      <c r="F182" s="5">
        <v>4</v>
      </c>
      <c r="G182" s="5">
        <v>357</v>
      </c>
      <c r="H182" s="5">
        <v>2</v>
      </c>
      <c r="I182" s="6">
        <v>46033</v>
      </c>
      <c r="J182" s="6">
        <v>46035</v>
      </c>
      <c r="K182" s="5" t="s">
        <v>15</v>
      </c>
    </row>
    <row r="183" spans="1:11" ht="15" thickBot="1" x14ac:dyDescent="0.4">
      <c r="A183" s="5">
        <v>1182</v>
      </c>
      <c r="B183" s="5" t="s">
        <v>42</v>
      </c>
      <c r="C183" s="5" t="s">
        <v>12</v>
      </c>
      <c r="D183" s="5" t="s">
        <v>34</v>
      </c>
      <c r="E183" s="5" t="s">
        <v>39</v>
      </c>
      <c r="F183" s="5">
        <v>8</v>
      </c>
      <c r="G183" s="5">
        <v>66022</v>
      </c>
      <c r="H183" s="5">
        <v>12</v>
      </c>
      <c r="I183" s="6">
        <v>46108</v>
      </c>
      <c r="J183" s="6">
        <v>46114</v>
      </c>
      <c r="K183" s="5" t="s">
        <v>24</v>
      </c>
    </row>
    <row r="184" spans="1:11" ht="15" thickBot="1" x14ac:dyDescent="0.4">
      <c r="A184" s="5">
        <v>1183</v>
      </c>
      <c r="B184" s="5" t="s">
        <v>52</v>
      </c>
      <c r="C184" s="5" t="s">
        <v>43</v>
      </c>
      <c r="D184" s="5" t="s">
        <v>13</v>
      </c>
      <c r="E184" s="5" t="s">
        <v>14</v>
      </c>
      <c r="F184" s="5">
        <v>2</v>
      </c>
      <c r="G184" s="5">
        <v>309</v>
      </c>
      <c r="H184" s="5">
        <v>2</v>
      </c>
      <c r="I184" s="6">
        <v>46109</v>
      </c>
      <c r="J184" s="6">
        <v>46111</v>
      </c>
      <c r="K184" s="5" t="s">
        <v>20</v>
      </c>
    </row>
    <row r="185" spans="1:11" ht="15" thickBot="1" x14ac:dyDescent="0.4">
      <c r="A185" s="5">
        <v>1184</v>
      </c>
      <c r="B185" s="5" t="s">
        <v>40</v>
      </c>
      <c r="C185" s="5" t="s">
        <v>31</v>
      </c>
      <c r="D185" s="5" t="s">
        <v>34</v>
      </c>
      <c r="E185" s="5" t="s">
        <v>39</v>
      </c>
      <c r="F185" s="5">
        <v>12</v>
      </c>
      <c r="G185" s="5">
        <v>50517</v>
      </c>
      <c r="H185" s="5">
        <v>15</v>
      </c>
      <c r="I185" s="6">
        <v>46145</v>
      </c>
      <c r="J185" s="6">
        <v>46153</v>
      </c>
      <c r="K185" s="5" t="s">
        <v>29</v>
      </c>
    </row>
    <row r="186" spans="1:11" ht="15" thickBot="1" x14ac:dyDescent="0.4">
      <c r="A186" s="5">
        <v>1185</v>
      </c>
      <c r="B186" s="5" t="s">
        <v>58</v>
      </c>
      <c r="C186" s="5" t="s">
        <v>22</v>
      </c>
      <c r="D186" s="5" t="s">
        <v>34</v>
      </c>
      <c r="E186" s="5" t="s">
        <v>60</v>
      </c>
      <c r="F186" s="5">
        <v>16</v>
      </c>
      <c r="G186" s="5">
        <v>15536</v>
      </c>
      <c r="H186" s="5">
        <v>2</v>
      </c>
      <c r="I186" s="6">
        <v>46153</v>
      </c>
      <c r="J186" s="6">
        <v>46156</v>
      </c>
      <c r="K186" s="5" t="s">
        <v>15</v>
      </c>
    </row>
    <row r="187" spans="1:11" ht="15" thickBot="1" x14ac:dyDescent="0.4">
      <c r="A187" s="5">
        <v>1186</v>
      </c>
      <c r="B187" s="5" t="s">
        <v>16</v>
      </c>
      <c r="C187" s="5" t="s">
        <v>25</v>
      </c>
      <c r="D187" s="5" t="s">
        <v>18</v>
      </c>
      <c r="E187" s="5" t="s">
        <v>44</v>
      </c>
      <c r="F187" s="5">
        <v>10</v>
      </c>
      <c r="G187" s="5">
        <v>14951</v>
      </c>
      <c r="H187" s="5">
        <v>2</v>
      </c>
      <c r="I187" s="6">
        <v>46188</v>
      </c>
      <c r="J187" s="6">
        <v>46196</v>
      </c>
      <c r="K187" s="5" t="s">
        <v>24</v>
      </c>
    </row>
    <row r="188" spans="1:11" ht="15" thickBot="1" x14ac:dyDescent="0.4">
      <c r="A188" s="5">
        <v>1187</v>
      </c>
      <c r="B188" s="5" t="s">
        <v>54</v>
      </c>
      <c r="C188" s="5" t="s">
        <v>22</v>
      </c>
      <c r="D188" s="5" t="s">
        <v>34</v>
      </c>
      <c r="E188" s="5" t="s">
        <v>45</v>
      </c>
      <c r="F188" s="5">
        <v>18</v>
      </c>
      <c r="G188" s="5">
        <v>68527</v>
      </c>
      <c r="H188" s="5">
        <v>12</v>
      </c>
      <c r="I188" s="6">
        <v>46178</v>
      </c>
      <c r="J188" s="6">
        <v>46184</v>
      </c>
      <c r="K188" s="5" t="s">
        <v>51</v>
      </c>
    </row>
    <row r="189" spans="1:11" ht="15" thickBot="1" x14ac:dyDescent="0.4">
      <c r="A189" s="5">
        <v>1188</v>
      </c>
      <c r="B189" s="5" t="s">
        <v>29</v>
      </c>
      <c r="C189" s="5" t="s">
        <v>22</v>
      </c>
      <c r="D189" s="5" t="s">
        <v>18</v>
      </c>
      <c r="E189" s="5" t="s">
        <v>56</v>
      </c>
      <c r="F189" s="5">
        <v>6</v>
      </c>
      <c r="G189" s="5">
        <v>10368</v>
      </c>
      <c r="H189" s="5">
        <v>7</v>
      </c>
      <c r="I189" s="6">
        <v>46137</v>
      </c>
      <c r="J189" s="6">
        <v>46142</v>
      </c>
      <c r="K189" s="5" t="s">
        <v>15</v>
      </c>
    </row>
    <row r="190" spans="1:11" ht="15" thickBot="1" x14ac:dyDescent="0.4">
      <c r="A190" s="5">
        <v>1189</v>
      </c>
      <c r="B190" s="5" t="s">
        <v>49</v>
      </c>
      <c r="C190" s="5" t="s">
        <v>31</v>
      </c>
      <c r="D190" s="5" t="s">
        <v>18</v>
      </c>
      <c r="E190" s="5" t="s">
        <v>56</v>
      </c>
      <c r="F190" s="5">
        <v>12</v>
      </c>
      <c r="G190" s="5">
        <v>8327</v>
      </c>
      <c r="H190" s="5">
        <v>10</v>
      </c>
      <c r="I190" s="6">
        <v>46184</v>
      </c>
      <c r="J190" s="6">
        <v>46185</v>
      </c>
      <c r="K190" s="5" t="s">
        <v>29</v>
      </c>
    </row>
    <row r="191" spans="1:11" ht="15" thickBot="1" x14ac:dyDescent="0.4">
      <c r="A191" s="5">
        <v>1190</v>
      </c>
      <c r="B191" s="5" t="s">
        <v>57</v>
      </c>
      <c r="C191" s="5" t="s">
        <v>17</v>
      </c>
      <c r="D191" s="5" t="s">
        <v>18</v>
      </c>
      <c r="E191" s="5" t="s">
        <v>28</v>
      </c>
      <c r="F191" s="5">
        <v>4</v>
      </c>
      <c r="G191" s="5">
        <v>10154</v>
      </c>
      <c r="H191" s="5">
        <v>7</v>
      </c>
      <c r="I191" s="6">
        <v>46052</v>
      </c>
      <c r="J191" s="6">
        <v>46062</v>
      </c>
      <c r="K191" s="5" t="s">
        <v>20</v>
      </c>
    </row>
    <row r="192" spans="1:11" ht="15" thickBot="1" x14ac:dyDescent="0.4">
      <c r="A192" s="5">
        <v>1191</v>
      </c>
      <c r="B192" s="5" t="s">
        <v>52</v>
      </c>
      <c r="C192" s="5" t="s">
        <v>33</v>
      </c>
      <c r="D192" s="5" t="s">
        <v>18</v>
      </c>
      <c r="E192" s="5" t="s">
        <v>56</v>
      </c>
      <c r="F192" s="5">
        <v>9</v>
      </c>
      <c r="G192" s="5">
        <v>8631</v>
      </c>
      <c r="H192" s="5">
        <v>10</v>
      </c>
      <c r="I192" s="6">
        <v>46149</v>
      </c>
      <c r="J192" s="6">
        <v>46156</v>
      </c>
      <c r="K192" s="5" t="s">
        <v>20</v>
      </c>
    </row>
    <row r="193" spans="1:11" ht="15" thickBot="1" x14ac:dyDescent="0.4">
      <c r="A193" s="5">
        <v>1192</v>
      </c>
      <c r="B193" s="5" t="s">
        <v>21</v>
      </c>
      <c r="C193" s="5" t="s">
        <v>33</v>
      </c>
      <c r="D193" s="5" t="s">
        <v>13</v>
      </c>
      <c r="E193" s="5" t="s">
        <v>53</v>
      </c>
      <c r="F193" s="5">
        <v>18</v>
      </c>
      <c r="G193" s="5">
        <v>49</v>
      </c>
      <c r="H193" s="5">
        <v>12</v>
      </c>
      <c r="I193" s="6">
        <v>46089</v>
      </c>
      <c r="J193" s="6">
        <v>46095</v>
      </c>
      <c r="K193" s="5" t="s">
        <v>24</v>
      </c>
    </row>
    <row r="194" spans="1:11" ht="15" thickBot="1" x14ac:dyDescent="0.4">
      <c r="A194" s="5">
        <v>1193</v>
      </c>
      <c r="B194" s="5" t="s">
        <v>57</v>
      </c>
      <c r="C194" s="5" t="s">
        <v>12</v>
      </c>
      <c r="D194" s="5" t="s">
        <v>18</v>
      </c>
      <c r="E194" s="5" t="s">
        <v>23</v>
      </c>
      <c r="F194" s="5">
        <v>19</v>
      </c>
      <c r="G194" s="5">
        <v>2699</v>
      </c>
      <c r="H194" s="5">
        <v>7</v>
      </c>
      <c r="I194" s="6">
        <v>46110</v>
      </c>
      <c r="J194" s="6">
        <v>46112</v>
      </c>
      <c r="K194" s="5" t="s">
        <v>29</v>
      </c>
    </row>
    <row r="195" spans="1:11" ht="15" thickBot="1" x14ac:dyDescent="0.4">
      <c r="A195" s="5">
        <v>1194</v>
      </c>
      <c r="B195" s="5" t="s">
        <v>57</v>
      </c>
      <c r="C195" s="5" t="s">
        <v>43</v>
      </c>
      <c r="D195" s="5" t="s">
        <v>18</v>
      </c>
      <c r="E195" s="5" t="s">
        <v>28</v>
      </c>
      <c r="F195" s="5">
        <v>13</v>
      </c>
      <c r="G195" s="5">
        <v>12856</v>
      </c>
      <c r="H195" s="5">
        <v>15</v>
      </c>
      <c r="I195" s="6">
        <v>46129</v>
      </c>
      <c r="J195" s="6">
        <v>46133</v>
      </c>
      <c r="K195" s="5" t="s">
        <v>51</v>
      </c>
    </row>
    <row r="196" spans="1:11" ht="15" thickBot="1" x14ac:dyDescent="0.4">
      <c r="A196" s="5">
        <v>1195</v>
      </c>
      <c r="B196" s="5" t="s">
        <v>59</v>
      </c>
      <c r="C196" s="5" t="s">
        <v>17</v>
      </c>
      <c r="D196" s="5" t="s">
        <v>13</v>
      </c>
      <c r="E196" s="5" t="s">
        <v>50</v>
      </c>
      <c r="F196" s="5">
        <v>19</v>
      </c>
      <c r="G196" s="5">
        <v>313</v>
      </c>
      <c r="H196" s="5">
        <v>2</v>
      </c>
      <c r="I196" s="6">
        <v>46198</v>
      </c>
      <c r="J196" s="6">
        <v>46206</v>
      </c>
      <c r="K196" s="5" t="s">
        <v>51</v>
      </c>
    </row>
    <row r="197" spans="1:11" ht="15" thickBot="1" x14ac:dyDescent="0.4">
      <c r="A197" s="5">
        <v>1196</v>
      </c>
      <c r="B197" s="5" t="s">
        <v>48</v>
      </c>
      <c r="C197" s="5" t="s">
        <v>22</v>
      </c>
      <c r="D197" s="5" t="s">
        <v>34</v>
      </c>
      <c r="E197" s="5" t="s">
        <v>35</v>
      </c>
      <c r="F197" s="5">
        <v>20</v>
      </c>
      <c r="G197" s="5">
        <v>3172</v>
      </c>
      <c r="H197" s="5">
        <v>5</v>
      </c>
      <c r="I197" s="6">
        <v>46155</v>
      </c>
      <c r="J197" s="6">
        <v>46159</v>
      </c>
      <c r="K197" s="5" t="s">
        <v>20</v>
      </c>
    </row>
    <row r="198" spans="1:11" ht="15" thickBot="1" x14ac:dyDescent="0.4">
      <c r="A198" s="5">
        <v>1197</v>
      </c>
      <c r="B198" s="5" t="s">
        <v>52</v>
      </c>
      <c r="C198" s="5" t="s">
        <v>31</v>
      </c>
      <c r="D198" s="5" t="s">
        <v>34</v>
      </c>
      <c r="E198" s="5" t="s">
        <v>35</v>
      </c>
      <c r="F198" s="5">
        <v>5</v>
      </c>
      <c r="G198" s="5">
        <v>45352</v>
      </c>
      <c r="H198" s="5">
        <v>12</v>
      </c>
      <c r="I198" s="6">
        <v>46045</v>
      </c>
      <c r="J198" s="6">
        <v>46048</v>
      </c>
      <c r="K198" s="5" t="s">
        <v>15</v>
      </c>
    </row>
    <row r="199" spans="1:11" ht="15" thickBot="1" x14ac:dyDescent="0.4">
      <c r="A199" s="5">
        <v>1198</v>
      </c>
      <c r="B199" s="5" t="s">
        <v>58</v>
      </c>
      <c r="C199" s="5" t="s">
        <v>12</v>
      </c>
      <c r="D199" s="5" t="s">
        <v>13</v>
      </c>
      <c r="E199" s="5" t="s">
        <v>14</v>
      </c>
      <c r="F199" s="5">
        <v>12</v>
      </c>
      <c r="G199" s="5">
        <v>491</v>
      </c>
      <c r="H199" s="5">
        <v>2</v>
      </c>
      <c r="I199" s="6">
        <v>46106</v>
      </c>
      <c r="J199" s="6">
        <v>46109</v>
      </c>
      <c r="K199" s="5" t="s">
        <v>51</v>
      </c>
    </row>
    <row r="200" spans="1:11" ht="15" thickBot="1" x14ac:dyDescent="0.4">
      <c r="A200" s="5">
        <v>1199</v>
      </c>
      <c r="B200" s="5" t="s">
        <v>11</v>
      </c>
      <c r="C200" s="5" t="s">
        <v>25</v>
      </c>
      <c r="D200" s="5" t="s">
        <v>34</v>
      </c>
      <c r="E200" s="5" t="s">
        <v>45</v>
      </c>
      <c r="F200" s="5">
        <v>2</v>
      </c>
      <c r="G200" s="5">
        <v>4375</v>
      </c>
      <c r="H200" s="5">
        <v>7</v>
      </c>
      <c r="I200" s="6">
        <v>46178</v>
      </c>
      <c r="J200" s="6">
        <v>46180</v>
      </c>
      <c r="K200" s="5" t="s">
        <v>24</v>
      </c>
    </row>
    <row r="201" spans="1:11" ht="15" thickBot="1" x14ac:dyDescent="0.4">
      <c r="A201" s="5">
        <v>1200</v>
      </c>
      <c r="B201" s="5" t="s">
        <v>29</v>
      </c>
      <c r="C201" s="5" t="s">
        <v>31</v>
      </c>
      <c r="D201" s="5" t="s">
        <v>34</v>
      </c>
      <c r="E201" s="5" t="s">
        <v>45</v>
      </c>
      <c r="F201" s="5">
        <v>13</v>
      </c>
      <c r="G201" s="5">
        <v>69422</v>
      </c>
      <c r="H201" s="5">
        <v>0</v>
      </c>
      <c r="I201" s="6">
        <v>46134</v>
      </c>
      <c r="J201" s="6">
        <v>46143</v>
      </c>
      <c r="K201" s="5" t="s">
        <v>29</v>
      </c>
    </row>
    <row r="202" spans="1:11" ht="15" thickBot="1" x14ac:dyDescent="0.4">
      <c r="A202" s="5">
        <v>1201</v>
      </c>
      <c r="B202" s="5" t="s">
        <v>54</v>
      </c>
      <c r="C202" s="5" t="s">
        <v>31</v>
      </c>
      <c r="D202" s="5" t="s">
        <v>13</v>
      </c>
      <c r="E202" s="5" t="s">
        <v>53</v>
      </c>
      <c r="F202" s="5">
        <v>18</v>
      </c>
      <c r="G202" s="5">
        <v>139</v>
      </c>
      <c r="H202" s="5">
        <v>12</v>
      </c>
      <c r="I202" s="6">
        <v>46075</v>
      </c>
      <c r="J202" s="6">
        <v>46076</v>
      </c>
      <c r="K202" s="5" t="s">
        <v>20</v>
      </c>
    </row>
    <row r="203" spans="1:11" ht="15" thickBot="1" x14ac:dyDescent="0.4">
      <c r="A203" s="5">
        <v>1202</v>
      </c>
      <c r="B203" s="5" t="s">
        <v>57</v>
      </c>
      <c r="C203" s="5" t="s">
        <v>22</v>
      </c>
      <c r="D203" s="5" t="s">
        <v>34</v>
      </c>
      <c r="E203" s="5" t="s">
        <v>35</v>
      </c>
      <c r="F203" s="5">
        <v>2</v>
      </c>
      <c r="G203" s="5">
        <v>20312</v>
      </c>
      <c r="H203" s="5">
        <v>12</v>
      </c>
      <c r="I203" s="6">
        <v>46082</v>
      </c>
      <c r="J203" s="6">
        <v>46091</v>
      </c>
      <c r="K203" s="5" t="s">
        <v>15</v>
      </c>
    </row>
    <row r="204" spans="1:11" ht="15" thickBot="1" x14ac:dyDescent="0.4">
      <c r="A204" s="5">
        <v>1203</v>
      </c>
      <c r="B204" s="5" t="s">
        <v>40</v>
      </c>
      <c r="C204" s="5" t="s">
        <v>22</v>
      </c>
      <c r="D204" s="5" t="s">
        <v>18</v>
      </c>
      <c r="E204" s="5" t="s">
        <v>23</v>
      </c>
      <c r="F204" s="5">
        <v>17</v>
      </c>
      <c r="G204" s="5">
        <v>6695</v>
      </c>
      <c r="H204" s="5">
        <v>2</v>
      </c>
      <c r="I204" s="6">
        <v>46119</v>
      </c>
      <c r="J204" s="6">
        <v>46122</v>
      </c>
      <c r="K204" s="5" t="s">
        <v>51</v>
      </c>
    </row>
    <row r="205" spans="1:11" ht="15" thickBot="1" x14ac:dyDescent="0.4">
      <c r="A205" s="5">
        <v>1204</v>
      </c>
      <c r="B205" s="5" t="s">
        <v>16</v>
      </c>
      <c r="C205" s="5" t="s">
        <v>31</v>
      </c>
      <c r="D205" s="5" t="s">
        <v>13</v>
      </c>
      <c r="E205" s="5" t="s">
        <v>37</v>
      </c>
      <c r="F205" s="5">
        <v>13</v>
      </c>
      <c r="G205" s="5">
        <v>416</v>
      </c>
      <c r="H205" s="5">
        <v>10</v>
      </c>
      <c r="I205" s="6">
        <v>46123</v>
      </c>
      <c r="J205" s="6">
        <v>46132</v>
      </c>
      <c r="K205" s="5" t="s">
        <v>20</v>
      </c>
    </row>
    <row r="206" spans="1:11" ht="15" thickBot="1" x14ac:dyDescent="0.4">
      <c r="A206" s="5">
        <v>1205</v>
      </c>
      <c r="B206" s="5" t="s">
        <v>21</v>
      </c>
      <c r="C206" s="5" t="s">
        <v>38</v>
      </c>
      <c r="D206" s="5" t="s">
        <v>13</v>
      </c>
      <c r="E206" s="5" t="s">
        <v>36</v>
      </c>
      <c r="F206" s="5">
        <v>1</v>
      </c>
      <c r="G206" s="5">
        <v>112</v>
      </c>
      <c r="H206" s="5">
        <v>7</v>
      </c>
      <c r="I206" s="6">
        <v>46033</v>
      </c>
      <c r="J206" s="6">
        <v>46040</v>
      </c>
      <c r="K206" s="5" t="s">
        <v>51</v>
      </c>
    </row>
    <row r="207" spans="1:11" ht="15" thickBot="1" x14ac:dyDescent="0.4">
      <c r="A207" s="5">
        <v>1206</v>
      </c>
      <c r="B207" s="5" t="s">
        <v>55</v>
      </c>
      <c r="C207" s="5" t="s">
        <v>33</v>
      </c>
      <c r="D207" s="5" t="s">
        <v>13</v>
      </c>
      <c r="E207" s="5" t="s">
        <v>14</v>
      </c>
      <c r="F207" s="5">
        <v>9</v>
      </c>
      <c r="G207" s="5">
        <v>60</v>
      </c>
      <c r="H207" s="5">
        <v>0</v>
      </c>
      <c r="I207" s="6">
        <v>46166</v>
      </c>
      <c r="J207" s="6">
        <v>46174</v>
      </c>
      <c r="K207" s="5" t="s">
        <v>15</v>
      </c>
    </row>
    <row r="208" spans="1:11" ht="15" thickBot="1" x14ac:dyDescent="0.4">
      <c r="A208" s="5">
        <v>1207</v>
      </c>
      <c r="B208" s="5" t="s">
        <v>55</v>
      </c>
      <c r="C208" s="5" t="s">
        <v>25</v>
      </c>
      <c r="D208" s="5" t="s">
        <v>13</v>
      </c>
      <c r="E208" s="5" t="s">
        <v>53</v>
      </c>
      <c r="F208" s="5">
        <v>7</v>
      </c>
      <c r="G208" s="5">
        <v>244</v>
      </c>
      <c r="H208" s="5">
        <v>2</v>
      </c>
      <c r="I208" s="6">
        <v>46164</v>
      </c>
      <c r="J208" s="6">
        <v>46173</v>
      </c>
      <c r="K208" s="5" t="s">
        <v>24</v>
      </c>
    </row>
    <row r="209" spans="1:11" ht="15" thickBot="1" x14ac:dyDescent="0.4">
      <c r="A209" s="5">
        <v>1208</v>
      </c>
      <c r="B209" s="5" t="s">
        <v>54</v>
      </c>
      <c r="C209" s="5" t="s">
        <v>43</v>
      </c>
      <c r="D209" s="5" t="s">
        <v>18</v>
      </c>
      <c r="E209" s="5" t="s">
        <v>44</v>
      </c>
      <c r="F209" s="5">
        <v>6</v>
      </c>
      <c r="G209" s="5">
        <v>7627</v>
      </c>
      <c r="H209" s="5">
        <v>10</v>
      </c>
      <c r="I209" s="6">
        <v>46042</v>
      </c>
      <c r="J209" s="6">
        <v>46047</v>
      </c>
      <c r="K209" s="5" t="s">
        <v>20</v>
      </c>
    </row>
    <row r="210" spans="1:11" ht="15" thickBot="1" x14ac:dyDescent="0.4">
      <c r="A210" s="5">
        <v>1209</v>
      </c>
      <c r="B210" s="5" t="s">
        <v>48</v>
      </c>
      <c r="C210" s="5" t="s">
        <v>38</v>
      </c>
      <c r="D210" s="5" t="s">
        <v>34</v>
      </c>
      <c r="E210" s="5" t="s">
        <v>35</v>
      </c>
      <c r="F210" s="5">
        <v>19</v>
      </c>
      <c r="G210" s="5">
        <v>20284</v>
      </c>
      <c r="H210" s="5">
        <v>10</v>
      </c>
      <c r="I210" s="6">
        <v>46103</v>
      </c>
      <c r="J210" s="6">
        <v>46110</v>
      </c>
      <c r="K210" s="5" t="s">
        <v>20</v>
      </c>
    </row>
    <row r="211" spans="1:11" ht="15" thickBot="1" x14ac:dyDescent="0.4">
      <c r="A211" s="5">
        <v>1210</v>
      </c>
      <c r="B211" s="5" t="s">
        <v>30</v>
      </c>
      <c r="C211" s="5" t="s">
        <v>31</v>
      </c>
      <c r="D211" s="5" t="s">
        <v>13</v>
      </c>
      <c r="E211" s="5" t="s">
        <v>53</v>
      </c>
      <c r="F211" s="5">
        <v>10</v>
      </c>
      <c r="G211" s="5">
        <v>349</v>
      </c>
      <c r="H211" s="5">
        <v>0</v>
      </c>
      <c r="I211" s="6">
        <v>46052</v>
      </c>
      <c r="J211" s="6">
        <v>46060</v>
      </c>
      <c r="K211" s="5" t="s">
        <v>29</v>
      </c>
    </row>
    <row r="212" spans="1:11" ht="15" thickBot="1" x14ac:dyDescent="0.4">
      <c r="A212" s="5">
        <v>1211</v>
      </c>
      <c r="B212" s="5" t="s">
        <v>48</v>
      </c>
      <c r="C212" s="5" t="s">
        <v>17</v>
      </c>
      <c r="D212" s="5" t="s">
        <v>34</v>
      </c>
      <c r="E212" s="5" t="s">
        <v>35</v>
      </c>
      <c r="F212" s="5">
        <v>3</v>
      </c>
      <c r="G212" s="5">
        <v>5962</v>
      </c>
      <c r="H212" s="5">
        <v>7</v>
      </c>
      <c r="I212" s="6">
        <v>46175</v>
      </c>
      <c r="J212" s="6">
        <v>46183</v>
      </c>
      <c r="K212" s="5" t="s">
        <v>15</v>
      </c>
    </row>
    <row r="213" spans="1:11" ht="15" thickBot="1" x14ac:dyDescent="0.4">
      <c r="A213" s="5">
        <v>1212</v>
      </c>
      <c r="B213" s="5" t="s">
        <v>59</v>
      </c>
      <c r="C213" s="5" t="s">
        <v>25</v>
      </c>
      <c r="D213" s="5" t="s">
        <v>34</v>
      </c>
      <c r="E213" s="5" t="s">
        <v>60</v>
      </c>
      <c r="F213" s="5">
        <v>10</v>
      </c>
      <c r="G213" s="5">
        <v>34380</v>
      </c>
      <c r="H213" s="5">
        <v>7</v>
      </c>
      <c r="I213" s="6">
        <v>46194</v>
      </c>
      <c r="J213" s="6">
        <v>46195</v>
      </c>
      <c r="K213" s="5" t="s">
        <v>29</v>
      </c>
    </row>
    <row r="214" spans="1:11" ht="15" thickBot="1" x14ac:dyDescent="0.4">
      <c r="A214" s="5">
        <v>1213</v>
      </c>
      <c r="B214" s="5" t="s">
        <v>32</v>
      </c>
      <c r="C214" s="5" t="s">
        <v>38</v>
      </c>
      <c r="D214" s="5" t="s">
        <v>34</v>
      </c>
      <c r="E214" s="5" t="s">
        <v>45</v>
      </c>
      <c r="F214" s="5">
        <v>16</v>
      </c>
      <c r="G214" s="5">
        <v>27741</v>
      </c>
      <c r="H214" s="5">
        <v>12</v>
      </c>
      <c r="I214" s="6">
        <v>46116</v>
      </c>
      <c r="J214" s="6">
        <v>46119</v>
      </c>
      <c r="K214" s="5" t="s">
        <v>15</v>
      </c>
    </row>
    <row r="215" spans="1:11" ht="15" thickBot="1" x14ac:dyDescent="0.4">
      <c r="A215" s="5">
        <v>1214</v>
      </c>
      <c r="B215" s="5" t="s">
        <v>42</v>
      </c>
      <c r="C215" s="5" t="s">
        <v>25</v>
      </c>
      <c r="D215" s="5" t="s">
        <v>18</v>
      </c>
      <c r="E215" s="5" t="s">
        <v>28</v>
      </c>
      <c r="F215" s="5">
        <v>19</v>
      </c>
      <c r="G215" s="5">
        <v>13832</v>
      </c>
      <c r="H215" s="5">
        <v>0</v>
      </c>
      <c r="I215" s="6">
        <v>46140</v>
      </c>
      <c r="J215" s="6">
        <v>46145</v>
      </c>
      <c r="K215" s="5" t="s">
        <v>51</v>
      </c>
    </row>
    <row r="216" spans="1:11" ht="15" thickBot="1" x14ac:dyDescent="0.4">
      <c r="A216" s="5">
        <v>1215</v>
      </c>
      <c r="B216" s="5" t="s">
        <v>27</v>
      </c>
      <c r="C216" s="5" t="s">
        <v>12</v>
      </c>
      <c r="D216" s="5" t="s">
        <v>18</v>
      </c>
      <c r="E216" s="5" t="s">
        <v>28</v>
      </c>
      <c r="F216" s="5">
        <v>6</v>
      </c>
      <c r="G216" s="5">
        <v>1254</v>
      </c>
      <c r="H216" s="5">
        <v>0</v>
      </c>
      <c r="I216" s="6">
        <v>46131</v>
      </c>
      <c r="J216" s="6">
        <v>46136</v>
      </c>
      <c r="K216" s="5" t="s">
        <v>29</v>
      </c>
    </row>
    <row r="217" spans="1:11" ht="15" thickBot="1" x14ac:dyDescent="0.4">
      <c r="A217" s="5">
        <v>1216</v>
      </c>
      <c r="B217" s="5" t="s">
        <v>40</v>
      </c>
      <c r="C217" s="5" t="s">
        <v>22</v>
      </c>
      <c r="D217" s="5" t="s">
        <v>34</v>
      </c>
      <c r="E217" s="5" t="s">
        <v>45</v>
      </c>
      <c r="F217" s="5">
        <v>10</v>
      </c>
      <c r="G217" s="5">
        <v>56709</v>
      </c>
      <c r="H217" s="5">
        <v>15</v>
      </c>
      <c r="I217" s="6">
        <v>46135</v>
      </c>
      <c r="J217" s="6">
        <v>46139</v>
      </c>
      <c r="K217" s="5" t="s">
        <v>29</v>
      </c>
    </row>
    <row r="218" spans="1:11" ht="15" thickBot="1" x14ac:dyDescent="0.4">
      <c r="A218" s="5">
        <v>1217</v>
      </c>
      <c r="B218" s="5" t="s">
        <v>30</v>
      </c>
      <c r="C218" s="5" t="s">
        <v>22</v>
      </c>
      <c r="D218" s="5" t="s">
        <v>13</v>
      </c>
      <c r="E218" s="5" t="s">
        <v>50</v>
      </c>
      <c r="F218" s="5">
        <v>18</v>
      </c>
      <c r="G218" s="5">
        <v>60</v>
      </c>
      <c r="H218" s="5">
        <v>0</v>
      </c>
      <c r="I218" s="6">
        <v>46171</v>
      </c>
      <c r="J218" s="6">
        <v>46172</v>
      </c>
      <c r="K218" s="5" t="s">
        <v>29</v>
      </c>
    </row>
    <row r="219" spans="1:11" ht="15" thickBot="1" x14ac:dyDescent="0.4">
      <c r="A219" s="5">
        <v>1218</v>
      </c>
      <c r="B219" s="5" t="s">
        <v>55</v>
      </c>
      <c r="C219" s="5" t="s">
        <v>38</v>
      </c>
      <c r="D219" s="5" t="s">
        <v>13</v>
      </c>
      <c r="E219" s="5" t="s">
        <v>14</v>
      </c>
      <c r="F219" s="5">
        <v>1</v>
      </c>
      <c r="G219" s="5">
        <v>134</v>
      </c>
      <c r="H219" s="5">
        <v>10</v>
      </c>
      <c r="I219" s="6">
        <v>46143</v>
      </c>
      <c r="J219" s="6">
        <v>46151</v>
      </c>
      <c r="K219" s="5" t="s">
        <v>51</v>
      </c>
    </row>
    <row r="220" spans="1:11" ht="15" thickBot="1" x14ac:dyDescent="0.4">
      <c r="A220" s="5">
        <v>1219</v>
      </c>
      <c r="B220" s="5" t="s">
        <v>46</v>
      </c>
      <c r="C220" s="5" t="s">
        <v>22</v>
      </c>
      <c r="D220" s="5" t="s">
        <v>13</v>
      </c>
      <c r="E220" s="5" t="s">
        <v>14</v>
      </c>
      <c r="F220" s="5">
        <v>4</v>
      </c>
      <c r="G220" s="5">
        <v>117</v>
      </c>
      <c r="H220" s="5">
        <v>15</v>
      </c>
      <c r="I220" s="6">
        <v>46202</v>
      </c>
      <c r="J220" s="6">
        <v>46206</v>
      </c>
      <c r="K220" s="5" t="s">
        <v>29</v>
      </c>
    </row>
    <row r="221" spans="1:11" ht="15" thickBot="1" x14ac:dyDescent="0.4">
      <c r="A221" s="5">
        <v>1220</v>
      </c>
      <c r="B221" s="5" t="s">
        <v>11</v>
      </c>
      <c r="C221" s="5" t="s">
        <v>25</v>
      </c>
      <c r="D221" s="5" t="s">
        <v>18</v>
      </c>
      <c r="E221" s="5" t="s">
        <v>56</v>
      </c>
      <c r="F221" s="5">
        <v>2</v>
      </c>
      <c r="G221" s="5">
        <v>8861</v>
      </c>
      <c r="H221" s="5">
        <v>2</v>
      </c>
      <c r="I221" s="6">
        <v>46170</v>
      </c>
      <c r="J221" s="6">
        <v>46174</v>
      </c>
      <c r="K221" s="5" t="s">
        <v>24</v>
      </c>
    </row>
    <row r="222" spans="1:11" ht="15" thickBot="1" x14ac:dyDescent="0.4">
      <c r="A222" s="5">
        <v>1221</v>
      </c>
      <c r="B222" s="5" t="s">
        <v>11</v>
      </c>
      <c r="C222" s="5" t="s">
        <v>31</v>
      </c>
      <c r="D222" s="5" t="s">
        <v>18</v>
      </c>
      <c r="E222" s="5" t="s">
        <v>56</v>
      </c>
      <c r="F222" s="5">
        <v>18</v>
      </c>
      <c r="G222" s="5">
        <v>2681</v>
      </c>
      <c r="H222" s="5">
        <v>10</v>
      </c>
      <c r="I222" s="6">
        <v>46122</v>
      </c>
      <c r="J222" s="6">
        <v>46125</v>
      </c>
      <c r="K222" s="5" t="s">
        <v>51</v>
      </c>
    </row>
    <row r="223" spans="1:11" ht="15" thickBot="1" x14ac:dyDescent="0.4">
      <c r="A223" s="5">
        <v>1222</v>
      </c>
      <c r="B223" s="5" t="s">
        <v>30</v>
      </c>
      <c r="C223" s="5" t="s">
        <v>33</v>
      </c>
      <c r="D223" s="5" t="s">
        <v>18</v>
      </c>
      <c r="E223" s="5" t="s">
        <v>23</v>
      </c>
      <c r="F223" s="5">
        <v>9</v>
      </c>
      <c r="G223" s="5">
        <v>2712</v>
      </c>
      <c r="H223" s="5">
        <v>12</v>
      </c>
      <c r="I223" s="6">
        <v>46154</v>
      </c>
      <c r="J223" s="6">
        <v>46163</v>
      </c>
      <c r="K223" s="5" t="s">
        <v>15</v>
      </c>
    </row>
    <row r="224" spans="1:11" ht="15" thickBot="1" x14ac:dyDescent="0.4">
      <c r="A224" s="5">
        <v>1223</v>
      </c>
      <c r="B224" s="5" t="s">
        <v>59</v>
      </c>
      <c r="C224" s="5" t="s">
        <v>17</v>
      </c>
      <c r="D224" s="5" t="s">
        <v>18</v>
      </c>
      <c r="E224" s="5" t="s">
        <v>23</v>
      </c>
      <c r="F224" s="5">
        <v>4</v>
      </c>
      <c r="G224" s="5">
        <v>2249</v>
      </c>
      <c r="H224" s="5">
        <v>7</v>
      </c>
      <c r="I224" s="6">
        <v>46077</v>
      </c>
      <c r="J224" s="6">
        <v>46084</v>
      </c>
      <c r="K224" s="5" t="s">
        <v>15</v>
      </c>
    </row>
    <row r="225" spans="1:11" ht="15" thickBot="1" x14ac:dyDescent="0.4">
      <c r="A225" s="5">
        <v>1224</v>
      </c>
      <c r="B225" s="5" t="s">
        <v>30</v>
      </c>
      <c r="C225" s="5" t="s">
        <v>38</v>
      </c>
      <c r="D225" s="5" t="s">
        <v>34</v>
      </c>
      <c r="E225" s="5" t="s">
        <v>45</v>
      </c>
      <c r="F225" s="5">
        <v>16</v>
      </c>
      <c r="G225" s="5">
        <v>18378</v>
      </c>
      <c r="H225" s="5">
        <v>10</v>
      </c>
      <c r="I225" s="6">
        <v>46045</v>
      </c>
      <c r="J225" s="6">
        <v>46052</v>
      </c>
      <c r="K225" s="5" t="s">
        <v>24</v>
      </c>
    </row>
    <row r="226" spans="1:11" ht="15" thickBot="1" x14ac:dyDescent="0.4">
      <c r="A226" s="5">
        <v>1225</v>
      </c>
      <c r="B226" s="5" t="s">
        <v>42</v>
      </c>
      <c r="C226" s="5" t="s">
        <v>31</v>
      </c>
      <c r="D226" s="5" t="s">
        <v>34</v>
      </c>
      <c r="E226" s="5" t="s">
        <v>35</v>
      </c>
      <c r="F226" s="5">
        <v>16</v>
      </c>
      <c r="G226" s="5">
        <v>32262</v>
      </c>
      <c r="H226" s="5">
        <v>12</v>
      </c>
      <c r="I226" s="6">
        <v>46125</v>
      </c>
      <c r="J226" s="6">
        <v>46126</v>
      </c>
      <c r="K226" s="5" t="s">
        <v>20</v>
      </c>
    </row>
    <row r="227" spans="1:11" ht="15" thickBot="1" x14ac:dyDescent="0.4">
      <c r="A227" s="5">
        <v>1226</v>
      </c>
      <c r="B227" s="5" t="s">
        <v>29</v>
      </c>
      <c r="C227" s="5" t="s">
        <v>31</v>
      </c>
      <c r="D227" s="5" t="s">
        <v>34</v>
      </c>
      <c r="E227" s="5" t="s">
        <v>41</v>
      </c>
      <c r="F227" s="5">
        <v>13</v>
      </c>
      <c r="G227" s="5">
        <v>21332</v>
      </c>
      <c r="H227" s="5">
        <v>0</v>
      </c>
      <c r="I227" s="6">
        <v>46044</v>
      </c>
      <c r="J227" s="6">
        <v>46048</v>
      </c>
      <c r="K227" s="5" t="s">
        <v>29</v>
      </c>
    </row>
    <row r="228" spans="1:11" ht="15" thickBot="1" x14ac:dyDescent="0.4">
      <c r="A228" s="5">
        <v>1227</v>
      </c>
      <c r="B228" s="5" t="s">
        <v>58</v>
      </c>
      <c r="C228" s="5" t="s">
        <v>22</v>
      </c>
      <c r="D228" s="5" t="s">
        <v>34</v>
      </c>
      <c r="E228" s="5" t="s">
        <v>45</v>
      </c>
      <c r="F228" s="5">
        <v>16</v>
      </c>
      <c r="G228" s="5">
        <v>1321</v>
      </c>
      <c r="H228" s="5">
        <v>12</v>
      </c>
      <c r="I228" s="6">
        <v>46113</v>
      </c>
      <c r="J228" s="6">
        <v>46116</v>
      </c>
      <c r="K228" s="5" t="s">
        <v>15</v>
      </c>
    </row>
    <row r="229" spans="1:11" ht="15" thickBot="1" x14ac:dyDescent="0.4">
      <c r="A229" s="5">
        <v>1228</v>
      </c>
      <c r="B229" s="5" t="s">
        <v>29</v>
      </c>
      <c r="C229" s="5" t="s">
        <v>25</v>
      </c>
      <c r="D229" s="5" t="s">
        <v>34</v>
      </c>
      <c r="E229" s="5" t="s">
        <v>45</v>
      </c>
      <c r="F229" s="5">
        <v>16</v>
      </c>
      <c r="G229" s="5">
        <v>17477</v>
      </c>
      <c r="H229" s="5">
        <v>10</v>
      </c>
      <c r="I229" s="6">
        <v>46041</v>
      </c>
      <c r="J229" s="6">
        <v>46043</v>
      </c>
      <c r="K229" s="5" t="s">
        <v>24</v>
      </c>
    </row>
    <row r="230" spans="1:11" ht="15" thickBot="1" x14ac:dyDescent="0.4">
      <c r="A230" s="5">
        <v>1229</v>
      </c>
      <c r="B230" s="5" t="s">
        <v>57</v>
      </c>
      <c r="C230" s="5" t="s">
        <v>12</v>
      </c>
      <c r="D230" s="5" t="s">
        <v>18</v>
      </c>
      <c r="E230" s="5" t="s">
        <v>56</v>
      </c>
      <c r="F230" s="5">
        <v>14</v>
      </c>
      <c r="G230" s="5">
        <v>5859</v>
      </c>
      <c r="H230" s="5">
        <v>12</v>
      </c>
      <c r="I230" s="6">
        <v>46027</v>
      </c>
      <c r="J230" s="6">
        <v>46036</v>
      </c>
      <c r="K230" s="5" t="s">
        <v>20</v>
      </c>
    </row>
    <row r="231" spans="1:11" ht="15" thickBot="1" x14ac:dyDescent="0.4">
      <c r="A231" s="5">
        <v>1230</v>
      </c>
      <c r="B231" s="5" t="s">
        <v>59</v>
      </c>
      <c r="C231" s="5" t="s">
        <v>33</v>
      </c>
      <c r="D231" s="5" t="s">
        <v>34</v>
      </c>
      <c r="E231" s="5" t="s">
        <v>60</v>
      </c>
      <c r="F231" s="5">
        <v>7</v>
      </c>
      <c r="G231" s="5">
        <v>2932</v>
      </c>
      <c r="H231" s="5">
        <v>7</v>
      </c>
      <c r="I231" s="6">
        <v>46050</v>
      </c>
      <c r="J231" s="6">
        <v>46059</v>
      </c>
      <c r="K231" s="5" t="s">
        <v>24</v>
      </c>
    </row>
    <row r="232" spans="1:11" ht="15" thickBot="1" x14ac:dyDescent="0.4">
      <c r="A232" s="5">
        <v>1231</v>
      </c>
      <c r="B232" s="5" t="s">
        <v>48</v>
      </c>
      <c r="C232" s="5" t="s">
        <v>38</v>
      </c>
      <c r="D232" s="5" t="s">
        <v>18</v>
      </c>
      <c r="E232" s="5" t="s">
        <v>19</v>
      </c>
      <c r="F232" s="5">
        <v>13</v>
      </c>
      <c r="G232" s="5">
        <v>10297</v>
      </c>
      <c r="H232" s="5">
        <v>12</v>
      </c>
      <c r="I232" s="6">
        <v>46178</v>
      </c>
      <c r="J232" s="6">
        <v>46186</v>
      </c>
      <c r="K232" s="5" t="s">
        <v>20</v>
      </c>
    </row>
    <row r="233" spans="1:11" ht="15" thickBot="1" x14ac:dyDescent="0.4">
      <c r="A233" s="5">
        <v>1232</v>
      </c>
      <c r="B233" s="5" t="s">
        <v>21</v>
      </c>
      <c r="C233" s="5" t="s">
        <v>12</v>
      </c>
      <c r="D233" s="5" t="s">
        <v>34</v>
      </c>
      <c r="E233" s="5" t="s">
        <v>60</v>
      </c>
      <c r="F233" s="5">
        <v>3</v>
      </c>
      <c r="G233" s="5">
        <v>13272</v>
      </c>
      <c r="H233" s="5">
        <v>2</v>
      </c>
      <c r="I233" s="6">
        <v>46060</v>
      </c>
      <c r="J233" s="6">
        <v>46065</v>
      </c>
      <c r="K233" s="5" t="s">
        <v>15</v>
      </c>
    </row>
    <row r="234" spans="1:11" ht="15" thickBot="1" x14ac:dyDescent="0.4">
      <c r="A234" s="5">
        <v>1233</v>
      </c>
      <c r="B234" s="5" t="s">
        <v>58</v>
      </c>
      <c r="C234" s="5" t="s">
        <v>22</v>
      </c>
      <c r="D234" s="5" t="s">
        <v>18</v>
      </c>
      <c r="E234" s="5" t="s">
        <v>19</v>
      </c>
      <c r="F234" s="5">
        <v>20</v>
      </c>
      <c r="G234" s="5">
        <v>13941</v>
      </c>
      <c r="H234" s="5">
        <v>15</v>
      </c>
      <c r="I234" s="6">
        <v>46198</v>
      </c>
      <c r="J234" s="6">
        <v>46202</v>
      </c>
      <c r="K234" s="5" t="s">
        <v>24</v>
      </c>
    </row>
    <row r="235" spans="1:11" ht="15" thickBot="1" x14ac:dyDescent="0.4">
      <c r="A235" s="5">
        <v>1234</v>
      </c>
      <c r="B235" s="5" t="s">
        <v>11</v>
      </c>
      <c r="C235" s="5" t="s">
        <v>25</v>
      </c>
      <c r="D235" s="5" t="s">
        <v>18</v>
      </c>
      <c r="E235" s="5" t="s">
        <v>28</v>
      </c>
      <c r="F235" s="5">
        <v>1</v>
      </c>
      <c r="G235" s="5">
        <v>14320</v>
      </c>
      <c r="H235" s="5">
        <v>12</v>
      </c>
      <c r="I235" s="6">
        <v>46114</v>
      </c>
      <c r="J235" s="6">
        <v>46121</v>
      </c>
      <c r="K235" s="5" t="s">
        <v>51</v>
      </c>
    </row>
    <row r="236" spans="1:11" ht="15" thickBot="1" x14ac:dyDescent="0.4">
      <c r="A236" s="5">
        <v>1235</v>
      </c>
      <c r="B236" s="5" t="s">
        <v>57</v>
      </c>
      <c r="C236" s="5" t="s">
        <v>25</v>
      </c>
      <c r="D236" s="5" t="s">
        <v>13</v>
      </c>
      <c r="E236" s="5" t="s">
        <v>50</v>
      </c>
      <c r="F236" s="5">
        <v>15</v>
      </c>
      <c r="G236" s="5">
        <v>267</v>
      </c>
      <c r="H236" s="5">
        <v>15</v>
      </c>
      <c r="I236" s="6">
        <v>46172</v>
      </c>
      <c r="J236" s="6">
        <v>46177</v>
      </c>
      <c r="K236" s="5" t="s">
        <v>29</v>
      </c>
    </row>
    <row r="237" spans="1:11" ht="15" thickBot="1" x14ac:dyDescent="0.4">
      <c r="A237" s="5">
        <v>1236</v>
      </c>
      <c r="B237" s="5" t="s">
        <v>54</v>
      </c>
      <c r="C237" s="5" t="s">
        <v>43</v>
      </c>
      <c r="D237" s="5" t="s">
        <v>13</v>
      </c>
      <c r="E237" s="5" t="s">
        <v>37</v>
      </c>
      <c r="F237" s="5">
        <v>12</v>
      </c>
      <c r="G237" s="5">
        <v>189</v>
      </c>
      <c r="H237" s="5">
        <v>7</v>
      </c>
      <c r="I237" s="6">
        <v>46164</v>
      </c>
      <c r="J237" s="6">
        <v>46169</v>
      </c>
      <c r="K237" s="5" t="s">
        <v>29</v>
      </c>
    </row>
    <row r="238" spans="1:11" ht="15" thickBot="1" x14ac:dyDescent="0.4">
      <c r="A238" s="5">
        <v>1237</v>
      </c>
      <c r="B238" s="5" t="s">
        <v>46</v>
      </c>
      <c r="C238" s="5" t="s">
        <v>38</v>
      </c>
      <c r="D238" s="5" t="s">
        <v>18</v>
      </c>
      <c r="E238" s="5" t="s">
        <v>56</v>
      </c>
      <c r="F238" s="5">
        <v>8</v>
      </c>
      <c r="G238" s="5">
        <v>12123</v>
      </c>
      <c r="H238" s="5">
        <v>2</v>
      </c>
      <c r="I238" s="6">
        <v>46137</v>
      </c>
      <c r="J238" s="6">
        <v>46145</v>
      </c>
      <c r="K238" s="5" t="s">
        <v>15</v>
      </c>
    </row>
    <row r="239" spans="1:11" ht="15" thickBot="1" x14ac:dyDescent="0.4">
      <c r="A239" s="5">
        <v>1238</v>
      </c>
      <c r="B239" s="5" t="s">
        <v>30</v>
      </c>
      <c r="C239" s="5" t="s">
        <v>31</v>
      </c>
      <c r="D239" s="5" t="s">
        <v>13</v>
      </c>
      <c r="E239" s="5" t="s">
        <v>14</v>
      </c>
      <c r="F239" s="5">
        <v>6</v>
      </c>
      <c r="G239" s="5">
        <v>180</v>
      </c>
      <c r="H239" s="5">
        <v>12</v>
      </c>
      <c r="I239" s="6">
        <v>46096</v>
      </c>
      <c r="J239" s="6">
        <v>46097</v>
      </c>
      <c r="K239" s="5" t="s">
        <v>51</v>
      </c>
    </row>
    <row r="240" spans="1:11" ht="15" thickBot="1" x14ac:dyDescent="0.4">
      <c r="A240" s="5">
        <v>1239</v>
      </c>
      <c r="B240" s="5" t="s">
        <v>48</v>
      </c>
      <c r="C240" s="5" t="s">
        <v>17</v>
      </c>
      <c r="D240" s="5" t="s">
        <v>18</v>
      </c>
      <c r="E240" s="5" t="s">
        <v>56</v>
      </c>
      <c r="F240" s="5">
        <v>2</v>
      </c>
      <c r="G240" s="5">
        <v>12330</v>
      </c>
      <c r="H240" s="5">
        <v>12</v>
      </c>
      <c r="I240" s="6">
        <v>46122</v>
      </c>
      <c r="J240" s="6">
        <v>46125</v>
      </c>
      <c r="K240" s="5" t="s">
        <v>15</v>
      </c>
    </row>
    <row r="241" spans="1:11" ht="15" thickBot="1" x14ac:dyDescent="0.4">
      <c r="A241" s="5">
        <v>1240</v>
      </c>
      <c r="B241" s="5" t="s">
        <v>55</v>
      </c>
      <c r="C241" s="5" t="s">
        <v>33</v>
      </c>
      <c r="D241" s="5" t="s">
        <v>18</v>
      </c>
      <c r="E241" s="5" t="s">
        <v>23</v>
      </c>
      <c r="F241" s="5">
        <v>2</v>
      </c>
      <c r="G241" s="5">
        <v>5475</v>
      </c>
      <c r="H241" s="5">
        <v>2</v>
      </c>
      <c r="I241" s="6">
        <v>46142</v>
      </c>
      <c r="J241" s="6">
        <v>46146</v>
      </c>
      <c r="K241" s="5" t="s">
        <v>29</v>
      </c>
    </row>
    <row r="242" spans="1:11" ht="15" thickBot="1" x14ac:dyDescent="0.4">
      <c r="A242" s="5">
        <v>1241</v>
      </c>
      <c r="B242" s="5" t="s">
        <v>46</v>
      </c>
      <c r="C242" s="5" t="s">
        <v>31</v>
      </c>
      <c r="D242" s="5" t="s">
        <v>18</v>
      </c>
      <c r="E242" s="5" t="s">
        <v>44</v>
      </c>
      <c r="F242" s="5">
        <v>1</v>
      </c>
      <c r="G242" s="5">
        <v>12537</v>
      </c>
      <c r="H242" s="5">
        <v>0</v>
      </c>
      <c r="I242" s="6">
        <v>46119</v>
      </c>
      <c r="J242" s="6">
        <v>46122</v>
      </c>
      <c r="K242" s="5" t="s">
        <v>15</v>
      </c>
    </row>
    <row r="243" spans="1:11" ht="15" thickBot="1" x14ac:dyDescent="0.4">
      <c r="A243" s="5">
        <v>1242</v>
      </c>
      <c r="B243" s="5" t="s">
        <v>54</v>
      </c>
      <c r="C243" s="5" t="s">
        <v>38</v>
      </c>
      <c r="D243" s="5" t="s">
        <v>13</v>
      </c>
      <c r="E243" s="5" t="s">
        <v>50</v>
      </c>
      <c r="F243" s="5">
        <v>7</v>
      </c>
      <c r="G243" s="5">
        <v>168</v>
      </c>
      <c r="H243" s="5">
        <v>10</v>
      </c>
      <c r="I243" s="6">
        <v>46191</v>
      </c>
      <c r="J243" s="6">
        <v>46196</v>
      </c>
      <c r="K243" s="5" t="s">
        <v>51</v>
      </c>
    </row>
    <row r="244" spans="1:11" ht="15" thickBot="1" x14ac:dyDescent="0.4">
      <c r="A244" s="5">
        <v>1243</v>
      </c>
      <c r="B244" s="5" t="s">
        <v>30</v>
      </c>
      <c r="C244" s="5" t="s">
        <v>31</v>
      </c>
      <c r="D244" s="5" t="s">
        <v>34</v>
      </c>
      <c r="E244" s="5" t="s">
        <v>41</v>
      </c>
      <c r="F244" s="5">
        <v>5</v>
      </c>
      <c r="G244" s="5">
        <v>11570</v>
      </c>
      <c r="H244" s="5">
        <v>15</v>
      </c>
      <c r="I244" s="6">
        <v>46069</v>
      </c>
      <c r="J244" s="6">
        <v>46077</v>
      </c>
      <c r="K244" s="5" t="s">
        <v>24</v>
      </c>
    </row>
    <row r="245" spans="1:11" ht="15" thickBot="1" x14ac:dyDescent="0.4">
      <c r="A245" s="5">
        <v>1244</v>
      </c>
      <c r="B245" s="5" t="s">
        <v>57</v>
      </c>
      <c r="C245" s="5" t="s">
        <v>38</v>
      </c>
      <c r="D245" s="5" t="s">
        <v>18</v>
      </c>
      <c r="E245" s="5" t="s">
        <v>28</v>
      </c>
      <c r="F245" s="5">
        <v>10</v>
      </c>
      <c r="G245" s="5">
        <v>6339</v>
      </c>
      <c r="H245" s="5">
        <v>12</v>
      </c>
      <c r="I245" s="6">
        <v>46200</v>
      </c>
      <c r="J245" s="6">
        <v>46205</v>
      </c>
      <c r="K245" s="5" t="s">
        <v>15</v>
      </c>
    </row>
    <row r="246" spans="1:11" ht="15" thickBot="1" x14ac:dyDescent="0.4">
      <c r="A246" s="5">
        <v>1245</v>
      </c>
      <c r="B246" s="5" t="s">
        <v>55</v>
      </c>
      <c r="C246" s="5" t="s">
        <v>43</v>
      </c>
      <c r="D246" s="5" t="s">
        <v>34</v>
      </c>
      <c r="E246" s="5" t="s">
        <v>41</v>
      </c>
      <c r="F246" s="5">
        <v>19</v>
      </c>
      <c r="G246" s="5">
        <v>69029</v>
      </c>
      <c r="H246" s="5">
        <v>7</v>
      </c>
      <c r="I246" s="6">
        <v>46176</v>
      </c>
      <c r="J246" s="6">
        <v>46179</v>
      </c>
      <c r="K246" s="5" t="s">
        <v>29</v>
      </c>
    </row>
    <row r="247" spans="1:11" ht="15" thickBot="1" x14ac:dyDescent="0.4">
      <c r="A247" s="5">
        <v>1246</v>
      </c>
      <c r="B247" s="5" t="s">
        <v>55</v>
      </c>
      <c r="C247" s="5" t="s">
        <v>22</v>
      </c>
      <c r="D247" s="5" t="s">
        <v>34</v>
      </c>
      <c r="E247" s="5" t="s">
        <v>35</v>
      </c>
      <c r="F247" s="5">
        <v>13</v>
      </c>
      <c r="G247" s="5">
        <v>1825</v>
      </c>
      <c r="H247" s="5">
        <v>2</v>
      </c>
      <c r="I247" s="6">
        <v>46039</v>
      </c>
      <c r="J247" s="6">
        <v>46045</v>
      </c>
      <c r="K247" s="5" t="s">
        <v>51</v>
      </c>
    </row>
    <row r="248" spans="1:11" ht="15" thickBot="1" x14ac:dyDescent="0.4">
      <c r="A248" s="5">
        <v>1247</v>
      </c>
      <c r="B248" s="5" t="s">
        <v>26</v>
      </c>
      <c r="C248" s="5" t="s">
        <v>12</v>
      </c>
      <c r="D248" s="5" t="s">
        <v>13</v>
      </c>
      <c r="E248" s="5" t="s">
        <v>50</v>
      </c>
      <c r="F248" s="5">
        <v>10</v>
      </c>
      <c r="G248" s="5">
        <v>336</v>
      </c>
      <c r="H248" s="5">
        <v>7</v>
      </c>
      <c r="I248" s="6">
        <v>46173</v>
      </c>
      <c r="J248" s="6">
        <v>46175</v>
      </c>
      <c r="K248" s="5" t="s">
        <v>20</v>
      </c>
    </row>
    <row r="249" spans="1:11" ht="15" thickBot="1" x14ac:dyDescent="0.4">
      <c r="A249" s="5">
        <v>1248</v>
      </c>
      <c r="B249" s="5" t="s">
        <v>27</v>
      </c>
      <c r="C249" s="5" t="s">
        <v>43</v>
      </c>
      <c r="D249" s="5" t="s">
        <v>13</v>
      </c>
      <c r="E249" s="5" t="s">
        <v>37</v>
      </c>
      <c r="F249" s="5">
        <v>5</v>
      </c>
      <c r="G249" s="5">
        <v>398</v>
      </c>
      <c r="H249" s="5">
        <v>7</v>
      </c>
      <c r="I249" s="6">
        <v>46161</v>
      </c>
      <c r="J249" s="6">
        <v>46171</v>
      </c>
      <c r="K249" s="5" t="s">
        <v>29</v>
      </c>
    </row>
    <row r="250" spans="1:11" ht="15" thickBot="1" x14ac:dyDescent="0.4">
      <c r="A250" s="5">
        <v>1249</v>
      </c>
      <c r="B250" s="5" t="s">
        <v>16</v>
      </c>
      <c r="C250" s="5" t="s">
        <v>25</v>
      </c>
      <c r="D250" s="5" t="s">
        <v>34</v>
      </c>
      <c r="E250" s="5" t="s">
        <v>41</v>
      </c>
      <c r="F250" s="5">
        <v>18</v>
      </c>
      <c r="G250" s="5">
        <v>6360</v>
      </c>
      <c r="H250" s="5">
        <v>12</v>
      </c>
      <c r="I250" s="6">
        <v>46163</v>
      </c>
      <c r="J250" s="6">
        <v>46165</v>
      </c>
      <c r="K250" s="5" t="s">
        <v>20</v>
      </c>
    </row>
    <row r="251" spans="1:11" ht="15" thickBot="1" x14ac:dyDescent="0.4">
      <c r="A251" s="5">
        <v>1250</v>
      </c>
      <c r="B251" s="5" t="s">
        <v>11</v>
      </c>
      <c r="C251" s="5" t="s">
        <v>17</v>
      </c>
      <c r="D251" s="5" t="s">
        <v>34</v>
      </c>
      <c r="E251" s="5" t="s">
        <v>45</v>
      </c>
      <c r="F251" s="5">
        <v>2</v>
      </c>
      <c r="G251" s="5">
        <v>65953</v>
      </c>
      <c r="H251" s="5">
        <v>7</v>
      </c>
      <c r="I251" s="6">
        <v>46051</v>
      </c>
      <c r="J251" s="6">
        <v>46053</v>
      </c>
      <c r="K251" s="5" t="s">
        <v>29</v>
      </c>
    </row>
    <row r="252" spans="1:11" ht="15" thickBot="1" x14ac:dyDescent="0.4">
      <c r="A252" s="5">
        <v>1251</v>
      </c>
      <c r="B252" s="5" t="s">
        <v>55</v>
      </c>
      <c r="C252" s="5" t="s">
        <v>38</v>
      </c>
      <c r="D252" s="5" t="s">
        <v>34</v>
      </c>
      <c r="E252" s="5" t="s">
        <v>61</v>
      </c>
      <c r="F252" s="5">
        <v>19</v>
      </c>
      <c r="G252" s="5">
        <v>48548</v>
      </c>
      <c r="H252" s="5">
        <v>0</v>
      </c>
      <c r="I252" s="6">
        <v>46112</v>
      </c>
      <c r="J252" s="6">
        <v>46121</v>
      </c>
      <c r="K252" s="5" t="s">
        <v>51</v>
      </c>
    </row>
    <row r="253" spans="1:11" ht="15" thickBot="1" x14ac:dyDescent="0.4">
      <c r="A253" s="5">
        <v>1252</v>
      </c>
      <c r="B253" s="5" t="s">
        <v>47</v>
      </c>
      <c r="C253" s="5" t="s">
        <v>25</v>
      </c>
      <c r="D253" s="5" t="s">
        <v>13</v>
      </c>
      <c r="E253" s="5" t="s">
        <v>36</v>
      </c>
      <c r="F253" s="5">
        <v>15</v>
      </c>
      <c r="G253" s="5">
        <v>257</v>
      </c>
      <c r="H253" s="5">
        <v>5</v>
      </c>
      <c r="I253" s="6">
        <v>46166</v>
      </c>
      <c r="J253" s="6">
        <v>46173</v>
      </c>
      <c r="K253" s="5" t="s">
        <v>20</v>
      </c>
    </row>
    <row r="254" spans="1:11" ht="15" thickBot="1" x14ac:dyDescent="0.4">
      <c r="A254" s="5">
        <v>1253</v>
      </c>
      <c r="B254" s="5" t="s">
        <v>21</v>
      </c>
      <c r="C254" s="5" t="s">
        <v>31</v>
      </c>
      <c r="D254" s="5" t="s">
        <v>34</v>
      </c>
      <c r="E254" s="5" t="s">
        <v>45</v>
      </c>
      <c r="F254" s="5">
        <v>20</v>
      </c>
      <c r="G254" s="5">
        <v>47880</v>
      </c>
      <c r="H254" s="5">
        <v>7</v>
      </c>
      <c r="I254" s="6">
        <v>46074</v>
      </c>
      <c r="J254" s="6">
        <v>46075</v>
      </c>
      <c r="K254" s="5" t="s">
        <v>29</v>
      </c>
    </row>
    <row r="255" spans="1:11" ht="15" thickBot="1" x14ac:dyDescent="0.4">
      <c r="A255" s="5">
        <v>1254</v>
      </c>
      <c r="B255" s="5" t="s">
        <v>52</v>
      </c>
      <c r="C255" s="5" t="s">
        <v>22</v>
      </c>
      <c r="D255" s="5" t="s">
        <v>13</v>
      </c>
      <c r="E255" s="5" t="s">
        <v>50</v>
      </c>
      <c r="F255" s="5">
        <v>18</v>
      </c>
      <c r="G255" s="5">
        <v>447</v>
      </c>
      <c r="H255" s="5">
        <v>15</v>
      </c>
      <c r="I255" s="6">
        <v>46141</v>
      </c>
      <c r="J255" s="6">
        <v>46149</v>
      </c>
      <c r="K255" s="5" t="s">
        <v>24</v>
      </c>
    </row>
    <row r="256" spans="1:11" ht="15" thickBot="1" x14ac:dyDescent="0.4">
      <c r="A256" s="5">
        <v>1255</v>
      </c>
      <c r="B256" s="5" t="s">
        <v>32</v>
      </c>
      <c r="C256" s="5" t="s">
        <v>17</v>
      </c>
      <c r="D256" s="5" t="s">
        <v>18</v>
      </c>
      <c r="E256" s="5" t="s">
        <v>19</v>
      </c>
      <c r="F256" s="5">
        <v>1</v>
      </c>
      <c r="G256" s="5">
        <v>2240</v>
      </c>
      <c r="H256" s="5">
        <v>5</v>
      </c>
      <c r="I256" s="6">
        <v>46091</v>
      </c>
      <c r="J256" s="6">
        <v>46095</v>
      </c>
      <c r="K256" s="5" t="s">
        <v>20</v>
      </c>
    </row>
    <row r="257" spans="1:11" ht="15" thickBot="1" x14ac:dyDescent="0.4">
      <c r="A257" s="5">
        <v>1256</v>
      </c>
      <c r="B257" s="5" t="s">
        <v>48</v>
      </c>
      <c r="C257" s="5" t="s">
        <v>31</v>
      </c>
      <c r="D257" s="5" t="s">
        <v>13</v>
      </c>
      <c r="E257" s="5" t="s">
        <v>50</v>
      </c>
      <c r="F257" s="5">
        <v>19</v>
      </c>
      <c r="G257" s="5">
        <v>406</v>
      </c>
      <c r="H257" s="5">
        <v>7</v>
      </c>
      <c r="I257" s="6">
        <v>46057</v>
      </c>
      <c r="J257" s="6">
        <v>46061</v>
      </c>
      <c r="K257" s="5" t="s">
        <v>15</v>
      </c>
    </row>
    <row r="258" spans="1:11" ht="15" thickBot="1" x14ac:dyDescent="0.4">
      <c r="A258" s="5">
        <v>1257</v>
      </c>
      <c r="B258" s="5" t="s">
        <v>54</v>
      </c>
      <c r="C258" s="5" t="s">
        <v>25</v>
      </c>
      <c r="D258" s="5" t="s">
        <v>34</v>
      </c>
      <c r="E258" s="5" t="s">
        <v>61</v>
      </c>
      <c r="F258" s="5">
        <v>7</v>
      </c>
      <c r="G258" s="5">
        <v>53243</v>
      </c>
      <c r="H258" s="5">
        <v>12</v>
      </c>
      <c r="I258" s="6">
        <v>46161</v>
      </c>
      <c r="J258" s="6">
        <v>46171</v>
      </c>
      <c r="K258" s="5" t="s">
        <v>15</v>
      </c>
    </row>
    <row r="259" spans="1:11" ht="15" thickBot="1" x14ac:dyDescent="0.4">
      <c r="A259" s="5">
        <v>1258</v>
      </c>
      <c r="B259" s="5" t="s">
        <v>32</v>
      </c>
      <c r="C259" s="5" t="s">
        <v>31</v>
      </c>
      <c r="D259" s="5" t="s">
        <v>34</v>
      </c>
      <c r="E259" s="5" t="s">
        <v>60</v>
      </c>
      <c r="F259" s="5">
        <v>1</v>
      </c>
      <c r="G259" s="5">
        <v>10600</v>
      </c>
      <c r="H259" s="5">
        <v>5</v>
      </c>
      <c r="I259" s="6">
        <v>46137</v>
      </c>
      <c r="J259" s="6">
        <v>46138</v>
      </c>
      <c r="K259" s="5" t="s">
        <v>29</v>
      </c>
    </row>
    <row r="260" spans="1:11" ht="15" thickBot="1" x14ac:dyDescent="0.4">
      <c r="A260" s="5">
        <v>1259</v>
      </c>
      <c r="B260" s="5" t="s">
        <v>42</v>
      </c>
      <c r="C260" s="5" t="s">
        <v>22</v>
      </c>
      <c r="D260" s="5" t="s">
        <v>34</v>
      </c>
      <c r="E260" s="5" t="s">
        <v>45</v>
      </c>
      <c r="F260" s="5">
        <v>10</v>
      </c>
      <c r="G260" s="5">
        <v>38771</v>
      </c>
      <c r="H260" s="5">
        <v>15</v>
      </c>
      <c r="I260" s="6">
        <v>46172</v>
      </c>
      <c r="J260" s="6">
        <v>46182</v>
      </c>
      <c r="K260" s="5" t="s">
        <v>15</v>
      </c>
    </row>
    <row r="261" spans="1:11" ht="15" thickBot="1" x14ac:dyDescent="0.4">
      <c r="A261" s="5">
        <v>1260</v>
      </c>
      <c r="B261" s="5" t="s">
        <v>54</v>
      </c>
      <c r="C261" s="5" t="s">
        <v>38</v>
      </c>
      <c r="D261" s="5" t="s">
        <v>34</v>
      </c>
      <c r="E261" s="5" t="s">
        <v>41</v>
      </c>
      <c r="F261" s="5">
        <v>19</v>
      </c>
      <c r="G261" s="5">
        <v>54981</v>
      </c>
      <c r="H261" s="5">
        <v>10</v>
      </c>
      <c r="I261" s="6">
        <v>46040</v>
      </c>
      <c r="J261" s="6">
        <v>46045</v>
      </c>
      <c r="K261" s="5" t="s">
        <v>29</v>
      </c>
    </row>
    <row r="262" spans="1:11" ht="15" thickBot="1" x14ac:dyDescent="0.4">
      <c r="A262" s="5">
        <v>1261</v>
      </c>
      <c r="B262" s="5" t="s">
        <v>40</v>
      </c>
      <c r="C262" s="5" t="s">
        <v>17</v>
      </c>
      <c r="D262" s="5" t="s">
        <v>13</v>
      </c>
      <c r="E262" s="5" t="s">
        <v>50</v>
      </c>
      <c r="F262" s="5">
        <v>20</v>
      </c>
      <c r="G262" s="5">
        <v>162</v>
      </c>
      <c r="H262" s="5">
        <v>7</v>
      </c>
      <c r="I262" s="6">
        <v>46119</v>
      </c>
      <c r="J262" s="6">
        <v>46120</v>
      </c>
      <c r="K262" s="5" t="s">
        <v>51</v>
      </c>
    </row>
    <row r="263" spans="1:11" ht="15" thickBot="1" x14ac:dyDescent="0.4">
      <c r="A263" s="5">
        <v>1262</v>
      </c>
      <c r="B263" s="5" t="s">
        <v>16</v>
      </c>
      <c r="C263" s="5" t="s">
        <v>22</v>
      </c>
      <c r="D263" s="5" t="s">
        <v>18</v>
      </c>
      <c r="E263" s="5" t="s">
        <v>28</v>
      </c>
      <c r="F263" s="5">
        <v>9</v>
      </c>
      <c r="G263" s="5">
        <v>2231</v>
      </c>
      <c r="H263" s="5">
        <v>15</v>
      </c>
      <c r="I263" s="6">
        <v>46174</v>
      </c>
      <c r="J263" s="6">
        <v>46183</v>
      </c>
      <c r="K263" s="5" t="s">
        <v>15</v>
      </c>
    </row>
    <row r="264" spans="1:11" ht="15" thickBot="1" x14ac:dyDescent="0.4">
      <c r="A264" s="5">
        <v>1263</v>
      </c>
      <c r="B264" s="5" t="s">
        <v>29</v>
      </c>
      <c r="C264" s="5" t="s">
        <v>38</v>
      </c>
      <c r="D264" s="5" t="s">
        <v>18</v>
      </c>
      <c r="E264" s="5" t="s">
        <v>28</v>
      </c>
      <c r="F264" s="5">
        <v>10</v>
      </c>
      <c r="G264" s="5">
        <v>1505</v>
      </c>
      <c r="H264" s="5">
        <v>0</v>
      </c>
      <c r="I264" s="6">
        <v>46130</v>
      </c>
      <c r="J264" s="6">
        <v>46138</v>
      </c>
      <c r="K264" s="5" t="s">
        <v>51</v>
      </c>
    </row>
    <row r="265" spans="1:11" ht="15" thickBot="1" x14ac:dyDescent="0.4">
      <c r="A265" s="5">
        <v>1264</v>
      </c>
      <c r="B265" s="5" t="s">
        <v>11</v>
      </c>
      <c r="C265" s="5" t="s">
        <v>22</v>
      </c>
      <c r="D265" s="5" t="s">
        <v>18</v>
      </c>
      <c r="E265" s="5" t="s">
        <v>28</v>
      </c>
      <c r="F265" s="5">
        <v>15</v>
      </c>
      <c r="G265" s="5">
        <v>6365</v>
      </c>
      <c r="H265" s="5">
        <v>10</v>
      </c>
      <c r="I265" s="6">
        <v>46200</v>
      </c>
      <c r="J265" s="6">
        <v>46206</v>
      </c>
      <c r="K265" s="5" t="s">
        <v>20</v>
      </c>
    </row>
    <row r="266" spans="1:11" ht="15" thickBot="1" x14ac:dyDescent="0.4">
      <c r="A266" s="5">
        <v>1265</v>
      </c>
      <c r="B266" s="5" t="s">
        <v>58</v>
      </c>
      <c r="C266" s="5" t="s">
        <v>22</v>
      </c>
      <c r="D266" s="5" t="s">
        <v>18</v>
      </c>
      <c r="E266" s="5" t="s">
        <v>19</v>
      </c>
      <c r="F266" s="5">
        <v>1</v>
      </c>
      <c r="G266" s="5">
        <v>1052</v>
      </c>
      <c r="H266" s="5">
        <v>7</v>
      </c>
      <c r="I266" s="6">
        <v>46117</v>
      </c>
      <c r="J266" s="6">
        <v>46127</v>
      </c>
      <c r="K266" s="5" t="s">
        <v>51</v>
      </c>
    </row>
    <row r="267" spans="1:11" ht="15" thickBot="1" x14ac:dyDescent="0.4">
      <c r="A267" s="5">
        <v>1266</v>
      </c>
      <c r="B267" s="5" t="s">
        <v>29</v>
      </c>
      <c r="C267" s="5" t="s">
        <v>33</v>
      </c>
      <c r="D267" s="5" t="s">
        <v>13</v>
      </c>
      <c r="E267" s="5" t="s">
        <v>14</v>
      </c>
      <c r="F267" s="5">
        <v>17</v>
      </c>
      <c r="G267" s="5">
        <v>365</v>
      </c>
      <c r="H267" s="5">
        <v>2</v>
      </c>
      <c r="I267" s="6">
        <v>46096</v>
      </c>
      <c r="J267" s="6">
        <v>46104</v>
      </c>
      <c r="K267" s="5" t="s">
        <v>51</v>
      </c>
    </row>
    <row r="268" spans="1:11" ht="15" thickBot="1" x14ac:dyDescent="0.4">
      <c r="A268" s="5">
        <v>1267</v>
      </c>
      <c r="B268" s="5" t="s">
        <v>27</v>
      </c>
      <c r="C268" s="5" t="s">
        <v>38</v>
      </c>
      <c r="D268" s="5" t="s">
        <v>13</v>
      </c>
      <c r="E268" s="5" t="s">
        <v>50</v>
      </c>
      <c r="F268" s="5">
        <v>1</v>
      </c>
      <c r="G268" s="5">
        <v>50</v>
      </c>
      <c r="H268" s="5">
        <v>0</v>
      </c>
      <c r="I268" s="6">
        <v>46129</v>
      </c>
      <c r="J268" s="6">
        <v>46138</v>
      </c>
      <c r="K268" s="5" t="s">
        <v>20</v>
      </c>
    </row>
    <row r="269" spans="1:11" ht="15" thickBot="1" x14ac:dyDescent="0.4">
      <c r="A269" s="5">
        <v>1268</v>
      </c>
      <c r="B269" s="5" t="s">
        <v>42</v>
      </c>
      <c r="C269" s="5" t="s">
        <v>38</v>
      </c>
      <c r="D269" s="5" t="s">
        <v>34</v>
      </c>
      <c r="E269" s="5" t="s">
        <v>45</v>
      </c>
      <c r="F269" s="5">
        <v>10</v>
      </c>
      <c r="G269" s="5">
        <v>46291</v>
      </c>
      <c r="H269" s="5">
        <v>12</v>
      </c>
      <c r="I269" s="6">
        <v>46199</v>
      </c>
      <c r="J269" s="6">
        <v>46202</v>
      </c>
      <c r="K269" s="5" t="s">
        <v>20</v>
      </c>
    </row>
    <row r="270" spans="1:11" ht="15" thickBot="1" x14ac:dyDescent="0.4">
      <c r="A270" s="5">
        <v>1269</v>
      </c>
      <c r="B270" s="5" t="s">
        <v>52</v>
      </c>
      <c r="C270" s="5" t="s">
        <v>43</v>
      </c>
      <c r="D270" s="5" t="s">
        <v>18</v>
      </c>
      <c r="E270" s="5" t="s">
        <v>19</v>
      </c>
      <c r="F270" s="5">
        <v>14</v>
      </c>
      <c r="G270" s="5">
        <v>5704</v>
      </c>
      <c r="H270" s="5">
        <v>2</v>
      </c>
      <c r="I270" s="6">
        <v>46129</v>
      </c>
      <c r="J270" s="6">
        <v>46131</v>
      </c>
      <c r="K270" s="5" t="s">
        <v>15</v>
      </c>
    </row>
    <row r="271" spans="1:11" ht="15" thickBot="1" x14ac:dyDescent="0.4">
      <c r="A271" s="5">
        <v>1270</v>
      </c>
      <c r="B271" s="5" t="s">
        <v>49</v>
      </c>
      <c r="C271" s="5" t="s">
        <v>43</v>
      </c>
      <c r="D271" s="5" t="s">
        <v>34</v>
      </c>
      <c r="E271" s="5" t="s">
        <v>35</v>
      </c>
      <c r="F271" s="5">
        <v>16</v>
      </c>
      <c r="G271" s="5">
        <v>62941</v>
      </c>
      <c r="H271" s="5">
        <v>7</v>
      </c>
      <c r="I271" s="6">
        <v>46135</v>
      </c>
      <c r="J271" s="6">
        <v>46141</v>
      </c>
      <c r="K271" s="5" t="s">
        <v>51</v>
      </c>
    </row>
    <row r="272" spans="1:11" ht="15" thickBot="1" x14ac:dyDescent="0.4">
      <c r="A272" s="5">
        <v>1271</v>
      </c>
      <c r="B272" s="5" t="s">
        <v>40</v>
      </c>
      <c r="C272" s="5" t="s">
        <v>33</v>
      </c>
      <c r="D272" s="5" t="s">
        <v>34</v>
      </c>
      <c r="E272" s="5" t="s">
        <v>60</v>
      </c>
      <c r="F272" s="5">
        <v>20</v>
      </c>
      <c r="G272" s="5">
        <v>36941</v>
      </c>
      <c r="H272" s="5">
        <v>15</v>
      </c>
      <c r="I272" s="6">
        <v>46083</v>
      </c>
      <c r="J272" s="6">
        <v>46085</v>
      </c>
      <c r="K272" s="5" t="s">
        <v>29</v>
      </c>
    </row>
    <row r="273" spans="1:11" ht="15" thickBot="1" x14ac:dyDescent="0.4">
      <c r="A273" s="5">
        <v>1272</v>
      </c>
      <c r="B273" s="5" t="s">
        <v>52</v>
      </c>
      <c r="C273" s="5" t="s">
        <v>38</v>
      </c>
      <c r="D273" s="5" t="s">
        <v>34</v>
      </c>
      <c r="E273" s="5" t="s">
        <v>41</v>
      </c>
      <c r="F273" s="5">
        <v>13</v>
      </c>
      <c r="G273" s="5">
        <v>42179</v>
      </c>
      <c r="H273" s="5">
        <v>0</v>
      </c>
      <c r="I273" s="6">
        <v>46078</v>
      </c>
      <c r="J273" s="6">
        <v>46084</v>
      </c>
      <c r="K273" s="5" t="s">
        <v>20</v>
      </c>
    </row>
    <row r="274" spans="1:11" ht="15" thickBot="1" x14ac:dyDescent="0.4">
      <c r="A274" s="5">
        <v>1273</v>
      </c>
      <c r="B274" s="5" t="s">
        <v>46</v>
      </c>
      <c r="C274" s="5" t="s">
        <v>25</v>
      </c>
      <c r="D274" s="5" t="s">
        <v>34</v>
      </c>
      <c r="E274" s="5" t="s">
        <v>39</v>
      </c>
      <c r="F274" s="5">
        <v>12</v>
      </c>
      <c r="G274" s="5">
        <v>20618</v>
      </c>
      <c r="H274" s="5">
        <v>12</v>
      </c>
      <c r="I274" s="6">
        <v>46172</v>
      </c>
      <c r="J274" s="6">
        <v>46174</v>
      </c>
      <c r="K274" s="5" t="s">
        <v>20</v>
      </c>
    </row>
    <row r="275" spans="1:11" ht="15" thickBot="1" x14ac:dyDescent="0.4">
      <c r="A275" s="5">
        <v>1274</v>
      </c>
      <c r="B275" s="5" t="s">
        <v>26</v>
      </c>
      <c r="C275" s="5" t="s">
        <v>25</v>
      </c>
      <c r="D275" s="5" t="s">
        <v>34</v>
      </c>
      <c r="E275" s="5" t="s">
        <v>41</v>
      </c>
      <c r="F275" s="5">
        <v>13</v>
      </c>
      <c r="G275" s="5">
        <v>36652</v>
      </c>
      <c r="H275" s="5">
        <v>12</v>
      </c>
      <c r="I275" s="6">
        <v>46179</v>
      </c>
      <c r="J275" s="6">
        <v>46186</v>
      </c>
      <c r="K275" s="5" t="s">
        <v>20</v>
      </c>
    </row>
    <row r="276" spans="1:11" ht="15" thickBot="1" x14ac:dyDescent="0.4">
      <c r="A276" s="5">
        <v>1275</v>
      </c>
      <c r="B276" s="5" t="s">
        <v>16</v>
      </c>
      <c r="C276" s="5" t="s">
        <v>31</v>
      </c>
      <c r="D276" s="5" t="s">
        <v>13</v>
      </c>
      <c r="E276" s="5" t="s">
        <v>50</v>
      </c>
      <c r="F276" s="5">
        <v>20</v>
      </c>
      <c r="G276" s="5">
        <v>451</v>
      </c>
      <c r="H276" s="5">
        <v>15</v>
      </c>
      <c r="I276" s="6">
        <v>46092</v>
      </c>
      <c r="J276" s="6">
        <v>46094</v>
      </c>
      <c r="K276" s="5" t="s">
        <v>20</v>
      </c>
    </row>
    <row r="277" spans="1:11" ht="15" thickBot="1" x14ac:dyDescent="0.4">
      <c r="A277" s="5">
        <v>1276</v>
      </c>
      <c r="B277" s="5" t="s">
        <v>40</v>
      </c>
      <c r="C277" s="5" t="s">
        <v>12</v>
      </c>
      <c r="D277" s="5" t="s">
        <v>18</v>
      </c>
      <c r="E277" s="5" t="s">
        <v>19</v>
      </c>
      <c r="F277" s="5">
        <v>1</v>
      </c>
      <c r="G277" s="5">
        <v>13437</v>
      </c>
      <c r="H277" s="5">
        <v>15</v>
      </c>
      <c r="I277" s="6">
        <v>46097</v>
      </c>
      <c r="J277" s="6">
        <v>46099</v>
      </c>
      <c r="K277" s="5" t="s">
        <v>24</v>
      </c>
    </row>
    <row r="278" spans="1:11" ht="15" thickBot="1" x14ac:dyDescent="0.4">
      <c r="A278" s="5">
        <v>1277</v>
      </c>
      <c r="B278" s="5" t="s">
        <v>59</v>
      </c>
      <c r="C278" s="5" t="s">
        <v>17</v>
      </c>
      <c r="D278" s="5" t="s">
        <v>13</v>
      </c>
      <c r="E278" s="5" t="s">
        <v>36</v>
      </c>
      <c r="F278" s="5">
        <v>14</v>
      </c>
      <c r="G278" s="5">
        <v>276</v>
      </c>
      <c r="H278" s="5">
        <v>0</v>
      </c>
      <c r="I278" s="6">
        <v>46086</v>
      </c>
      <c r="J278" s="6">
        <v>46089</v>
      </c>
      <c r="K278" s="5" t="s">
        <v>15</v>
      </c>
    </row>
    <row r="279" spans="1:11" ht="15" thickBot="1" x14ac:dyDescent="0.4">
      <c r="A279" s="5">
        <v>1278</v>
      </c>
      <c r="B279" s="5" t="s">
        <v>47</v>
      </c>
      <c r="C279" s="5" t="s">
        <v>22</v>
      </c>
      <c r="D279" s="5" t="s">
        <v>34</v>
      </c>
      <c r="E279" s="5" t="s">
        <v>61</v>
      </c>
      <c r="F279" s="5">
        <v>4</v>
      </c>
      <c r="G279" s="5">
        <v>20639</v>
      </c>
      <c r="H279" s="5">
        <v>7</v>
      </c>
      <c r="I279" s="6">
        <v>46180</v>
      </c>
      <c r="J279" s="6">
        <v>46186</v>
      </c>
      <c r="K279" s="5" t="s">
        <v>20</v>
      </c>
    </row>
    <row r="280" spans="1:11" ht="15" thickBot="1" x14ac:dyDescent="0.4">
      <c r="A280" s="5">
        <v>1279</v>
      </c>
      <c r="B280" s="5" t="s">
        <v>55</v>
      </c>
      <c r="C280" s="5" t="s">
        <v>33</v>
      </c>
      <c r="D280" s="5" t="s">
        <v>34</v>
      </c>
      <c r="E280" s="5" t="s">
        <v>45</v>
      </c>
      <c r="F280" s="5">
        <v>20</v>
      </c>
      <c r="G280" s="5">
        <v>49042</v>
      </c>
      <c r="H280" s="5">
        <v>2</v>
      </c>
      <c r="I280" s="6">
        <v>46124</v>
      </c>
      <c r="J280" s="6">
        <v>46126</v>
      </c>
      <c r="K280" s="5" t="s">
        <v>15</v>
      </c>
    </row>
    <row r="281" spans="1:11" ht="15" thickBot="1" x14ac:dyDescent="0.4">
      <c r="A281" s="5">
        <v>1280</v>
      </c>
      <c r="B281" s="5" t="s">
        <v>59</v>
      </c>
      <c r="C281" s="5" t="s">
        <v>38</v>
      </c>
      <c r="D281" s="5" t="s">
        <v>13</v>
      </c>
      <c r="E281" s="5" t="s">
        <v>53</v>
      </c>
      <c r="F281" s="5">
        <v>9</v>
      </c>
      <c r="G281" s="5">
        <v>50</v>
      </c>
      <c r="H281" s="5">
        <v>7</v>
      </c>
      <c r="I281" s="6">
        <v>46085</v>
      </c>
      <c r="J281" s="6">
        <v>46095</v>
      </c>
      <c r="K281" s="5" t="s">
        <v>51</v>
      </c>
    </row>
    <row r="282" spans="1:11" ht="15" thickBot="1" x14ac:dyDescent="0.4">
      <c r="A282" s="5">
        <v>1281</v>
      </c>
      <c r="B282" s="5" t="s">
        <v>55</v>
      </c>
      <c r="C282" s="5" t="s">
        <v>17</v>
      </c>
      <c r="D282" s="5" t="s">
        <v>13</v>
      </c>
      <c r="E282" s="5" t="s">
        <v>50</v>
      </c>
      <c r="F282" s="5">
        <v>6</v>
      </c>
      <c r="G282" s="5">
        <v>253</v>
      </c>
      <c r="H282" s="5">
        <v>0</v>
      </c>
      <c r="I282" s="6">
        <v>46055</v>
      </c>
      <c r="J282" s="6">
        <v>46063</v>
      </c>
      <c r="K282" s="5" t="s">
        <v>24</v>
      </c>
    </row>
    <row r="283" spans="1:11" ht="15" thickBot="1" x14ac:dyDescent="0.4">
      <c r="A283" s="5">
        <v>1282</v>
      </c>
      <c r="B283" s="5" t="s">
        <v>57</v>
      </c>
      <c r="C283" s="5" t="s">
        <v>43</v>
      </c>
      <c r="D283" s="5" t="s">
        <v>18</v>
      </c>
      <c r="E283" s="5" t="s">
        <v>44</v>
      </c>
      <c r="F283" s="5">
        <v>12</v>
      </c>
      <c r="G283" s="5">
        <v>3178</v>
      </c>
      <c r="H283" s="5">
        <v>10</v>
      </c>
      <c r="I283" s="6">
        <v>46176</v>
      </c>
      <c r="J283" s="6">
        <v>46177</v>
      </c>
      <c r="K283" s="5" t="s">
        <v>29</v>
      </c>
    </row>
    <row r="284" spans="1:11" ht="15" thickBot="1" x14ac:dyDescent="0.4">
      <c r="A284" s="5">
        <v>1283</v>
      </c>
      <c r="B284" s="5" t="s">
        <v>40</v>
      </c>
      <c r="C284" s="5" t="s">
        <v>12</v>
      </c>
      <c r="D284" s="5" t="s">
        <v>18</v>
      </c>
      <c r="E284" s="5" t="s">
        <v>23</v>
      </c>
      <c r="F284" s="5">
        <v>6</v>
      </c>
      <c r="G284" s="5">
        <v>1167</v>
      </c>
      <c r="H284" s="5">
        <v>2</v>
      </c>
      <c r="I284" s="6">
        <v>46100</v>
      </c>
      <c r="J284" s="6">
        <v>46106</v>
      </c>
      <c r="K284" s="5" t="s">
        <v>15</v>
      </c>
    </row>
    <row r="285" spans="1:11" ht="15" thickBot="1" x14ac:dyDescent="0.4">
      <c r="A285" s="5">
        <v>1284</v>
      </c>
      <c r="B285" s="5" t="s">
        <v>40</v>
      </c>
      <c r="C285" s="5" t="s">
        <v>25</v>
      </c>
      <c r="D285" s="5" t="s">
        <v>13</v>
      </c>
      <c r="E285" s="5" t="s">
        <v>37</v>
      </c>
      <c r="F285" s="5">
        <v>16</v>
      </c>
      <c r="G285" s="5">
        <v>419</v>
      </c>
      <c r="H285" s="5">
        <v>2</v>
      </c>
      <c r="I285" s="6">
        <v>46082</v>
      </c>
      <c r="J285" s="6">
        <v>46090</v>
      </c>
      <c r="K285" s="5" t="s">
        <v>15</v>
      </c>
    </row>
    <row r="286" spans="1:11" ht="15" thickBot="1" x14ac:dyDescent="0.4">
      <c r="A286" s="5">
        <v>1285</v>
      </c>
      <c r="B286" s="5" t="s">
        <v>32</v>
      </c>
      <c r="C286" s="5" t="s">
        <v>38</v>
      </c>
      <c r="D286" s="5" t="s">
        <v>13</v>
      </c>
      <c r="E286" s="5" t="s">
        <v>36</v>
      </c>
      <c r="F286" s="5">
        <v>7</v>
      </c>
      <c r="G286" s="5">
        <v>439</v>
      </c>
      <c r="H286" s="5">
        <v>15</v>
      </c>
      <c r="I286" s="6">
        <v>46055</v>
      </c>
      <c r="J286" s="6">
        <v>46058</v>
      </c>
      <c r="K286" s="5" t="s">
        <v>20</v>
      </c>
    </row>
    <row r="287" spans="1:11" ht="15" thickBot="1" x14ac:dyDescent="0.4">
      <c r="A287" s="5">
        <v>1286</v>
      </c>
      <c r="B287" s="5" t="s">
        <v>46</v>
      </c>
      <c r="C287" s="5" t="s">
        <v>17</v>
      </c>
      <c r="D287" s="5" t="s">
        <v>18</v>
      </c>
      <c r="E287" s="5" t="s">
        <v>56</v>
      </c>
      <c r="F287" s="5">
        <v>9</v>
      </c>
      <c r="G287" s="5">
        <v>1340</v>
      </c>
      <c r="H287" s="5">
        <v>2</v>
      </c>
      <c r="I287" s="6">
        <v>46168</v>
      </c>
      <c r="J287" s="6">
        <v>46173</v>
      </c>
      <c r="K287" s="5" t="s">
        <v>15</v>
      </c>
    </row>
    <row r="288" spans="1:11" ht="15" thickBot="1" x14ac:dyDescent="0.4">
      <c r="A288" s="5">
        <v>1287</v>
      </c>
      <c r="B288" s="5" t="s">
        <v>59</v>
      </c>
      <c r="C288" s="5" t="s">
        <v>31</v>
      </c>
      <c r="D288" s="5" t="s">
        <v>13</v>
      </c>
      <c r="E288" s="5" t="s">
        <v>14</v>
      </c>
      <c r="F288" s="5">
        <v>15</v>
      </c>
      <c r="G288" s="5">
        <v>251</v>
      </c>
      <c r="H288" s="5">
        <v>2</v>
      </c>
      <c r="I288" s="6">
        <v>46116</v>
      </c>
      <c r="J288" s="6">
        <v>46122</v>
      </c>
      <c r="K288" s="5" t="s">
        <v>51</v>
      </c>
    </row>
    <row r="289" spans="1:11" ht="15" thickBot="1" x14ac:dyDescent="0.4">
      <c r="A289" s="5">
        <v>1288</v>
      </c>
      <c r="B289" s="5" t="s">
        <v>54</v>
      </c>
      <c r="C289" s="5" t="s">
        <v>22</v>
      </c>
      <c r="D289" s="5" t="s">
        <v>34</v>
      </c>
      <c r="E289" s="5" t="s">
        <v>60</v>
      </c>
      <c r="F289" s="5">
        <v>14</v>
      </c>
      <c r="G289" s="5">
        <v>35601</v>
      </c>
      <c r="H289" s="5">
        <v>10</v>
      </c>
      <c r="I289" s="6">
        <v>46179</v>
      </c>
      <c r="J289" s="6">
        <v>46187</v>
      </c>
      <c r="K289" s="5" t="s">
        <v>29</v>
      </c>
    </row>
    <row r="290" spans="1:11" ht="15" thickBot="1" x14ac:dyDescent="0.4">
      <c r="A290" s="5">
        <v>1289</v>
      </c>
      <c r="B290" s="5" t="s">
        <v>26</v>
      </c>
      <c r="C290" s="5" t="s">
        <v>22</v>
      </c>
      <c r="D290" s="5" t="s">
        <v>34</v>
      </c>
      <c r="E290" s="5" t="s">
        <v>45</v>
      </c>
      <c r="F290" s="5">
        <v>19</v>
      </c>
      <c r="G290" s="5">
        <v>25336</v>
      </c>
      <c r="H290" s="5">
        <v>2</v>
      </c>
      <c r="I290" s="6">
        <v>46122</v>
      </c>
      <c r="J290" s="6">
        <v>46130</v>
      </c>
      <c r="K290" s="5" t="s">
        <v>24</v>
      </c>
    </row>
    <row r="291" spans="1:11" ht="15" thickBot="1" x14ac:dyDescent="0.4">
      <c r="A291" s="5">
        <v>1290</v>
      </c>
      <c r="B291" s="5" t="s">
        <v>26</v>
      </c>
      <c r="C291" s="5" t="s">
        <v>22</v>
      </c>
      <c r="D291" s="5" t="s">
        <v>34</v>
      </c>
      <c r="E291" s="5" t="s">
        <v>35</v>
      </c>
      <c r="F291" s="5">
        <v>3</v>
      </c>
      <c r="G291" s="5">
        <v>69793</v>
      </c>
      <c r="H291" s="5">
        <v>15</v>
      </c>
      <c r="I291" s="6">
        <v>46110</v>
      </c>
      <c r="J291" s="6">
        <v>46111</v>
      </c>
      <c r="K291" s="5" t="s">
        <v>29</v>
      </c>
    </row>
    <row r="292" spans="1:11" ht="15" thickBot="1" x14ac:dyDescent="0.4">
      <c r="A292" s="5">
        <v>1291</v>
      </c>
      <c r="B292" s="5" t="s">
        <v>21</v>
      </c>
      <c r="C292" s="5" t="s">
        <v>17</v>
      </c>
      <c r="D292" s="5" t="s">
        <v>13</v>
      </c>
      <c r="E292" s="5" t="s">
        <v>36</v>
      </c>
      <c r="F292" s="5">
        <v>17</v>
      </c>
      <c r="G292" s="5">
        <v>415</v>
      </c>
      <c r="H292" s="5">
        <v>5</v>
      </c>
      <c r="I292" s="6">
        <v>46137</v>
      </c>
      <c r="J292" s="6">
        <v>46141</v>
      </c>
      <c r="K292" s="5" t="s">
        <v>20</v>
      </c>
    </row>
    <row r="293" spans="1:11" ht="15" thickBot="1" x14ac:dyDescent="0.4">
      <c r="A293" s="5">
        <v>1292</v>
      </c>
      <c r="B293" s="5" t="s">
        <v>54</v>
      </c>
      <c r="C293" s="5" t="s">
        <v>33</v>
      </c>
      <c r="D293" s="5" t="s">
        <v>34</v>
      </c>
      <c r="E293" s="5" t="s">
        <v>61</v>
      </c>
      <c r="F293" s="5">
        <v>11</v>
      </c>
      <c r="G293" s="5">
        <v>25158</v>
      </c>
      <c r="H293" s="5">
        <v>5</v>
      </c>
      <c r="I293" s="6">
        <v>46186</v>
      </c>
      <c r="J293" s="6">
        <v>46193</v>
      </c>
      <c r="K293" s="5" t="s">
        <v>20</v>
      </c>
    </row>
    <row r="294" spans="1:11" ht="15" thickBot="1" x14ac:dyDescent="0.4">
      <c r="A294" s="5">
        <v>1293</v>
      </c>
      <c r="B294" s="5" t="s">
        <v>49</v>
      </c>
      <c r="C294" s="5" t="s">
        <v>43</v>
      </c>
      <c r="D294" s="5" t="s">
        <v>18</v>
      </c>
      <c r="E294" s="5" t="s">
        <v>23</v>
      </c>
      <c r="F294" s="5">
        <v>7</v>
      </c>
      <c r="G294" s="5">
        <v>11481</v>
      </c>
      <c r="H294" s="5">
        <v>15</v>
      </c>
      <c r="I294" s="6">
        <v>46045</v>
      </c>
      <c r="J294" s="6">
        <v>46050</v>
      </c>
      <c r="K294" s="5" t="s">
        <v>20</v>
      </c>
    </row>
    <row r="295" spans="1:11" ht="15" thickBot="1" x14ac:dyDescent="0.4">
      <c r="A295" s="5">
        <v>1294</v>
      </c>
      <c r="B295" s="5" t="s">
        <v>21</v>
      </c>
      <c r="C295" s="5" t="s">
        <v>12</v>
      </c>
      <c r="D295" s="5" t="s">
        <v>18</v>
      </c>
      <c r="E295" s="5" t="s">
        <v>19</v>
      </c>
      <c r="F295" s="5">
        <v>8</v>
      </c>
      <c r="G295" s="5">
        <v>14448</v>
      </c>
      <c r="H295" s="5">
        <v>10</v>
      </c>
      <c r="I295" s="6">
        <v>46181</v>
      </c>
      <c r="J295" s="6">
        <v>46189</v>
      </c>
      <c r="K295" s="5" t="s">
        <v>15</v>
      </c>
    </row>
    <row r="296" spans="1:11" ht="15" thickBot="1" x14ac:dyDescent="0.4">
      <c r="A296" s="5">
        <v>1295</v>
      </c>
      <c r="B296" s="5" t="s">
        <v>52</v>
      </c>
      <c r="C296" s="5" t="s">
        <v>38</v>
      </c>
      <c r="D296" s="5" t="s">
        <v>18</v>
      </c>
      <c r="E296" s="5" t="s">
        <v>28</v>
      </c>
      <c r="F296" s="5">
        <v>16</v>
      </c>
      <c r="G296" s="5">
        <v>11935</v>
      </c>
      <c r="H296" s="5">
        <v>12</v>
      </c>
      <c r="I296" s="6">
        <v>46157</v>
      </c>
      <c r="J296" s="6">
        <v>46162</v>
      </c>
      <c r="K296" s="5" t="s">
        <v>15</v>
      </c>
    </row>
    <row r="297" spans="1:11" ht="15" thickBot="1" x14ac:dyDescent="0.4">
      <c r="A297" s="5">
        <v>1296</v>
      </c>
      <c r="B297" s="5" t="s">
        <v>26</v>
      </c>
      <c r="C297" s="5" t="s">
        <v>38</v>
      </c>
      <c r="D297" s="5" t="s">
        <v>13</v>
      </c>
      <c r="E297" s="5" t="s">
        <v>50</v>
      </c>
      <c r="F297" s="5">
        <v>6</v>
      </c>
      <c r="G297" s="5">
        <v>201</v>
      </c>
      <c r="H297" s="5">
        <v>0</v>
      </c>
      <c r="I297" s="6">
        <v>46063</v>
      </c>
      <c r="J297" s="6">
        <v>46072</v>
      </c>
      <c r="K297" s="5" t="s">
        <v>51</v>
      </c>
    </row>
    <row r="298" spans="1:11" ht="15" thickBot="1" x14ac:dyDescent="0.4">
      <c r="A298" s="5">
        <v>1297</v>
      </c>
      <c r="B298" s="5" t="s">
        <v>54</v>
      </c>
      <c r="C298" s="5" t="s">
        <v>25</v>
      </c>
      <c r="D298" s="5" t="s">
        <v>34</v>
      </c>
      <c r="E298" s="5" t="s">
        <v>35</v>
      </c>
      <c r="F298" s="5">
        <v>14</v>
      </c>
      <c r="G298" s="5">
        <v>24524</v>
      </c>
      <c r="H298" s="5">
        <v>10</v>
      </c>
      <c r="I298" s="6">
        <v>46178</v>
      </c>
      <c r="J298" s="6">
        <v>46187</v>
      </c>
      <c r="K298" s="5" t="s">
        <v>29</v>
      </c>
    </row>
    <row r="299" spans="1:11" ht="15" thickBot="1" x14ac:dyDescent="0.4">
      <c r="A299" s="5">
        <v>1298</v>
      </c>
      <c r="B299" s="5" t="s">
        <v>21</v>
      </c>
      <c r="C299" s="5" t="s">
        <v>12</v>
      </c>
      <c r="D299" s="5" t="s">
        <v>34</v>
      </c>
      <c r="E299" s="5" t="s">
        <v>61</v>
      </c>
      <c r="F299" s="5">
        <v>19</v>
      </c>
      <c r="G299" s="5">
        <v>20745</v>
      </c>
      <c r="H299" s="5">
        <v>2</v>
      </c>
      <c r="I299" s="6">
        <v>46083</v>
      </c>
      <c r="J299" s="6">
        <v>46093</v>
      </c>
      <c r="K299" s="5" t="s">
        <v>24</v>
      </c>
    </row>
    <row r="300" spans="1:11" ht="15" thickBot="1" x14ac:dyDescent="0.4">
      <c r="A300" s="5">
        <v>1299</v>
      </c>
      <c r="B300" s="5" t="s">
        <v>26</v>
      </c>
      <c r="C300" s="5" t="s">
        <v>17</v>
      </c>
      <c r="D300" s="5" t="s">
        <v>18</v>
      </c>
      <c r="E300" s="5" t="s">
        <v>56</v>
      </c>
      <c r="F300" s="5">
        <v>8</v>
      </c>
      <c r="G300" s="5">
        <v>8783</v>
      </c>
      <c r="H300" s="5">
        <v>2</v>
      </c>
      <c r="I300" s="6">
        <v>46123</v>
      </c>
      <c r="J300" s="6">
        <v>46132</v>
      </c>
      <c r="K300" s="5" t="s">
        <v>15</v>
      </c>
    </row>
    <row r="301" spans="1:11" ht="15" thickBot="1" x14ac:dyDescent="0.4">
      <c r="A301" s="5">
        <v>1300</v>
      </c>
      <c r="B301" s="5" t="s">
        <v>47</v>
      </c>
      <c r="C301" s="5" t="s">
        <v>33</v>
      </c>
      <c r="D301" s="5" t="s">
        <v>34</v>
      </c>
      <c r="E301" s="5" t="s">
        <v>45</v>
      </c>
      <c r="F301" s="5">
        <v>20</v>
      </c>
      <c r="G301" s="5">
        <v>1392</v>
      </c>
      <c r="H301" s="5">
        <v>2</v>
      </c>
      <c r="I301" s="6">
        <v>46110</v>
      </c>
      <c r="J301" s="6">
        <v>46117</v>
      </c>
      <c r="K301" s="5" t="s">
        <v>24</v>
      </c>
    </row>
    <row r="302" spans="1:11" ht="15" thickBot="1" x14ac:dyDescent="0.4">
      <c r="A302" s="5">
        <v>1301</v>
      </c>
      <c r="B302" s="5" t="s">
        <v>54</v>
      </c>
      <c r="C302" s="5" t="s">
        <v>17</v>
      </c>
      <c r="D302" s="5" t="s">
        <v>18</v>
      </c>
      <c r="E302" s="5" t="s">
        <v>28</v>
      </c>
      <c r="F302" s="5">
        <v>3</v>
      </c>
      <c r="G302" s="5">
        <v>7020</v>
      </c>
      <c r="H302" s="5">
        <v>10</v>
      </c>
      <c r="I302" s="6">
        <v>46028</v>
      </c>
      <c r="J302" s="6">
        <v>46038</v>
      </c>
      <c r="K302" s="5" t="s">
        <v>24</v>
      </c>
    </row>
    <row r="303" spans="1:11" ht="15" thickBot="1" x14ac:dyDescent="0.4">
      <c r="A303" s="5">
        <v>1302</v>
      </c>
      <c r="B303" s="5" t="s">
        <v>57</v>
      </c>
      <c r="C303" s="5" t="s">
        <v>12</v>
      </c>
      <c r="D303" s="5" t="s">
        <v>34</v>
      </c>
      <c r="E303" s="5" t="s">
        <v>35</v>
      </c>
      <c r="F303" s="5">
        <v>9</v>
      </c>
      <c r="G303" s="5">
        <v>8500</v>
      </c>
      <c r="H303" s="5">
        <v>15</v>
      </c>
      <c r="I303" s="6">
        <v>46163</v>
      </c>
      <c r="J303" s="6">
        <v>46172</v>
      </c>
      <c r="K303" s="5" t="s">
        <v>24</v>
      </c>
    </row>
    <row r="304" spans="1:11" ht="15" thickBot="1" x14ac:dyDescent="0.4">
      <c r="A304" s="5">
        <v>1303</v>
      </c>
      <c r="B304" s="5" t="s">
        <v>57</v>
      </c>
      <c r="C304" s="5" t="s">
        <v>38</v>
      </c>
      <c r="D304" s="5" t="s">
        <v>34</v>
      </c>
      <c r="E304" s="5" t="s">
        <v>35</v>
      </c>
      <c r="F304" s="5">
        <v>13</v>
      </c>
      <c r="G304" s="5">
        <v>5170</v>
      </c>
      <c r="H304" s="5">
        <v>2</v>
      </c>
      <c r="I304" s="6">
        <v>46124</v>
      </c>
      <c r="J304" s="6">
        <v>46127</v>
      </c>
      <c r="K304" s="5" t="s">
        <v>15</v>
      </c>
    </row>
    <row r="305" spans="1:11" ht="15" thickBot="1" x14ac:dyDescent="0.4">
      <c r="A305" s="5">
        <v>1304</v>
      </c>
      <c r="B305" s="5" t="s">
        <v>59</v>
      </c>
      <c r="C305" s="5" t="s">
        <v>25</v>
      </c>
      <c r="D305" s="5" t="s">
        <v>13</v>
      </c>
      <c r="E305" s="5" t="s">
        <v>36</v>
      </c>
      <c r="F305" s="5">
        <v>20</v>
      </c>
      <c r="G305" s="5">
        <v>368</v>
      </c>
      <c r="H305" s="5">
        <v>7</v>
      </c>
      <c r="I305" s="6">
        <v>46042</v>
      </c>
      <c r="J305" s="6">
        <v>46051</v>
      </c>
      <c r="K305" s="5" t="s">
        <v>51</v>
      </c>
    </row>
    <row r="306" spans="1:11" ht="15" thickBot="1" x14ac:dyDescent="0.4">
      <c r="A306" s="5">
        <v>1305</v>
      </c>
      <c r="B306" s="5" t="s">
        <v>58</v>
      </c>
      <c r="C306" s="5" t="s">
        <v>31</v>
      </c>
      <c r="D306" s="5" t="s">
        <v>34</v>
      </c>
      <c r="E306" s="5" t="s">
        <v>60</v>
      </c>
      <c r="F306" s="5">
        <v>20</v>
      </c>
      <c r="G306" s="5">
        <v>31406</v>
      </c>
      <c r="H306" s="5">
        <v>15</v>
      </c>
      <c r="I306" s="6">
        <v>46146</v>
      </c>
      <c r="J306" s="6">
        <v>46154</v>
      </c>
      <c r="K306" s="5" t="s">
        <v>51</v>
      </c>
    </row>
    <row r="307" spans="1:11" ht="15" thickBot="1" x14ac:dyDescent="0.4">
      <c r="A307" s="5">
        <v>1306</v>
      </c>
      <c r="B307" s="5" t="s">
        <v>54</v>
      </c>
      <c r="C307" s="5" t="s">
        <v>43</v>
      </c>
      <c r="D307" s="5" t="s">
        <v>13</v>
      </c>
      <c r="E307" s="5" t="s">
        <v>36</v>
      </c>
      <c r="F307" s="5">
        <v>1</v>
      </c>
      <c r="G307" s="5">
        <v>332</v>
      </c>
      <c r="H307" s="5">
        <v>0</v>
      </c>
      <c r="I307" s="6">
        <v>46191</v>
      </c>
      <c r="J307" s="6">
        <v>46194</v>
      </c>
      <c r="K307" s="5" t="s">
        <v>20</v>
      </c>
    </row>
    <row r="308" spans="1:11" ht="15" thickBot="1" x14ac:dyDescent="0.4">
      <c r="A308" s="5">
        <v>1307</v>
      </c>
      <c r="B308" s="5" t="s">
        <v>57</v>
      </c>
      <c r="C308" s="5" t="s">
        <v>43</v>
      </c>
      <c r="D308" s="5" t="s">
        <v>34</v>
      </c>
      <c r="E308" s="5" t="s">
        <v>35</v>
      </c>
      <c r="F308" s="5">
        <v>18</v>
      </c>
      <c r="G308" s="5">
        <v>7541</v>
      </c>
      <c r="H308" s="5">
        <v>12</v>
      </c>
      <c r="I308" s="6">
        <v>46048</v>
      </c>
      <c r="J308" s="6">
        <v>46051</v>
      </c>
      <c r="K308" s="5" t="s">
        <v>51</v>
      </c>
    </row>
    <row r="309" spans="1:11" ht="15" thickBot="1" x14ac:dyDescent="0.4">
      <c r="A309" s="5">
        <v>1308</v>
      </c>
      <c r="B309" s="5" t="s">
        <v>30</v>
      </c>
      <c r="C309" s="5" t="s">
        <v>22</v>
      </c>
      <c r="D309" s="5" t="s">
        <v>34</v>
      </c>
      <c r="E309" s="5" t="s">
        <v>41</v>
      </c>
      <c r="F309" s="5">
        <v>12</v>
      </c>
      <c r="G309" s="5">
        <v>66075</v>
      </c>
      <c r="H309" s="5">
        <v>5</v>
      </c>
      <c r="I309" s="6">
        <v>46129</v>
      </c>
      <c r="J309" s="6">
        <v>46135</v>
      </c>
      <c r="K309" s="5" t="s">
        <v>20</v>
      </c>
    </row>
    <row r="310" spans="1:11" ht="15" thickBot="1" x14ac:dyDescent="0.4">
      <c r="A310" s="5">
        <v>1309</v>
      </c>
      <c r="B310" s="5" t="s">
        <v>29</v>
      </c>
      <c r="C310" s="5" t="s">
        <v>31</v>
      </c>
      <c r="D310" s="5" t="s">
        <v>13</v>
      </c>
      <c r="E310" s="5" t="s">
        <v>50</v>
      </c>
      <c r="F310" s="5">
        <v>2</v>
      </c>
      <c r="G310" s="5">
        <v>35</v>
      </c>
      <c r="H310" s="5">
        <v>5</v>
      </c>
      <c r="I310" s="6">
        <v>46197</v>
      </c>
      <c r="J310" s="6">
        <v>46198</v>
      </c>
      <c r="K310" s="5" t="s">
        <v>24</v>
      </c>
    </row>
    <row r="311" spans="1:11" ht="15" thickBot="1" x14ac:dyDescent="0.4">
      <c r="A311" s="5">
        <v>1310</v>
      </c>
      <c r="B311" s="5" t="s">
        <v>49</v>
      </c>
      <c r="C311" s="5" t="s">
        <v>17</v>
      </c>
      <c r="D311" s="5" t="s">
        <v>18</v>
      </c>
      <c r="E311" s="5" t="s">
        <v>56</v>
      </c>
      <c r="F311" s="5">
        <v>19</v>
      </c>
      <c r="G311" s="5">
        <v>12691</v>
      </c>
      <c r="H311" s="5">
        <v>0</v>
      </c>
      <c r="I311" s="6">
        <v>46181</v>
      </c>
      <c r="J311" s="6">
        <v>46189</v>
      </c>
      <c r="K311" s="5" t="s">
        <v>29</v>
      </c>
    </row>
    <row r="312" spans="1:11" ht="15" thickBot="1" x14ac:dyDescent="0.4">
      <c r="A312" s="5">
        <v>1311</v>
      </c>
      <c r="B312" s="5" t="s">
        <v>55</v>
      </c>
      <c r="C312" s="5" t="s">
        <v>12</v>
      </c>
      <c r="D312" s="5" t="s">
        <v>13</v>
      </c>
      <c r="E312" s="5" t="s">
        <v>14</v>
      </c>
      <c r="F312" s="5">
        <v>2</v>
      </c>
      <c r="G312" s="5">
        <v>209</v>
      </c>
      <c r="H312" s="5">
        <v>0</v>
      </c>
      <c r="I312" s="6">
        <v>46173</v>
      </c>
      <c r="J312" s="6">
        <v>46176</v>
      </c>
      <c r="K312" s="5" t="s">
        <v>20</v>
      </c>
    </row>
    <row r="313" spans="1:11" ht="15" thickBot="1" x14ac:dyDescent="0.4">
      <c r="A313" s="5">
        <v>1312</v>
      </c>
      <c r="B313" s="5" t="s">
        <v>57</v>
      </c>
      <c r="C313" s="5" t="s">
        <v>22</v>
      </c>
      <c r="D313" s="5" t="s">
        <v>18</v>
      </c>
      <c r="E313" s="5" t="s">
        <v>56</v>
      </c>
      <c r="F313" s="5">
        <v>20</v>
      </c>
      <c r="G313" s="5">
        <v>3274</v>
      </c>
      <c r="H313" s="5">
        <v>2</v>
      </c>
      <c r="I313" s="6">
        <v>46148</v>
      </c>
      <c r="J313" s="6">
        <v>46156</v>
      </c>
      <c r="K313" s="5" t="s">
        <v>24</v>
      </c>
    </row>
    <row r="314" spans="1:11" ht="15" thickBot="1" x14ac:dyDescent="0.4">
      <c r="A314" s="5">
        <v>1313</v>
      </c>
      <c r="B314" s="5" t="s">
        <v>59</v>
      </c>
      <c r="C314" s="5" t="s">
        <v>22</v>
      </c>
      <c r="D314" s="5" t="s">
        <v>18</v>
      </c>
      <c r="E314" s="5" t="s">
        <v>56</v>
      </c>
      <c r="F314" s="5">
        <v>6</v>
      </c>
      <c r="G314" s="5">
        <v>10864</v>
      </c>
      <c r="H314" s="5">
        <v>10</v>
      </c>
      <c r="I314" s="6">
        <v>46041</v>
      </c>
      <c r="J314" s="6">
        <v>46049</v>
      </c>
      <c r="K314" s="5" t="s">
        <v>15</v>
      </c>
    </row>
    <row r="315" spans="1:11" ht="15" thickBot="1" x14ac:dyDescent="0.4">
      <c r="A315" s="5">
        <v>1314</v>
      </c>
      <c r="B315" s="5" t="s">
        <v>52</v>
      </c>
      <c r="C315" s="5" t="s">
        <v>33</v>
      </c>
      <c r="D315" s="5" t="s">
        <v>18</v>
      </c>
      <c r="E315" s="5" t="s">
        <v>19</v>
      </c>
      <c r="F315" s="5">
        <v>10</v>
      </c>
      <c r="G315" s="5">
        <v>6328</v>
      </c>
      <c r="H315" s="5">
        <v>2</v>
      </c>
      <c r="I315" s="6">
        <v>46196</v>
      </c>
      <c r="J315" s="6">
        <v>46197</v>
      </c>
      <c r="K315" s="5" t="s">
        <v>29</v>
      </c>
    </row>
    <row r="316" spans="1:11" ht="15" thickBot="1" x14ac:dyDescent="0.4">
      <c r="A316" s="5">
        <v>1315</v>
      </c>
      <c r="B316" s="5" t="s">
        <v>49</v>
      </c>
      <c r="C316" s="5" t="s">
        <v>31</v>
      </c>
      <c r="D316" s="5" t="s">
        <v>34</v>
      </c>
      <c r="E316" s="5" t="s">
        <v>41</v>
      </c>
      <c r="F316" s="5">
        <v>14</v>
      </c>
      <c r="G316" s="5">
        <v>57670</v>
      </c>
      <c r="H316" s="5">
        <v>2</v>
      </c>
      <c r="I316" s="6">
        <v>46186</v>
      </c>
      <c r="J316" s="6">
        <v>46196</v>
      </c>
      <c r="K316" s="5" t="s">
        <v>15</v>
      </c>
    </row>
    <row r="317" spans="1:11" ht="15" thickBot="1" x14ac:dyDescent="0.4">
      <c r="A317" s="5">
        <v>1316</v>
      </c>
      <c r="B317" s="5" t="s">
        <v>46</v>
      </c>
      <c r="C317" s="5" t="s">
        <v>12</v>
      </c>
      <c r="D317" s="5" t="s">
        <v>18</v>
      </c>
      <c r="E317" s="5" t="s">
        <v>28</v>
      </c>
      <c r="F317" s="5">
        <v>7</v>
      </c>
      <c r="G317" s="5">
        <v>9838</v>
      </c>
      <c r="H317" s="5">
        <v>7</v>
      </c>
      <c r="I317" s="6">
        <v>46078</v>
      </c>
      <c r="J317" s="6">
        <v>46085</v>
      </c>
      <c r="K317" s="5" t="s">
        <v>20</v>
      </c>
    </row>
    <row r="318" spans="1:11" ht="15" thickBot="1" x14ac:dyDescent="0.4">
      <c r="A318" s="5">
        <v>1317</v>
      </c>
      <c r="B318" s="5" t="s">
        <v>59</v>
      </c>
      <c r="C318" s="5" t="s">
        <v>33</v>
      </c>
      <c r="D318" s="5" t="s">
        <v>34</v>
      </c>
      <c r="E318" s="5" t="s">
        <v>41</v>
      </c>
      <c r="F318" s="5">
        <v>7</v>
      </c>
      <c r="G318" s="5">
        <v>67339</v>
      </c>
      <c r="H318" s="5">
        <v>5</v>
      </c>
      <c r="I318" s="6">
        <v>46159</v>
      </c>
      <c r="J318" s="6">
        <v>46169</v>
      </c>
      <c r="K318" s="5" t="s">
        <v>51</v>
      </c>
    </row>
    <row r="319" spans="1:11" ht="15" thickBot="1" x14ac:dyDescent="0.4">
      <c r="A319" s="5">
        <v>1318</v>
      </c>
      <c r="B319" s="5" t="s">
        <v>11</v>
      </c>
      <c r="C319" s="5" t="s">
        <v>43</v>
      </c>
      <c r="D319" s="5" t="s">
        <v>13</v>
      </c>
      <c r="E319" s="5" t="s">
        <v>50</v>
      </c>
      <c r="F319" s="5">
        <v>4</v>
      </c>
      <c r="G319" s="5">
        <v>38</v>
      </c>
      <c r="H319" s="5">
        <v>12</v>
      </c>
      <c r="I319" s="6">
        <v>46169</v>
      </c>
      <c r="J319" s="6">
        <v>46175</v>
      </c>
      <c r="K319" s="5" t="s">
        <v>29</v>
      </c>
    </row>
    <row r="320" spans="1:11" ht="15" thickBot="1" x14ac:dyDescent="0.4">
      <c r="A320" s="5">
        <v>1319</v>
      </c>
      <c r="B320" s="5" t="s">
        <v>21</v>
      </c>
      <c r="C320" s="5" t="s">
        <v>17</v>
      </c>
      <c r="D320" s="5" t="s">
        <v>34</v>
      </c>
      <c r="E320" s="5" t="s">
        <v>61</v>
      </c>
      <c r="F320" s="5">
        <v>17</v>
      </c>
      <c r="G320" s="5">
        <v>58407</v>
      </c>
      <c r="H320" s="5">
        <v>7</v>
      </c>
      <c r="I320" s="6">
        <v>46094</v>
      </c>
      <c r="J320" s="6">
        <v>46102</v>
      </c>
      <c r="K320" s="5" t="s">
        <v>15</v>
      </c>
    </row>
    <row r="321" spans="1:11" ht="15" thickBot="1" x14ac:dyDescent="0.4">
      <c r="A321" s="5">
        <v>1320</v>
      </c>
      <c r="B321" s="5" t="s">
        <v>47</v>
      </c>
      <c r="C321" s="5" t="s">
        <v>38</v>
      </c>
      <c r="D321" s="5" t="s">
        <v>13</v>
      </c>
      <c r="E321" s="5" t="s">
        <v>36</v>
      </c>
      <c r="F321" s="5">
        <v>20</v>
      </c>
      <c r="G321" s="5">
        <v>55</v>
      </c>
      <c r="H321" s="5">
        <v>7</v>
      </c>
      <c r="I321" s="6">
        <v>46183</v>
      </c>
      <c r="J321" s="6">
        <v>46186</v>
      </c>
      <c r="K321" s="5" t="s">
        <v>20</v>
      </c>
    </row>
    <row r="322" spans="1:11" ht="15" thickBot="1" x14ac:dyDescent="0.4">
      <c r="A322" s="5">
        <v>1321</v>
      </c>
      <c r="B322" s="5" t="s">
        <v>32</v>
      </c>
      <c r="C322" s="5" t="s">
        <v>22</v>
      </c>
      <c r="D322" s="5" t="s">
        <v>18</v>
      </c>
      <c r="E322" s="5" t="s">
        <v>19</v>
      </c>
      <c r="F322" s="5">
        <v>8</v>
      </c>
      <c r="G322" s="5">
        <v>5619</v>
      </c>
      <c r="H322" s="5">
        <v>7</v>
      </c>
      <c r="I322" s="6">
        <v>46107</v>
      </c>
      <c r="J322" s="6">
        <v>46109</v>
      </c>
      <c r="K322" s="5" t="s">
        <v>51</v>
      </c>
    </row>
    <row r="323" spans="1:11" ht="15" thickBot="1" x14ac:dyDescent="0.4">
      <c r="A323" s="5">
        <v>1322</v>
      </c>
      <c r="B323" s="5" t="s">
        <v>27</v>
      </c>
      <c r="C323" s="5" t="s">
        <v>12</v>
      </c>
      <c r="D323" s="5" t="s">
        <v>18</v>
      </c>
      <c r="E323" s="5" t="s">
        <v>23</v>
      </c>
      <c r="F323" s="5">
        <v>14</v>
      </c>
      <c r="G323" s="5">
        <v>9081</v>
      </c>
      <c r="H323" s="5">
        <v>15</v>
      </c>
      <c r="I323" s="6">
        <v>46141</v>
      </c>
      <c r="J323" s="6">
        <v>46146</v>
      </c>
      <c r="K323" s="5" t="s">
        <v>15</v>
      </c>
    </row>
    <row r="324" spans="1:11" ht="15" thickBot="1" x14ac:dyDescent="0.4">
      <c r="A324" s="5">
        <v>1323</v>
      </c>
      <c r="B324" s="5" t="s">
        <v>57</v>
      </c>
      <c r="C324" s="5" t="s">
        <v>38</v>
      </c>
      <c r="D324" s="5" t="s">
        <v>34</v>
      </c>
      <c r="E324" s="5" t="s">
        <v>61</v>
      </c>
      <c r="F324" s="5">
        <v>2</v>
      </c>
      <c r="G324" s="5">
        <v>32074</v>
      </c>
      <c r="H324" s="5">
        <v>10</v>
      </c>
      <c r="I324" s="6">
        <v>46073</v>
      </c>
      <c r="J324" s="6">
        <v>46078</v>
      </c>
      <c r="K324" s="5" t="s">
        <v>15</v>
      </c>
    </row>
    <row r="325" spans="1:11" ht="15" thickBot="1" x14ac:dyDescent="0.4">
      <c r="A325" s="5">
        <v>1324</v>
      </c>
      <c r="B325" s="5" t="s">
        <v>32</v>
      </c>
      <c r="C325" s="5" t="s">
        <v>22</v>
      </c>
      <c r="D325" s="5" t="s">
        <v>18</v>
      </c>
      <c r="E325" s="5" t="s">
        <v>19</v>
      </c>
      <c r="F325" s="5">
        <v>1</v>
      </c>
      <c r="G325" s="5">
        <v>4286</v>
      </c>
      <c r="H325" s="5">
        <v>15</v>
      </c>
      <c r="I325" s="6">
        <v>46053</v>
      </c>
      <c r="J325" s="6">
        <v>46056</v>
      </c>
      <c r="K325" s="5" t="s">
        <v>20</v>
      </c>
    </row>
    <row r="326" spans="1:11" ht="15" thickBot="1" x14ac:dyDescent="0.4">
      <c r="A326" s="5">
        <v>1325</v>
      </c>
      <c r="B326" s="5" t="s">
        <v>48</v>
      </c>
      <c r="C326" s="5" t="s">
        <v>43</v>
      </c>
      <c r="D326" s="5" t="s">
        <v>34</v>
      </c>
      <c r="E326" s="5" t="s">
        <v>39</v>
      </c>
      <c r="F326" s="5">
        <v>9</v>
      </c>
      <c r="G326" s="5">
        <v>58442</v>
      </c>
      <c r="H326" s="5">
        <v>12</v>
      </c>
      <c r="I326" s="6">
        <v>46076</v>
      </c>
      <c r="J326" s="6">
        <v>46085</v>
      </c>
      <c r="K326" s="5" t="s">
        <v>20</v>
      </c>
    </row>
    <row r="327" spans="1:11" ht="15" thickBot="1" x14ac:dyDescent="0.4">
      <c r="A327" s="5">
        <v>1326</v>
      </c>
      <c r="B327" s="5" t="s">
        <v>26</v>
      </c>
      <c r="C327" s="5" t="s">
        <v>17</v>
      </c>
      <c r="D327" s="5" t="s">
        <v>18</v>
      </c>
      <c r="E327" s="5" t="s">
        <v>44</v>
      </c>
      <c r="F327" s="5">
        <v>18</v>
      </c>
      <c r="G327" s="5">
        <v>1830</v>
      </c>
      <c r="H327" s="5">
        <v>10</v>
      </c>
      <c r="I327" s="6">
        <v>46165</v>
      </c>
      <c r="J327" s="6">
        <v>46172</v>
      </c>
      <c r="K327" s="5" t="s">
        <v>15</v>
      </c>
    </row>
    <row r="328" spans="1:11" ht="15" thickBot="1" x14ac:dyDescent="0.4">
      <c r="A328" s="5">
        <v>1327</v>
      </c>
      <c r="B328" s="5" t="s">
        <v>48</v>
      </c>
      <c r="C328" s="5" t="s">
        <v>12</v>
      </c>
      <c r="D328" s="5" t="s">
        <v>13</v>
      </c>
      <c r="E328" s="5" t="s">
        <v>53</v>
      </c>
      <c r="F328" s="5">
        <v>15</v>
      </c>
      <c r="G328" s="5">
        <v>449</v>
      </c>
      <c r="H328" s="5">
        <v>5</v>
      </c>
      <c r="I328" s="6">
        <v>46152</v>
      </c>
      <c r="J328" s="6">
        <v>46153</v>
      </c>
      <c r="K328" s="5" t="s">
        <v>15</v>
      </c>
    </row>
    <row r="329" spans="1:11" ht="15" thickBot="1" x14ac:dyDescent="0.4">
      <c r="A329" s="5">
        <v>1328</v>
      </c>
      <c r="B329" s="5" t="s">
        <v>16</v>
      </c>
      <c r="C329" s="5" t="s">
        <v>38</v>
      </c>
      <c r="D329" s="5" t="s">
        <v>13</v>
      </c>
      <c r="E329" s="5" t="s">
        <v>36</v>
      </c>
      <c r="F329" s="5">
        <v>4</v>
      </c>
      <c r="G329" s="5">
        <v>132</v>
      </c>
      <c r="H329" s="5">
        <v>0</v>
      </c>
      <c r="I329" s="6">
        <v>46109</v>
      </c>
      <c r="J329" s="6">
        <v>46114</v>
      </c>
      <c r="K329" s="5" t="s">
        <v>29</v>
      </c>
    </row>
    <row r="330" spans="1:11" ht="15" thickBot="1" x14ac:dyDescent="0.4">
      <c r="A330" s="5">
        <v>1329</v>
      </c>
      <c r="B330" s="5" t="s">
        <v>30</v>
      </c>
      <c r="C330" s="5" t="s">
        <v>43</v>
      </c>
      <c r="D330" s="5" t="s">
        <v>13</v>
      </c>
      <c r="E330" s="5" t="s">
        <v>53</v>
      </c>
      <c r="F330" s="5">
        <v>18</v>
      </c>
      <c r="G330" s="5">
        <v>227</v>
      </c>
      <c r="H330" s="5">
        <v>5</v>
      </c>
      <c r="I330" s="6">
        <v>46126</v>
      </c>
      <c r="J330" s="6">
        <v>46136</v>
      </c>
      <c r="K330" s="5" t="s">
        <v>29</v>
      </c>
    </row>
    <row r="331" spans="1:11" ht="15" thickBot="1" x14ac:dyDescent="0.4">
      <c r="A331" s="5">
        <v>1330</v>
      </c>
      <c r="B331" s="5" t="s">
        <v>49</v>
      </c>
      <c r="C331" s="5" t="s">
        <v>17</v>
      </c>
      <c r="D331" s="5" t="s">
        <v>18</v>
      </c>
      <c r="E331" s="5" t="s">
        <v>19</v>
      </c>
      <c r="F331" s="5">
        <v>13</v>
      </c>
      <c r="G331" s="5">
        <v>12071</v>
      </c>
      <c r="H331" s="5">
        <v>0</v>
      </c>
      <c r="I331" s="6">
        <v>46032</v>
      </c>
      <c r="J331" s="6">
        <v>46036</v>
      </c>
      <c r="K331" s="5" t="s">
        <v>51</v>
      </c>
    </row>
    <row r="332" spans="1:11" ht="15" thickBot="1" x14ac:dyDescent="0.4">
      <c r="A332" s="5">
        <v>1331</v>
      </c>
      <c r="B332" s="5" t="s">
        <v>21</v>
      </c>
      <c r="C332" s="5" t="s">
        <v>25</v>
      </c>
      <c r="D332" s="5" t="s">
        <v>34</v>
      </c>
      <c r="E332" s="5" t="s">
        <v>61</v>
      </c>
      <c r="F332" s="5">
        <v>2</v>
      </c>
      <c r="G332" s="5">
        <v>43557</v>
      </c>
      <c r="H332" s="5">
        <v>2</v>
      </c>
      <c r="I332" s="6">
        <v>46190</v>
      </c>
      <c r="J332" s="6">
        <v>46200</v>
      </c>
      <c r="K332" s="5" t="s">
        <v>15</v>
      </c>
    </row>
    <row r="333" spans="1:11" ht="15" thickBot="1" x14ac:dyDescent="0.4">
      <c r="A333" s="5">
        <v>1332</v>
      </c>
      <c r="B333" s="5" t="s">
        <v>29</v>
      </c>
      <c r="C333" s="5" t="s">
        <v>43</v>
      </c>
      <c r="D333" s="5" t="s">
        <v>13</v>
      </c>
      <c r="E333" s="5" t="s">
        <v>50</v>
      </c>
      <c r="F333" s="5">
        <v>7</v>
      </c>
      <c r="G333" s="5">
        <v>439</v>
      </c>
      <c r="H333" s="5">
        <v>2</v>
      </c>
      <c r="I333" s="6">
        <v>46154</v>
      </c>
      <c r="J333" s="6">
        <v>46157</v>
      </c>
      <c r="K333" s="5" t="s">
        <v>15</v>
      </c>
    </row>
    <row r="334" spans="1:11" ht="15" thickBot="1" x14ac:dyDescent="0.4">
      <c r="A334" s="5">
        <v>1333</v>
      </c>
      <c r="B334" s="5" t="s">
        <v>29</v>
      </c>
      <c r="C334" s="5" t="s">
        <v>38</v>
      </c>
      <c r="D334" s="5" t="s">
        <v>13</v>
      </c>
      <c r="E334" s="5" t="s">
        <v>53</v>
      </c>
      <c r="F334" s="5">
        <v>20</v>
      </c>
      <c r="G334" s="5">
        <v>416</v>
      </c>
      <c r="H334" s="5">
        <v>12</v>
      </c>
      <c r="I334" s="6">
        <v>46145</v>
      </c>
      <c r="J334" s="6">
        <v>46146</v>
      </c>
      <c r="K334" s="5" t="s">
        <v>51</v>
      </c>
    </row>
    <row r="335" spans="1:11" ht="15" thickBot="1" x14ac:dyDescent="0.4">
      <c r="A335" s="5">
        <v>1334</v>
      </c>
      <c r="B335" s="5" t="s">
        <v>40</v>
      </c>
      <c r="C335" s="5" t="s">
        <v>12</v>
      </c>
      <c r="D335" s="5" t="s">
        <v>34</v>
      </c>
      <c r="E335" s="5" t="s">
        <v>41</v>
      </c>
      <c r="F335" s="5">
        <v>15</v>
      </c>
      <c r="G335" s="5">
        <v>39853</v>
      </c>
      <c r="H335" s="5">
        <v>7</v>
      </c>
      <c r="I335" s="6">
        <v>46038</v>
      </c>
      <c r="J335" s="6">
        <v>46047</v>
      </c>
      <c r="K335" s="5" t="s">
        <v>51</v>
      </c>
    </row>
    <row r="336" spans="1:11" ht="15" thickBot="1" x14ac:dyDescent="0.4">
      <c r="A336" s="5">
        <v>1335</v>
      </c>
      <c r="B336" s="5" t="s">
        <v>47</v>
      </c>
      <c r="C336" s="5" t="s">
        <v>17</v>
      </c>
      <c r="D336" s="5" t="s">
        <v>18</v>
      </c>
      <c r="E336" s="5" t="s">
        <v>19</v>
      </c>
      <c r="F336" s="5">
        <v>9</v>
      </c>
      <c r="G336" s="5">
        <v>1495</v>
      </c>
      <c r="H336" s="5">
        <v>12</v>
      </c>
      <c r="I336" s="6">
        <v>46168</v>
      </c>
      <c r="J336" s="6">
        <v>46173</v>
      </c>
      <c r="K336" s="5" t="s">
        <v>15</v>
      </c>
    </row>
    <row r="337" spans="1:11" ht="15" thickBot="1" x14ac:dyDescent="0.4">
      <c r="A337" s="5">
        <v>1336</v>
      </c>
      <c r="B337" s="5" t="s">
        <v>16</v>
      </c>
      <c r="C337" s="5" t="s">
        <v>25</v>
      </c>
      <c r="D337" s="5" t="s">
        <v>18</v>
      </c>
      <c r="E337" s="5" t="s">
        <v>56</v>
      </c>
      <c r="F337" s="5">
        <v>10</v>
      </c>
      <c r="G337" s="5">
        <v>5624</v>
      </c>
      <c r="H337" s="5">
        <v>0</v>
      </c>
      <c r="I337" s="6">
        <v>46086</v>
      </c>
      <c r="J337" s="6">
        <v>46092</v>
      </c>
      <c r="K337" s="5" t="s">
        <v>29</v>
      </c>
    </row>
    <row r="338" spans="1:11" ht="15" thickBot="1" x14ac:dyDescent="0.4">
      <c r="A338" s="5">
        <v>1337</v>
      </c>
      <c r="B338" s="5" t="s">
        <v>16</v>
      </c>
      <c r="C338" s="5" t="s">
        <v>12</v>
      </c>
      <c r="D338" s="5" t="s">
        <v>13</v>
      </c>
      <c r="E338" s="5" t="s">
        <v>53</v>
      </c>
      <c r="F338" s="5">
        <v>14</v>
      </c>
      <c r="G338" s="5">
        <v>373</v>
      </c>
      <c r="H338" s="5">
        <v>10</v>
      </c>
      <c r="I338" s="6">
        <v>46074</v>
      </c>
      <c r="J338" s="6">
        <v>46080</v>
      </c>
      <c r="K338" s="5" t="s">
        <v>29</v>
      </c>
    </row>
    <row r="339" spans="1:11" ht="15" thickBot="1" x14ac:dyDescent="0.4">
      <c r="A339" s="5">
        <v>1338</v>
      </c>
      <c r="B339" s="5" t="s">
        <v>59</v>
      </c>
      <c r="C339" s="5" t="s">
        <v>25</v>
      </c>
      <c r="D339" s="5" t="s">
        <v>34</v>
      </c>
      <c r="E339" s="5" t="s">
        <v>60</v>
      </c>
      <c r="F339" s="5">
        <v>10</v>
      </c>
      <c r="G339" s="5">
        <v>16719</v>
      </c>
      <c r="H339" s="5">
        <v>5</v>
      </c>
      <c r="I339" s="6">
        <v>46177</v>
      </c>
      <c r="J339" s="6">
        <v>46179</v>
      </c>
      <c r="K339" s="5" t="s">
        <v>15</v>
      </c>
    </row>
    <row r="340" spans="1:11" ht="15" thickBot="1" x14ac:dyDescent="0.4">
      <c r="A340" s="5">
        <v>1339</v>
      </c>
      <c r="B340" s="5" t="s">
        <v>32</v>
      </c>
      <c r="C340" s="5" t="s">
        <v>25</v>
      </c>
      <c r="D340" s="5" t="s">
        <v>13</v>
      </c>
      <c r="E340" s="5" t="s">
        <v>14</v>
      </c>
      <c r="F340" s="5">
        <v>6</v>
      </c>
      <c r="G340" s="5">
        <v>302</v>
      </c>
      <c r="H340" s="5">
        <v>5</v>
      </c>
      <c r="I340" s="6">
        <v>46142</v>
      </c>
      <c r="J340" s="6">
        <v>46148</v>
      </c>
      <c r="K340" s="5" t="s">
        <v>20</v>
      </c>
    </row>
    <row r="341" spans="1:11" ht="15" thickBot="1" x14ac:dyDescent="0.4">
      <c r="A341" s="5">
        <v>1340</v>
      </c>
      <c r="B341" s="5" t="s">
        <v>48</v>
      </c>
      <c r="C341" s="5" t="s">
        <v>17</v>
      </c>
      <c r="D341" s="5" t="s">
        <v>18</v>
      </c>
      <c r="E341" s="5" t="s">
        <v>19</v>
      </c>
      <c r="F341" s="5">
        <v>12</v>
      </c>
      <c r="G341" s="5">
        <v>3857</v>
      </c>
      <c r="H341" s="5">
        <v>12</v>
      </c>
      <c r="I341" s="6">
        <v>46196</v>
      </c>
      <c r="J341" s="6">
        <v>46198</v>
      </c>
      <c r="K341" s="5" t="s">
        <v>51</v>
      </c>
    </row>
    <row r="342" spans="1:11" ht="15" thickBot="1" x14ac:dyDescent="0.4">
      <c r="A342" s="5">
        <v>1341</v>
      </c>
      <c r="B342" s="5" t="s">
        <v>57</v>
      </c>
      <c r="C342" s="5" t="s">
        <v>38</v>
      </c>
      <c r="D342" s="5" t="s">
        <v>18</v>
      </c>
      <c r="E342" s="5" t="s">
        <v>19</v>
      </c>
      <c r="F342" s="5">
        <v>19</v>
      </c>
      <c r="G342" s="5">
        <v>6488</v>
      </c>
      <c r="H342" s="5">
        <v>15</v>
      </c>
      <c r="I342" s="6">
        <v>46026</v>
      </c>
      <c r="J342" s="6">
        <v>46030</v>
      </c>
      <c r="K342" s="5" t="s">
        <v>20</v>
      </c>
    </row>
    <row r="343" spans="1:11" ht="15" thickBot="1" x14ac:dyDescent="0.4">
      <c r="A343" s="5">
        <v>1342</v>
      </c>
      <c r="B343" s="5" t="s">
        <v>59</v>
      </c>
      <c r="C343" s="5" t="s">
        <v>31</v>
      </c>
      <c r="D343" s="5" t="s">
        <v>34</v>
      </c>
      <c r="E343" s="5" t="s">
        <v>35</v>
      </c>
      <c r="F343" s="5">
        <v>13</v>
      </c>
      <c r="G343" s="5">
        <v>47881</v>
      </c>
      <c r="H343" s="5">
        <v>15</v>
      </c>
      <c r="I343" s="6">
        <v>46132</v>
      </c>
      <c r="J343" s="6">
        <v>46139</v>
      </c>
      <c r="K343" s="5" t="s">
        <v>29</v>
      </c>
    </row>
    <row r="344" spans="1:11" ht="15" thickBot="1" x14ac:dyDescent="0.4">
      <c r="A344" s="5">
        <v>1343</v>
      </c>
      <c r="B344" s="5" t="s">
        <v>59</v>
      </c>
      <c r="C344" s="5" t="s">
        <v>31</v>
      </c>
      <c r="D344" s="5" t="s">
        <v>34</v>
      </c>
      <c r="E344" s="5" t="s">
        <v>39</v>
      </c>
      <c r="F344" s="5">
        <v>14</v>
      </c>
      <c r="G344" s="5">
        <v>32719</v>
      </c>
      <c r="H344" s="5">
        <v>15</v>
      </c>
      <c r="I344" s="6">
        <v>46174</v>
      </c>
      <c r="J344" s="6">
        <v>46179</v>
      </c>
      <c r="K344" s="5" t="s">
        <v>15</v>
      </c>
    </row>
    <row r="345" spans="1:11" ht="15" thickBot="1" x14ac:dyDescent="0.4">
      <c r="A345" s="5">
        <v>1344</v>
      </c>
      <c r="B345" s="5" t="s">
        <v>30</v>
      </c>
      <c r="C345" s="5" t="s">
        <v>17</v>
      </c>
      <c r="D345" s="5" t="s">
        <v>13</v>
      </c>
      <c r="E345" s="5" t="s">
        <v>53</v>
      </c>
      <c r="F345" s="5">
        <v>18</v>
      </c>
      <c r="G345" s="5">
        <v>240</v>
      </c>
      <c r="H345" s="5">
        <v>10</v>
      </c>
      <c r="I345" s="6">
        <v>46155</v>
      </c>
      <c r="J345" s="6">
        <v>46156</v>
      </c>
      <c r="K345" s="5" t="s">
        <v>24</v>
      </c>
    </row>
    <row r="346" spans="1:11" ht="15" thickBot="1" x14ac:dyDescent="0.4">
      <c r="A346" s="5">
        <v>1345</v>
      </c>
      <c r="B346" s="5" t="s">
        <v>32</v>
      </c>
      <c r="C346" s="5" t="s">
        <v>12</v>
      </c>
      <c r="D346" s="5" t="s">
        <v>34</v>
      </c>
      <c r="E346" s="5" t="s">
        <v>45</v>
      </c>
      <c r="F346" s="5">
        <v>12</v>
      </c>
      <c r="G346" s="5">
        <v>50544</v>
      </c>
      <c r="H346" s="5">
        <v>10</v>
      </c>
      <c r="I346" s="6">
        <v>46095</v>
      </c>
      <c r="J346" s="6">
        <v>46097</v>
      </c>
      <c r="K346" s="5" t="s">
        <v>29</v>
      </c>
    </row>
    <row r="347" spans="1:11" ht="15" thickBot="1" x14ac:dyDescent="0.4">
      <c r="A347" s="5">
        <v>1346</v>
      </c>
      <c r="B347" s="5" t="s">
        <v>32</v>
      </c>
      <c r="C347" s="5" t="s">
        <v>22</v>
      </c>
      <c r="D347" s="5" t="s">
        <v>18</v>
      </c>
      <c r="E347" s="5" t="s">
        <v>19</v>
      </c>
      <c r="F347" s="5">
        <v>16</v>
      </c>
      <c r="G347" s="5">
        <v>6910</v>
      </c>
      <c r="H347" s="5">
        <v>15</v>
      </c>
      <c r="I347" s="6">
        <v>46140</v>
      </c>
      <c r="J347" s="6">
        <v>46142</v>
      </c>
      <c r="K347" s="5" t="s">
        <v>29</v>
      </c>
    </row>
    <row r="348" spans="1:11" ht="15" thickBot="1" x14ac:dyDescent="0.4">
      <c r="A348" s="5">
        <v>1347</v>
      </c>
      <c r="B348" s="5" t="s">
        <v>29</v>
      </c>
      <c r="C348" s="5" t="s">
        <v>22</v>
      </c>
      <c r="D348" s="5" t="s">
        <v>34</v>
      </c>
      <c r="E348" s="5" t="s">
        <v>35</v>
      </c>
      <c r="F348" s="5">
        <v>16</v>
      </c>
      <c r="G348" s="5">
        <v>6034</v>
      </c>
      <c r="H348" s="5">
        <v>15</v>
      </c>
      <c r="I348" s="6">
        <v>46037</v>
      </c>
      <c r="J348" s="6">
        <v>46044</v>
      </c>
      <c r="K348" s="5" t="s">
        <v>24</v>
      </c>
    </row>
    <row r="349" spans="1:11" ht="15" thickBot="1" x14ac:dyDescent="0.4">
      <c r="A349" s="5">
        <v>1348</v>
      </c>
      <c r="B349" s="5" t="s">
        <v>11</v>
      </c>
      <c r="C349" s="5" t="s">
        <v>33</v>
      </c>
      <c r="D349" s="5" t="s">
        <v>13</v>
      </c>
      <c r="E349" s="5" t="s">
        <v>50</v>
      </c>
      <c r="F349" s="5">
        <v>12</v>
      </c>
      <c r="G349" s="5">
        <v>244</v>
      </c>
      <c r="H349" s="5">
        <v>7</v>
      </c>
      <c r="I349" s="6">
        <v>46048</v>
      </c>
      <c r="J349" s="6">
        <v>46053</v>
      </c>
      <c r="K349" s="5" t="s">
        <v>15</v>
      </c>
    </row>
    <row r="350" spans="1:11" ht="15" thickBot="1" x14ac:dyDescent="0.4">
      <c r="A350" s="5">
        <v>1349</v>
      </c>
      <c r="B350" s="5" t="s">
        <v>40</v>
      </c>
      <c r="C350" s="5" t="s">
        <v>33</v>
      </c>
      <c r="D350" s="5" t="s">
        <v>34</v>
      </c>
      <c r="E350" s="5" t="s">
        <v>35</v>
      </c>
      <c r="F350" s="5">
        <v>20</v>
      </c>
      <c r="G350" s="5">
        <v>62721</v>
      </c>
      <c r="H350" s="5">
        <v>7</v>
      </c>
      <c r="I350" s="6">
        <v>46079</v>
      </c>
      <c r="J350" s="6">
        <v>46083</v>
      </c>
      <c r="K350" s="5" t="s">
        <v>20</v>
      </c>
    </row>
    <row r="351" spans="1:11" ht="15" thickBot="1" x14ac:dyDescent="0.4">
      <c r="A351" s="5">
        <v>1350</v>
      </c>
      <c r="B351" s="5" t="s">
        <v>26</v>
      </c>
      <c r="C351" s="5" t="s">
        <v>43</v>
      </c>
      <c r="D351" s="5" t="s">
        <v>18</v>
      </c>
      <c r="E351" s="5" t="s">
        <v>28</v>
      </c>
      <c r="F351" s="5">
        <v>16</v>
      </c>
      <c r="G351" s="5">
        <v>11790</v>
      </c>
      <c r="H351" s="5">
        <v>12</v>
      </c>
      <c r="I351" s="6">
        <v>46185</v>
      </c>
      <c r="J351" s="6">
        <v>46190</v>
      </c>
      <c r="K351" s="5" t="s">
        <v>29</v>
      </c>
    </row>
    <row r="352" spans="1:11" ht="15" thickBot="1" x14ac:dyDescent="0.4">
      <c r="A352" s="5">
        <v>1351</v>
      </c>
      <c r="B352" s="5" t="s">
        <v>42</v>
      </c>
      <c r="C352" s="5" t="s">
        <v>33</v>
      </c>
      <c r="D352" s="5" t="s">
        <v>34</v>
      </c>
      <c r="E352" s="5" t="s">
        <v>45</v>
      </c>
      <c r="F352" s="5">
        <v>12</v>
      </c>
      <c r="G352" s="5">
        <v>1272</v>
      </c>
      <c r="H352" s="5">
        <v>0</v>
      </c>
      <c r="I352" s="6">
        <v>46026</v>
      </c>
      <c r="J352" s="6">
        <v>46029</v>
      </c>
      <c r="K352" s="5" t="s">
        <v>15</v>
      </c>
    </row>
    <row r="353" spans="1:11" ht="15" thickBot="1" x14ac:dyDescent="0.4">
      <c r="A353" s="5">
        <v>1352</v>
      </c>
      <c r="B353" s="5" t="s">
        <v>54</v>
      </c>
      <c r="C353" s="5" t="s">
        <v>22</v>
      </c>
      <c r="D353" s="5" t="s">
        <v>13</v>
      </c>
      <c r="E353" s="5" t="s">
        <v>14</v>
      </c>
      <c r="F353" s="5">
        <v>12</v>
      </c>
      <c r="G353" s="5">
        <v>203</v>
      </c>
      <c r="H353" s="5">
        <v>5</v>
      </c>
      <c r="I353" s="6">
        <v>46024</v>
      </c>
      <c r="J353" s="6">
        <v>46033</v>
      </c>
      <c r="K353" s="5" t="s">
        <v>15</v>
      </c>
    </row>
    <row r="354" spans="1:11" ht="15" thickBot="1" x14ac:dyDescent="0.4">
      <c r="A354" s="5">
        <v>1353</v>
      </c>
      <c r="B354" s="5" t="s">
        <v>47</v>
      </c>
      <c r="C354" s="5" t="s">
        <v>43</v>
      </c>
      <c r="D354" s="5" t="s">
        <v>13</v>
      </c>
      <c r="E354" s="5" t="s">
        <v>14</v>
      </c>
      <c r="F354" s="5">
        <v>6</v>
      </c>
      <c r="G354" s="5">
        <v>495</v>
      </c>
      <c r="H354" s="5">
        <v>2</v>
      </c>
      <c r="I354" s="6">
        <v>46194</v>
      </c>
      <c r="J354" s="6">
        <v>46200</v>
      </c>
      <c r="K354" s="5" t="s">
        <v>24</v>
      </c>
    </row>
    <row r="355" spans="1:11" ht="15" thickBot="1" x14ac:dyDescent="0.4">
      <c r="A355" s="5">
        <v>1354</v>
      </c>
      <c r="B355" s="5" t="s">
        <v>47</v>
      </c>
      <c r="C355" s="5" t="s">
        <v>43</v>
      </c>
      <c r="D355" s="5" t="s">
        <v>34</v>
      </c>
      <c r="E355" s="5" t="s">
        <v>35</v>
      </c>
      <c r="F355" s="5">
        <v>15</v>
      </c>
      <c r="G355" s="5">
        <v>14927</v>
      </c>
      <c r="H355" s="5">
        <v>15</v>
      </c>
      <c r="I355" s="6">
        <v>46118</v>
      </c>
      <c r="J355" s="6">
        <v>46120</v>
      </c>
      <c r="K355" s="5" t="s">
        <v>51</v>
      </c>
    </row>
    <row r="356" spans="1:11" ht="15" thickBot="1" x14ac:dyDescent="0.4">
      <c r="A356" s="5">
        <v>1355</v>
      </c>
      <c r="B356" s="5" t="s">
        <v>27</v>
      </c>
      <c r="C356" s="5" t="s">
        <v>12</v>
      </c>
      <c r="D356" s="5" t="s">
        <v>34</v>
      </c>
      <c r="E356" s="5" t="s">
        <v>60</v>
      </c>
      <c r="F356" s="5">
        <v>18</v>
      </c>
      <c r="G356" s="5">
        <v>35997</v>
      </c>
      <c r="H356" s="5">
        <v>2</v>
      </c>
      <c r="I356" s="6">
        <v>46024</v>
      </c>
      <c r="J356" s="6">
        <v>46031</v>
      </c>
      <c r="K356" s="5" t="s">
        <v>51</v>
      </c>
    </row>
    <row r="357" spans="1:11" ht="15" thickBot="1" x14ac:dyDescent="0.4">
      <c r="A357" s="5">
        <v>1356</v>
      </c>
      <c r="B357" s="5" t="s">
        <v>26</v>
      </c>
      <c r="C357" s="5" t="s">
        <v>38</v>
      </c>
      <c r="D357" s="5" t="s">
        <v>34</v>
      </c>
      <c r="E357" s="5" t="s">
        <v>60</v>
      </c>
      <c r="F357" s="5">
        <v>16</v>
      </c>
      <c r="G357" s="5">
        <v>53457</v>
      </c>
      <c r="H357" s="5">
        <v>10</v>
      </c>
      <c r="I357" s="6">
        <v>46201</v>
      </c>
      <c r="J357" s="6">
        <v>46204</v>
      </c>
      <c r="K357" s="5" t="s">
        <v>15</v>
      </c>
    </row>
    <row r="358" spans="1:11" ht="15" thickBot="1" x14ac:dyDescent="0.4">
      <c r="A358" s="5">
        <v>1357</v>
      </c>
      <c r="B358" s="5" t="s">
        <v>59</v>
      </c>
      <c r="C358" s="5" t="s">
        <v>25</v>
      </c>
      <c r="D358" s="5" t="s">
        <v>13</v>
      </c>
      <c r="E358" s="5" t="s">
        <v>37</v>
      </c>
      <c r="F358" s="5">
        <v>6</v>
      </c>
      <c r="G358" s="5">
        <v>365</v>
      </c>
      <c r="H358" s="5">
        <v>7</v>
      </c>
      <c r="I358" s="6">
        <v>46133</v>
      </c>
      <c r="J358" s="6">
        <v>46140</v>
      </c>
      <c r="K358" s="5" t="s">
        <v>51</v>
      </c>
    </row>
    <row r="359" spans="1:11" ht="15" thickBot="1" x14ac:dyDescent="0.4">
      <c r="A359" s="5">
        <v>1358</v>
      </c>
      <c r="B359" s="5" t="s">
        <v>40</v>
      </c>
      <c r="C359" s="5" t="s">
        <v>38</v>
      </c>
      <c r="D359" s="5" t="s">
        <v>18</v>
      </c>
      <c r="E359" s="5" t="s">
        <v>19</v>
      </c>
      <c r="F359" s="5">
        <v>7</v>
      </c>
      <c r="G359" s="5">
        <v>6618</v>
      </c>
      <c r="H359" s="5">
        <v>0</v>
      </c>
      <c r="I359" s="6">
        <v>46127</v>
      </c>
      <c r="J359" s="6">
        <v>46129</v>
      </c>
      <c r="K359" s="5" t="s">
        <v>20</v>
      </c>
    </row>
    <row r="360" spans="1:11" ht="15" thickBot="1" x14ac:dyDescent="0.4">
      <c r="A360" s="5">
        <v>1359</v>
      </c>
      <c r="B360" s="5" t="s">
        <v>54</v>
      </c>
      <c r="C360" s="5" t="s">
        <v>12</v>
      </c>
      <c r="D360" s="5" t="s">
        <v>34</v>
      </c>
      <c r="E360" s="5" t="s">
        <v>61</v>
      </c>
      <c r="F360" s="5">
        <v>9</v>
      </c>
      <c r="G360" s="5">
        <v>38179</v>
      </c>
      <c r="H360" s="5">
        <v>0</v>
      </c>
      <c r="I360" s="6">
        <v>46096</v>
      </c>
      <c r="J360" s="6">
        <v>46099</v>
      </c>
      <c r="K360" s="5" t="s">
        <v>15</v>
      </c>
    </row>
    <row r="361" spans="1:11" ht="15" thickBot="1" x14ac:dyDescent="0.4">
      <c r="A361" s="5">
        <v>1360</v>
      </c>
      <c r="B361" s="5" t="s">
        <v>11</v>
      </c>
      <c r="C361" s="5" t="s">
        <v>43</v>
      </c>
      <c r="D361" s="5" t="s">
        <v>18</v>
      </c>
      <c r="E361" s="5" t="s">
        <v>23</v>
      </c>
      <c r="F361" s="5">
        <v>19</v>
      </c>
      <c r="G361" s="5">
        <v>6681</v>
      </c>
      <c r="H361" s="5">
        <v>2</v>
      </c>
      <c r="I361" s="6">
        <v>46146</v>
      </c>
      <c r="J361" s="6">
        <v>46150</v>
      </c>
      <c r="K361" s="5" t="s">
        <v>15</v>
      </c>
    </row>
    <row r="362" spans="1:11" ht="15" thickBot="1" x14ac:dyDescent="0.4">
      <c r="A362" s="5">
        <v>1361</v>
      </c>
      <c r="B362" s="5" t="s">
        <v>42</v>
      </c>
      <c r="C362" s="5" t="s">
        <v>17</v>
      </c>
      <c r="D362" s="5" t="s">
        <v>18</v>
      </c>
      <c r="E362" s="5" t="s">
        <v>23</v>
      </c>
      <c r="F362" s="5">
        <v>2</v>
      </c>
      <c r="G362" s="5">
        <v>1822</v>
      </c>
      <c r="H362" s="5">
        <v>5</v>
      </c>
      <c r="I362" s="6">
        <v>46141</v>
      </c>
      <c r="J362" s="6">
        <v>46145</v>
      </c>
      <c r="K362" s="5" t="s">
        <v>20</v>
      </c>
    </row>
    <row r="363" spans="1:11" ht="15" thickBot="1" x14ac:dyDescent="0.4">
      <c r="A363" s="5">
        <v>1362</v>
      </c>
      <c r="B363" s="5" t="s">
        <v>16</v>
      </c>
      <c r="C363" s="5" t="s">
        <v>12</v>
      </c>
      <c r="D363" s="5" t="s">
        <v>18</v>
      </c>
      <c r="E363" s="5" t="s">
        <v>28</v>
      </c>
      <c r="F363" s="5">
        <v>1</v>
      </c>
      <c r="G363" s="5">
        <v>10474</v>
      </c>
      <c r="H363" s="5">
        <v>0</v>
      </c>
      <c r="I363" s="6">
        <v>46094</v>
      </c>
      <c r="J363" s="6">
        <v>46096</v>
      </c>
      <c r="K363" s="5" t="s">
        <v>29</v>
      </c>
    </row>
    <row r="364" spans="1:11" ht="15" thickBot="1" x14ac:dyDescent="0.4">
      <c r="A364" s="5">
        <v>1363</v>
      </c>
      <c r="B364" s="5" t="s">
        <v>27</v>
      </c>
      <c r="C364" s="5" t="s">
        <v>25</v>
      </c>
      <c r="D364" s="5" t="s">
        <v>34</v>
      </c>
      <c r="E364" s="5" t="s">
        <v>35</v>
      </c>
      <c r="F364" s="5">
        <v>7</v>
      </c>
      <c r="G364" s="5">
        <v>45381</v>
      </c>
      <c r="H364" s="5">
        <v>0</v>
      </c>
      <c r="I364" s="6">
        <v>46122</v>
      </c>
      <c r="J364" s="6">
        <v>46128</v>
      </c>
      <c r="K364" s="5" t="s">
        <v>15</v>
      </c>
    </row>
    <row r="365" spans="1:11" ht="15" thickBot="1" x14ac:dyDescent="0.4">
      <c r="A365" s="5">
        <v>1364</v>
      </c>
      <c r="B365" s="5" t="s">
        <v>30</v>
      </c>
      <c r="C365" s="5" t="s">
        <v>22</v>
      </c>
      <c r="D365" s="5" t="s">
        <v>18</v>
      </c>
      <c r="E365" s="5" t="s">
        <v>56</v>
      </c>
      <c r="F365" s="5">
        <v>16</v>
      </c>
      <c r="G365" s="5">
        <v>1744</v>
      </c>
      <c r="H365" s="5">
        <v>15</v>
      </c>
      <c r="I365" s="6">
        <v>46031</v>
      </c>
      <c r="J365" s="6">
        <v>46033</v>
      </c>
      <c r="K365" s="5" t="s">
        <v>51</v>
      </c>
    </row>
    <row r="366" spans="1:11" ht="15" thickBot="1" x14ac:dyDescent="0.4">
      <c r="A366" s="5">
        <v>1365</v>
      </c>
      <c r="B366" s="5" t="s">
        <v>46</v>
      </c>
      <c r="C366" s="5" t="s">
        <v>33</v>
      </c>
      <c r="D366" s="5" t="s">
        <v>13</v>
      </c>
      <c r="E366" s="5" t="s">
        <v>50</v>
      </c>
      <c r="F366" s="5">
        <v>17</v>
      </c>
      <c r="G366" s="5">
        <v>119</v>
      </c>
      <c r="H366" s="5">
        <v>7</v>
      </c>
      <c r="I366" s="6">
        <v>46070</v>
      </c>
      <c r="J366" s="6">
        <v>46072</v>
      </c>
      <c r="K366" s="5" t="s">
        <v>20</v>
      </c>
    </row>
    <row r="367" spans="1:11" ht="15" thickBot="1" x14ac:dyDescent="0.4">
      <c r="A367" s="5">
        <v>1366</v>
      </c>
      <c r="B367" s="5" t="s">
        <v>26</v>
      </c>
      <c r="C367" s="5" t="s">
        <v>17</v>
      </c>
      <c r="D367" s="5" t="s">
        <v>34</v>
      </c>
      <c r="E367" s="5" t="s">
        <v>61</v>
      </c>
      <c r="F367" s="5">
        <v>20</v>
      </c>
      <c r="G367" s="5">
        <v>44312</v>
      </c>
      <c r="H367" s="5">
        <v>10</v>
      </c>
      <c r="I367" s="6">
        <v>46047</v>
      </c>
      <c r="J367" s="6">
        <v>46054</v>
      </c>
      <c r="K367" s="5" t="s">
        <v>29</v>
      </c>
    </row>
    <row r="368" spans="1:11" ht="15" thickBot="1" x14ac:dyDescent="0.4">
      <c r="A368" s="5">
        <v>1367</v>
      </c>
      <c r="B368" s="5" t="s">
        <v>54</v>
      </c>
      <c r="C368" s="5" t="s">
        <v>25</v>
      </c>
      <c r="D368" s="5" t="s">
        <v>13</v>
      </c>
      <c r="E368" s="5" t="s">
        <v>53</v>
      </c>
      <c r="F368" s="5">
        <v>1</v>
      </c>
      <c r="G368" s="5">
        <v>371</v>
      </c>
      <c r="H368" s="5">
        <v>5</v>
      </c>
      <c r="I368" s="6">
        <v>46158</v>
      </c>
      <c r="J368" s="6">
        <v>46168</v>
      </c>
      <c r="K368" s="5" t="s">
        <v>29</v>
      </c>
    </row>
    <row r="369" spans="1:11" ht="15" thickBot="1" x14ac:dyDescent="0.4">
      <c r="A369" s="5">
        <v>1368</v>
      </c>
      <c r="B369" s="5" t="s">
        <v>55</v>
      </c>
      <c r="C369" s="5" t="s">
        <v>38</v>
      </c>
      <c r="D369" s="5" t="s">
        <v>13</v>
      </c>
      <c r="E369" s="5" t="s">
        <v>36</v>
      </c>
      <c r="F369" s="5">
        <v>9</v>
      </c>
      <c r="G369" s="5">
        <v>115</v>
      </c>
      <c r="H369" s="5">
        <v>0</v>
      </c>
      <c r="I369" s="6">
        <v>46036</v>
      </c>
      <c r="J369" s="6">
        <v>46045</v>
      </c>
      <c r="K369" s="5" t="s">
        <v>24</v>
      </c>
    </row>
    <row r="370" spans="1:11" ht="15" thickBot="1" x14ac:dyDescent="0.4">
      <c r="A370" s="5">
        <v>1369</v>
      </c>
      <c r="B370" s="5" t="s">
        <v>57</v>
      </c>
      <c r="C370" s="5" t="s">
        <v>25</v>
      </c>
      <c r="D370" s="5" t="s">
        <v>18</v>
      </c>
      <c r="E370" s="5" t="s">
        <v>19</v>
      </c>
      <c r="F370" s="5">
        <v>19</v>
      </c>
      <c r="G370" s="5">
        <v>5840</v>
      </c>
      <c r="H370" s="5">
        <v>5</v>
      </c>
      <c r="I370" s="6">
        <v>46062</v>
      </c>
      <c r="J370" s="6">
        <v>46067</v>
      </c>
      <c r="K370" s="5" t="s">
        <v>15</v>
      </c>
    </row>
    <row r="371" spans="1:11" ht="15" thickBot="1" x14ac:dyDescent="0.4">
      <c r="A371" s="5">
        <v>1370</v>
      </c>
      <c r="B371" s="5" t="s">
        <v>59</v>
      </c>
      <c r="C371" s="5" t="s">
        <v>38</v>
      </c>
      <c r="D371" s="5" t="s">
        <v>13</v>
      </c>
      <c r="E371" s="5" t="s">
        <v>53</v>
      </c>
      <c r="F371" s="5">
        <v>13</v>
      </c>
      <c r="G371" s="5">
        <v>337</v>
      </c>
      <c r="H371" s="5">
        <v>7</v>
      </c>
      <c r="I371" s="6">
        <v>46184</v>
      </c>
      <c r="J371" s="6">
        <v>46188</v>
      </c>
      <c r="K371" s="5" t="s">
        <v>15</v>
      </c>
    </row>
    <row r="372" spans="1:11" ht="15" thickBot="1" x14ac:dyDescent="0.4">
      <c r="A372" s="5">
        <v>1371</v>
      </c>
      <c r="B372" s="5" t="s">
        <v>48</v>
      </c>
      <c r="C372" s="5" t="s">
        <v>38</v>
      </c>
      <c r="D372" s="5" t="s">
        <v>18</v>
      </c>
      <c r="E372" s="5" t="s">
        <v>19</v>
      </c>
      <c r="F372" s="5">
        <v>19</v>
      </c>
      <c r="G372" s="5">
        <v>1087</v>
      </c>
      <c r="H372" s="5">
        <v>15</v>
      </c>
      <c r="I372" s="6">
        <v>46072</v>
      </c>
      <c r="J372" s="6">
        <v>46082</v>
      </c>
      <c r="K372" s="5" t="s">
        <v>20</v>
      </c>
    </row>
    <row r="373" spans="1:11" ht="15" thickBot="1" x14ac:dyDescent="0.4">
      <c r="A373" s="5">
        <v>1372</v>
      </c>
      <c r="B373" s="5" t="s">
        <v>48</v>
      </c>
      <c r="C373" s="5" t="s">
        <v>17</v>
      </c>
      <c r="D373" s="5" t="s">
        <v>34</v>
      </c>
      <c r="E373" s="5" t="s">
        <v>39</v>
      </c>
      <c r="F373" s="5">
        <v>9</v>
      </c>
      <c r="G373" s="5">
        <v>9551</v>
      </c>
      <c r="H373" s="5">
        <v>10</v>
      </c>
      <c r="I373" s="6">
        <v>46161</v>
      </c>
      <c r="J373" s="6">
        <v>46168</v>
      </c>
      <c r="K373" s="5" t="s">
        <v>15</v>
      </c>
    </row>
    <row r="374" spans="1:11" ht="15" thickBot="1" x14ac:dyDescent="0.4">
      <c r="A374" s="5">
        <v>1373</v>
      </c>
      <c r="B374" s="5" t="s">
        <v>54</v>
      </c>
      <c r="C374" s="5" t="s">
        <v>25</v>
      </c>
      <c r="D374" s="5" t="s">
        <v>34</v>
      </c>
      <c r="E374" s="5" t="s">
        <v>60</v>
      </c>
      <c r="F374" s="5">
        <v>11</v>
      </c>
      <c r="G374" s="5">
        <v>47930</v>
      </c>
      <c r="H374" s="5">
        <v>12</v>
      </c>
      <c r="I374" s="6">
        <v>46191</v>
      </c>
      <c r="J374" s="6">
        <v>46201</v>
      </c>
      <c r="K374" s="5" t="s">
        <v>20</v>
      </c>
    </row>
    <row r="375" spans="1:11" ht="15" thickBot="1" x14ac:dyDescent="0.4">
      <c r="A375" s="5">
        <v>1374</v>
      </c>
      <c r="B375" s="5" t="s">
        <v>57</v>
      </c>
      <c r="C375" s="5" t="s">
        <v>33</v>
      </c>
      <c r="D375" s="5" t="s">
        <v>34</v>
      </c>
      <c r="E375" s="5" t="s">
        <v>35</v>
      </c>
      <c r="F375" s="5">
        <v>12</v>
      </c>
      <c r="G375" s="5">
        <v>66052</v>
      </c>
      <c r="H375" s="5">
        <v>2</v>
      </c>
      <c r="I375" s="6">
        <v>46063</v>
      </c>
      <c r="J375" s="6">
        <v>46066</v>
      </c>
      <c r="K375" s="5" t="s">
        <v>51</v>
      </c>
    </row>
    <row r="376" spans="1:11" ht="15" thickBot="1" x14ac:dyDescent="0.4">
      <c r="A376" s="5">
        <v>1375</v>
      </c>
      <c r="B376" s="5" t="s">
        <v>46</v>
      </c>
      <c r="C376" s="5" t="s">
        <v>43</v>
      </c>
      <c r="D376" s="5" t="s">
        <v>34</v>
      </c>
      <c r="E376" s="5" t="s">
        <v>45</v>
      </c>
      <c r="F376" s="5">
        <v>20</v>
      </c>
      <c r="G376" s="5">
        <v>56766</v>
      </c>
      <c r="H376" s="5">
        <v>0</v>
      </c>
      <c r="I376" s="6">
        <v>46052</v>
      </c>
      <c r="J376" s="6">
        <v>46061</v>
      </c>
      <c r="K376" s="5" t="s">
        <v>24</v>
      </c>
    </row>
    <row r="377" spans="1:11" ht="15" thickBot="1" x14ac:dyDescent="0.4">
      <c r="A377" s="5">
        <v>1376</v>
      </c>
      <c r="B377" s="5" t="s">
        <v>52</v>
      </c>
      <c r="C377" s="5" t="s">
        <v>31</v>
      </c>
      <c r="D377" s="5" t="s">
        <v>13</v>
      </c>
      <c r="E377" s="5" t="s">
        <v>50</v>
      </c>
      <c r="F377" s="5">
        <v>20</v>
      </c>
      <c r="G377" s="5">
        <v>429</v>
      </c>
      <c r="H377" s="5">
        <v>5</v>
      </c>
      <c r="I377" s="6">
        <v>46178</v>
      </c>
      <c r="J377" s="6">
        <v>46184</v>
      </c>
      <c r="K377" s="5" t="s">
        <v>20</v>
      </c>
    </row>
    <row r="378" spans="1:11" ht="15" thickBot="1" x14ac:dyDescent="0.4">
      <c r="A378" s="5">
        <v>1377</v>
      </c>
      <c r="B378" s="5" t="s">
        <v>32</v>
      </c>
      <c r="C378" s="5" t="s">
        <v>38</v>
      </c>
      <c r="D378" s="5" t="s">
        <v>18</v>
      </c>
      <c r="E378" s="5" t="s">
        <v>19</v>
      </c>
      <c r="F378" s="5">
        <v>3</v>
      </c>
      <c r="G378" s="5">
        <v>5480</v>
      </c>
      <c r="H378" s="5">
        <v>12</v>
      </c>
      <c r="I378" s="6">
        <v>46105</v>
      </c>
      <c r="J378" s="6">
        <v>46111</v>
      </c>
      <c r="K378" s="5" t="s">
        <v>24</v>
      </c>
    </row>
    <row r="379" spans="1:11" ht="15" thickBot="1" x14ac:dyDescent="0.4">
      <c r="A379" s="5">
        <v>1378</v>
      </c>
      <c r="B379" s="5" t="s">
        <v>55</v>
      </c>
      <c r="C379" s="5" t="s">
        <v>22</v>
      </c>
      <c r="D379" s="5" t="s">
        <v>34</v>
      </c>
      <c r="E379" s="5" t="s">
        <v>45</v>
      </c>
      <c r="F379" s="5">
        <v>15</v>
      </c>
      <c r="G379" s="5">
        <v>22693</v>
      </c>
      <c r="H379" s="5">
        <v>12</v>
      </c>
      <c r="I379" s="6">
        <v>46074</v>
      </c>
      <c r="J379" s="6">
        <v>46080</v>
      </c>
      <c r="K379" s="5" t="s">
        <v>51</v>
      </c>
    </row>
    <row r="380" spans="1:11" ht="15" thickBot="1" x14ac:dyDescent="0.4">
      <c r="A380" s="5">
        <v>1379</v>
      </c>
      <c r="B380" s="5" t="s">
        <v>47</v>
      </c>
      <c r="C380" s="5" t="s">
        <v>17</v>
      </c>
      <c r="D380" s="5" t="s">
        <v>13</v>
      </c>
      <c r="E380" s="5" t="s">
        <v>14</v>
      </c>
      <c r="F380" s="5">
        <v>11</v>
      </c>
      <c r="G380" s="5">
        <v>136</v>
      </c>
      <c r="H380" s="5">
        <v>15</v>
      </c>
      <c r="I380" s="6">
        <v>46106</v>
      </c>
      <c r="J380" s="6">
        <v>46107</v>
      </c>
      <c r="K380" s="5" t="s">
        <v>20</v>
      </c>
    </row>
    <row r="381" spans="1:11" ht="15" thickBot="1" x14ac:dyDescent="0.4">
      <c r="A381" s="5">
        <v>1380</v>
      </c>
      <c r="B381" s="5" t="s">
        <v>52</v>
      </c>
      <c r="C381" s="5" t="s">
        <v>43</v>
      </c>
      <c r="D381" s="5" t="s">
        <v>13</v>
      </c>
      <c r="E381" s="5" t="s">
        <v>53</v>
      </c>
      <c r="F381" s="5">
        <v>3</v>
      </c>
      <c r="G381" s="5">
        <v>412</v>
      </c>
      <c r="H381" s="5">
        <v>7</v>
      </c>
      <c r="I381" s="6">
        <v>46128</v>
      </c>
      <c r="J381" s="6">
        <v>46138</v>
      </c>
      <c r="K381" s="5" t="s">
        <v>24</v>
      </c>
    </row>
    <row r="382" spans="1:11" ht="15" thickBot="1" x14ac:dyDescent="0.4">
      <c r="A382" s="5">
        <v>1381</v>
      </c>
      <c r="B382" s="5" t="s">
        <v>55</v>
      </c>
      <c r="C382" s="5" t="s">
        <v>33</v>
      </c>
      <c r="D382" s="5" t="s">
        <v>18</v>
      </c>
      <c r="E382" s="5" t="s">
        <v>28</v>
      </c>
      <c r="F382" s="5">
        <v>5</v>
      </c>
      <c r="G382" s="5">
        <v>7484</v>
      </c>
      <c r="H382" s="5">
        <v>2</v>
      </c>
      <c r="I382" s="6">
        <v>46089</v>
      </c>
      <c r="J382" s="6">
        <v>46093</v>
      </c>
      <c r="K382" s="5" t="s">
        <v>20</v>
      </c>
    </row>
    <row r="383" spans="1:11" ht="15" thickBot="1" x14ac:dyDescent="0.4">
      <c r="A383" s="5">
        <v>1382</v>
      </c>
      <c r="B383" s="5" t="s">
        <v>49</v>
      </c>
      <c r="C383" s="5" t="s">
        <v>33</v>
      </c>
      <c r="D383" s="5" t="s">
        <v>34</v>
      </c>
      <c r="E383" s="5" t="s">
        <v>60</v>
      </c>
      <c r="F383" s="5">
        <v>11</v>
      </c>
      <c r="G383" s="5">
        <v>36198</v>
      </c>
      <c r="H383" s="5">
        <v>0</v>
      </c>
      <c r="I383" s="6">
        <v>46130</v>
      </c>
      <c r="J383" s="6">
        <v>46134</v>
      </c>
      <c r="K383" s="5" t="s">
        <v>15</v>
      </c>
    </row>
    <row r="384" spans="1:11" ht="15" thickBot="1" x14ac:dyDescent="0.4">
      <c r="A384" s="5">
        <v>1383</v>
      </c>
      <c r="B384" s="5" t="s">
        <v>32</v>
      </c>
      <c r="C384" s="5" t="s">
        <v>12</v>
      </c>
      <c r="D384" s="5" t="s">
        <v>13</v>
      </c>
      <c r="E384" s="5" t="s">
        <v>53</v>
      </c>
      <c r="F384" s="5">
        <v>14</v>
      </c>
      <c r="G384" s="5">
        <v>334</v>
      </c>
      <c r="H384" s="5">
        <v>10</v>
      </c>
      <c r="I384" s="6">
        <v>46196</v>
      </c>
      <c r="J384" s="6">
        <v>46203</v>
      </c>
      <c r="K384" s="5" t="s">
        <v>15</v>
      </c>
    </row>
    <row r="385" spans="1:11" ht="15" thickBot="1" x14ac:dyDescent="0.4">
      <c r="A385" s="5">
        <v>1384</v>
      </c>
      <c r="B385" s="5" t="s">
        <v>59</v>
      </c>
      <c r="C385" s="5" t="s">
        <v>12</v>
      </c>
      <c r="D385" s="5" t="s">
        <v>34</v>
      </c>
      <c r="E385" s="5" t="s">
        <v>39</v>
      </c>
      <c r="F385" s="5">
        <v>15</v>
      </c>
      <c r="G385" s="5">
        <v>38116</v>
      </c>
      <c r="H385" s="5">
        <v>0</v>
      </c>
      <c r="I385" s="6">
        <v>46074</v>
      </c>
      <c r="J385" s="6">
        <v>46078</v>
      </c>
      <c r="K385" s="5" t="s">
        <v>29</v>
      </c>
    </row>
    <row r="386" spans="1:11" ht="15" thickBot="1" x14ac:dyDescent="0.4">
      <c r="A386" s="5">
        <v>1385</v>
      </c>
      <c r="B386" s="5" t="s">
        <v>26</v>
      </c>
      <c r="C386" s="5" t="s">
        <v>33</v>
      </c>
      <c r="D386" s="5" t="s">
        <v>34</v>
      </c>
      <c r="E386" s="5" t="s">
        <v>39</v>
      </c>
      <c r="F386" s="5">
        <v>12</v>
      </c>
      <c r="G386" s="5">
        <v>61360</v>
      </c>
      <c r="H386" s="5">
        <v>10</v>
      </c>
      <c r="I386" s="6">
        <v>46048</v>
      </c>
      <c r="J386" s="6">
        <v>46053</v>
      </c>
      <c r="K386" s="5" t="s">
        <v>51</v>
      </c>
    </row>
    <row r="387" spans="1:11" ht="15" thickBot="1" x14ac:dyDescent="0.4">
      <c r="A387" s="5">
        <v>1386</v>
      </c>
      <c r="B387" s="5" t="s">
        <v>27</v>
      </c>
      <c r="C387" s="5" t="s">
        <v>31</v>
      </c>
      <c r="D387" s="5" t="s">
        <v>18</v>
      </c>
      <c r="E387" s="5" t="s">
        <v>28</v>
      </c>
      <c r="F387" s="5">
        <v>9</v>
      </c>
      <c r="G387" s="5">
        <v>7509</v>
      </c>
      <c r="H387" s="5">
        <v>5</v>
      </c>
      <c r="I387" s="6">
        <v>46162</v>
      </c>
      <c r="J387" s="6">
        <v>46171</v>
      </c>
      <c r="K387" s="5" t="s">
        <v>51</v>
      </c>
    </row>
    <row r="388" spans="1:11" ht="15" thickBot="1" x14ac:dyDescent="0.4">
      <c r="A388" s="5">
        <v>1387</v>
      </c>
      <c r="B388" s="5" t="s">
        <v>54</v>
      </c>
      <c r="C388" s="5" t="s">
        <v>33</v>
      </c>
      <c r="D388" s="5" t="s">
        <v>34</v>
      </c>
      <c r="E388" s="5" t="s">
        <v>35</v>
      </c>
      <c r="F388" s="5">
        <v>11</v>
      </c>
      <c r="G388" s="5">
        <v>56515</v>
      </c>
      <c r="H388" s="5">
        <v>5</v>
      </c>
      <c r="I388" s="6">
        <v>46102</v>
      </c>
      <c r="J388" s="6">
        <v>46112</v>
      </c>
      <c r="K388" s="5" t="s">
        <v>24</v>
      </c>
    </row>
    <row r="389" spans="1:11" ht="15" thickBot="1" x14ac:dyDescent="0.4">
      <c r="A389" s="5">
        <v>1388</v>
      </c>
      <c r="B389" s="5" t="s">
        <v>55</v>
      </c>
      <c r="C389" s="5" t="s">
        <v>31</v>
      </c>
      <c r="D389" s="5" t="s">
        <v>18</v>
      </c>
      <c r="E389" s="5" t="s">
        <v>28</v>
      </c>
      <c r="F389" s="5">
        <v>12</v>
      </c>
      <c r="G389" s="5">
        <v>11662</v>
      </c>
      <c r="H389" s="5">
        <v>12</v>
      </c>
      <c r="I389" s="6">
        <v>46094</v>
      </c>
      <c r="J389" s="6">
        <v>46096</v>
      </c>
      <c r="K389" s="5" t="s">
        <v>20</v>
      </c>
    </row>
    <row r="390" spans="1:11" ht="15" thickBot="1" x14ac:dyDescent="0.4">
      <c r="A390" s="5">
        <v>1389</v>
      </c>
      <c r="B390" s="5" t="s">
        <v>32</v>
      </c>
      <c r="C390" s="5" t="s">
        <v>12</v>
      </c>
      <c r="D390" s="5" t="s">
        <v>34</v>
      </c>
      <c r="E390" s="5" t="s">
        <v>41</v>
      </c>
      <c r="F390" s="5">
        <v>3</v>
      </c>
      <c r="G390" s="5">
        <v>56380</v>
      </c>
      <c r="H390" s="5">
        <v>5</v>
      </c>
      <c r="I390" s="6">
        <v>46044</v>
      </c>
      <c r="J390" s="6">
        <v>46048</v>
      </c>
      <c r="K390" s="5" t="s">
        <v>51</v>
      </c>
    </row>
    <row r="391" spans="1:11" ht="15" thickBot="1" x14ac:dyDescent="0.4">
      <c r="A391" s="5">
        <v>1390</v>
      </c>
      <c r="B391" s="5" t="s">
        <v>58</v>
      </c>
      <c r="C391" s="5" t="s">
        <v>43</v>
      </c>
      <c r="D391" s="5" t="s">
        <v>18</v>
      </c>
      <c r="E391" s="5" t="s">
        <v>19</v>
      </c>
      <c r="F391" s="5">
        <v>9</v>
      </c>
      <c r="G391" s="5">
        <v>7670</v>
      </c>
      <c r="H391" s="5">
        <v>0</v>
      </c>
      <c r="I391" s="6">
        <v>46076</v>
      </c>
      <c r="J391" s="6">
        <v>46081</v>
      </c>
      <c r="K391" s="5" t="s">
        <v>51</v>
      </c>
    </row>
    <row r="392" spans="1:11" ht="15" thickBot="1" x14ac:dyDescent="0.4">
      <c r="A392" s="5">
        <v>1391</v>
      </c>
      <c r="B392" s="5" t="s">
        <v>30</v>
      </c>
      <c r="C392" s="5" t="s">
        <v>31</v>
      </c>
      <c r="D392" s="5" t="s">
        <v>34</v>
      </c>
      <c r="E392" s="5" t="s">
        <v>35</v>
      </c>
      <c r="F392" s="5">
        <v>5</v>
      </c>
      <c r="G392" s="5">
        <v>65270</v>
      </c>
      <c r="H392" s="5">
        <v>5</v>
      </c>
      <c r="I392" s="6">
        <v>46100</v>
      </c>
      <c r="J392" s="6">
        <v>46103</v>
      </c>
      <c r="K392" s="5" t="s">
        <v>24</v>
      </c>
    </row>
    <row r="393" spans="1:11" ht="15" thickBot="1" x14ac:dyDescent="0.4">
      <c r="A393" s="5">
        <v>1392</v>
      </c>
      <c r="B393" s="5" t="s">
        <v>29</v>
      </c>
      <c r="C393" s="5" t="s">
        <v>43</v>
      </c>
      <c r="D393" s="5" t="s">
        <v>34</v>
      </c>
      <c r="E393" s="5" t="s">
        <v>35</v>
      </c>
      <c r="F393" s="5">
        <v>13</v>
      </c>
      <c r="G393" s="5">
        <v>23903</v>
      </c>
      <c r="H393" s="5">
        <v>5</v>
      </c>
      <c r="I393" s="6">
        <v>46124</v>
      </c>
      <c r="J393" s="6">
        <v>46125</v>
      </c>
      <c r="K393" s="5" t="s">
        <v>29</v>
      </c>
    </row>
    <row r="394" spans="1:11" ht="15" thickBot="1" x14ac:dyDescent="0.4">
      <c r="A394" s="5">
        <v>1393</v>
      </c>
      <c r="B394" s="5" t="s">
        <v>30</v>
      </c>
      <c r="C394" s="5" t="s">
        <v>25</v>
      </c>
      <c r="D394" s="5" t="s">
        <v>34</v>
      </c>
      <c r="E394" s="5" t="s">
        <v>45</v>
      </c>
      <c r="F394" s="5">
        <v>17</v>
      </c>
      <c r="G394" s="5">
        <v>30351</v>
      </c>
      <c r="H394" s="5">
        <v>15</v>
      </c>
      <c r="I394" s="6">
        <v>46047</v>
      </c>
      <c r="J394" s="6">
        <v>46051</v>
      </c>
      <c r="K394" s="5" t="s">
        <v>51</v>
      </c>
    </row>
    <row r="395" spans="1:11" ht="15" thickBot="1" x14ac:dyDescent="0.4">
      <c r="A395" s="5">
        <v>1394</v>
      </c>
      <c r="B395" s="5" t="s">
        <v>54</v>
      </c>
      <c r="C395" s="5" t="s">
        <v>12</v>
      </c>
      <c r="D395" s="5" t="s">
        <v>13</v>
      </c>
      <c r="E395" s="5" t="s">
        <v>14</v>
      </c>
      <c r="F395" s="5">
        <v>10</v>
      </c>
      <c r="G395" s="5">
        <v>138</v>
      </c>
      <c r="H395" s="5">
        <v>2</v>
      </c>
      <c r="I395" s="6">
        <v>46056</v>
      </c>
      <c r="J395" s="6">
        <v>46057</v>
      </c>
      <c r="K395" s="5" t="s">
        <v>15</v>
      </c>
    </row>
    <row r="396" spans="1:11" ht="15" thickBot="1" x14ac:dyDescent="0.4">
      <c r="A396" s="5">
        <v>1395</v>
      </c>
      <c r="B396" s="5" t="s">
        <v>54</v>
      </c>
      <c r="C396" s="5" t="s">
        <v>33</v>
      </c>
      <c r="D396" s="5" t="s">
        <v>18</v>
      </c>
      <c r="E396" s="5" t="s">
        <v>44</v>
      </c>
      <c r="F396" s="5">
        <v>18</v>
      </c>
      <c r="G396" s="5">
        <v>10402</v>
      </c>
      <c r="H396" s="5">
        <v>15</v>
      </c>
      <c r="I396" s="6">
        <v>46062</v>
      </c>
      <c r="J396" s="6">
        <v>46067</v>
      </c>
      <c r="K396" s="5" t="s">
        <v>29</v>
      </c>
    </row>
    <row r="397" spans="1:11" ht="15" thickBot="1" x14ac:dyDescent="0.4">
      <c r="A397" s="5">
        <v>1396</v>
      </c>
      <c r="B397" s="5" t="s">
        <v>21</v>
      </c>
      <c r="C397" s="5" t="s">
        <v>38</v>
      </c>
      <c r="D397" s="5" t="s">
        <v>13</v>
      </c>
      <c r="E397" s="5" t="s">
        <v>53</v>
      </c>
      <c r="F397" s="5">
        <v>8</v>
      </c>
      <c r="G397" s="5">
        <v>54</v>
      </c>
      <c r="H397" s="5">
        <v>15</v>
      </c>
      <c r="I397" s="6">
        <v>46031</v>
      </c>
      <c r="J397" s="6">
        <v>46035</v>
      </c>
      <c r="K397" s="5" t="s">
        <v>15</v>
      </c>
    </row>
    <row r="398" spans="1:11" ht="15" thickBot="1" x14ac:dyDescent="0.4">
      <c r="A398" s="5">
        <v>1397</v>
      </c>
      <c r="B398" s="5" t="s">
        <v>21</v>
      </c>
      <c r="C398" s="5" t="s">
        <v>33</v>
      </c>
      <c r="D398" s="5" t="s">
        <v>18</v>
      </c>
      <c r="E398" s="5" t="s">
        <v>23</v>
      </c>
      <c r="F398" s="5">
        <v>1</v>
      </c>
      <c r="G398" s="5">
        <v>8948</v>
      </c>
      <c r="H398" s="5">
        <v>5</v>
      </c>
      <c r="I398" s="6">
        <v>46194</v>
      </c>
      <c r="J398" s="6">
        <v>46201</v>
      </c>
      <c r="K398" s="5" t="s">
        <v>51</v>
      </c>
    </row>
    <row r="399" spans="1:11" ht="15" thickBot="1" x14ac:dyDescent="0.4">
      <c r="A399" s="5">
        <v>1398</v>
      </c>
      <c r="B399" s="5" t="s">
        <v>58</v>
      </c>
      <c r="C399" s="5" t="s">
        <v>43</v>
      </c>
      <c r="D399" s="5" t="s">
        <v>34</v>
      </c>
      <c r="E399" s="5" t="s">
        <v>39</v>
      </c>
      <c r="F399" s="5">
        <v>12</v>
      </c>
      <c r="G399" s="5">
        <v>10668</v>
      </c>
      <c r="H399" s="5">
        <v>0</v>
      </c>
      <c r="I399" s="6">
        <v>46170</v>
      </c>
      <c r="J399" s="6">
        <v>46176</v>
      </c>
      <c r="K399" s="5" t="s">
        <v>15</v>
      </c>
    </row>
    <row r="400" spans="1:11" ht="15" thickBot="1" x14ac:dyDescent="0.4">
      <c r="A400" s="5">
        <v>1399</v>
      </c>
      <c r="B400" s="5" t="s">
        <v>48</v>
      </c>
      <c r="C400" s="5" t="s">
        <v>31</v>
      </c>
      <c r="D400" s="5" t="s">
        <v>13</v>
      </c>
      <c r="E400" s="5" t="s">
        <v>14</v>
      </c>
      <c r="F400" s="5">
        <v>15</v>
      </c>
      <c r="G400" s="5">
        <v>87</v>
      </c>
      <c r="H400" s="5">
        <v>15</v>
      </c>
      <c r="I400" s="6">
        <v>46089</v>
      </c>
      <c r="J400" s="6">
        <v>46093</v>
      </c>
      <c r="K400" s="5" t="s">
        <v>20</v>
      </c>
    </row>
    <row r="401" spans="1:11" ht="15" thickBot="1" x14ac:dyDescent="0.4">
      <c r="A401" s="5">
        <v>1400</v>
      </c>
      <c r="B401" s="5" t="s">
        <v>40</v>
      </c>
      <c r="C401" s="5" t="s">
        <v>22</v>
      </c>
      <c r="D401" s="5" t="s">
        <v>34</v>
      </c>
      <c r="E401" s="5" t="s">
        <v>35</v>
      </c>
      <c r="F401" s="5">
        <v>13</v>
      </c>
      <c r="G401" s="5">
        <v>52411</v>
      </c>
      <c r="H401" s="5">
        <v>15</v>
      </c>
      <c r="I401" s="6">
        <v>46090</v>
      </c>
      <c r="J401" s="6">
        <v>46092</v>
      </c>
      <c r="K401" s="5" t="s">
        <v>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03558F-D588-4F4B-9C45-7982B2E77355}">
  <dimension ref="A1:K401"/>
  <sheetViews>
    <sheetView workbookViewId="0">
      <pane ySplit="1" topLeftCell="A382" activePane="bottomLeft" state="frozen"/>
      <selection pane="bottomLeft" sqref="A1:K1"/>
    </sheetView>
  </sheetViews>
  <sheetFormatPr defaultRowHeight="14.5" x14ac:dyDescent="0.35"/>
  <cols>
    <col min="1" max="1" width="8.54296875" bestFit="1" customWidth="1"/>
    <col min="2" max="2" width="12.1796875" customWidth="1"/>
    <col min="3" max="3" width="13.36328125" customWidth="1"/>
    <col min="4" max="4" width="14.26953125" customWidth="1"/>
    <col min="5" max="5" width="13.453125" customWidth="1"/>
    <col min="6" max="6" width="8.1796875" bestFit="1" customWidth="1"/>
    <col min="7" max="7" width="10.7265625" customWidth="1"/>
    <col min="8" max="8" width="12.54296875" customWidth="1"/>
    <col min="9" max="9" width="13.90625" customWidth="1"/>
    <col min="10" max="10" width="15.7265625" customWidth="1"/>
    <col min="11" max="11" width="10.81640625" bestFit="1" customWidth="1"/>
  </cols>
  <sheetData>
    <row r="1" spans="1:11" ht="15" thickBot="1" x14ac:dyDescent="0.4">
      <c r="A1" s="31" t="s">
        <v>0</v>
      </c>
      <c r="B1" s="31" t="s">
        <v>1</v>
      </c>
      <c r="C1" s="31" t="s">
        <v>2</v>
      </c>
      <c r="D1" s="31" t="s">
        <v>3</v>
      </c>
      <c r="E1" s="31" t="s">
        <v>4</v>
      </c>
      <c r="F1" s="31" t="s">
        <v>5</v>
      </c>
      <c r="G1" s="31" t="s">
        <v>6</v>
      </c>
      <c r="H1" s="31" t="s">
        <v>7</v>
      </c>
      <c r="I1" s="31" t="s">
        <v>8</v>
      </c>
      <c r="J1" s="31" t="s">
        <v>9</v>
      </c>
      <c r="K1" s="32" t="s">
        <v>10</v>
      </c>
    </row>
    <row r="2" spans="1:11" ht="15" thickBot="1" x14ac:dyDescent="0.4">
      <c r="A2" s="5">
        <v>1019</v>
      </c>
      <c r="B2" s="5" t="s">
        <v>11</v>
      </c>
      <c r="C2" s="5" t="s">
        <v>43</v>
      </c>
      <c r="D2" s="5" t="s">
        <v>34</v>
      </c>
      <c r="E2" s="5" t="s">
        <v>41</v>
      </c>
      <c r="F2" s="5">
        <v>18</v>
      </c>
      <c r="G2" s="5">
        <v>45652</v>
      </c>
      <c r="H2" s="5">
        <v>10</v>
      </c>
      <c r="I2" s="6">
        <v>46023</v>
      </c>
      <c r="J2" s="6">
        <v>46030</v>
      </c>
      <c r="K2" s="5" t="s">
        <v>20</v>
      </c>
    </row>
    <row r="3" spans="1:11" ht="15" thickBot="1" x14ac:dyDescent="0.4">
      <c r="A3" s="5">
        <v>1355</v>
      </c>
      <c r="B3" s="5" t="s">
        <v>27</v>
      </c>
      <c r="C3" s="5" t="s">
        <v>12</v>
      </c>
      <c r="D3" s="5" t="s">
        <v>34</v>
      </c>
      <c r="E3" s="5" t="s">
        <v>60</v>
      </c>
      <c r="F3" s="5">
        <v>18</v>
      </c>
      <c r="G3" s="5">
        <v>35997</v>
      </c>
      <c r="H3" s="5">
        <v>2</v>
      </c>
      <c r="I3" s="6">
        <v>46024</v>
      </c>
      <c r="J3" s="6">
        <v>46031</v>
      </c>
      <c r="K3" s="5" t="s">
        <v>51</v>
      </c>
    </row>
    <row r="4" spans="1:11" ht="15" thickBot="1" x14ac:dyDescent="0.4">
      <c r="A4" s="5">
        <v>1060</v>
      </c>
      <c r="B4" s="5" t="s">
        <v>49</v>
      </c>
      <c r="C4" s="5" t="s">
        <v>12</v>
      </c>
      <c r="D4" s="5" t="s">
        <v>18</v>
      </c>
      <c r="E4" s="5" t="s">
        <v>44</v>
      </c>
      <c r="F4" s="5">
        <v>9</v>
      </c>
      <c r="G4" s="5">
        <v>9727</v>
      </c>
      <c r="H4" s="5">
        <v>2</v>
      </c>
      <c r="I4" s="6">
        <v>46024</v>
      </c>
      <c r="J4" s="6">
        <v>46030</v>
      </c>
      <c r="K4" s="5" t="s">
        <v>20</v>
      </c>
    </row>
    <row r="5" spans="1:11" ht="15" thickBot="1" x14ac:dyDescent="0.4">
      <c r="A5" s="5">
        <v>1151</v>
      </c>
      <c r="B5" s="5" t="s">
        <v>46</v>
      </c>
      <c r="C5" s="5" t="s">
        <v>43</v>
      </c>
      <c r="D5" s="5" t="s">
        <v>13</v>
      </c>
      <c r="E5" s="5" t="s">
        <v>50</v>
      </c>
      <c r="F5" s="5">
        <v>20</v>
      </c>
      <c r="G5" s="5">
        <v>272</v>
      </c>
      <c r="H5" s="5">
        <v>15</v>
      </c>
      <c r="I5" s="6">
        <v>46024</v>
      </c>
      <c r="J5" s="6">
        <v>46029</v>
      </c>
      <c r="K5" s="5" t="s">
        <v>51</v>
      </c>
    </row>
    <row r="6" spans="1:11" ht="15" thickBot="1" x14ac:dyDescent="0.4">
      <c r="A6" s="5">
        <v>1132</v>
      </c>
      <c r="B6" s="5" t="s">
        <v>11</v>
      </c>
      <c r="C6" s="5" t="s">
        <v>31</v>
      </c>
      <c r="D6" s="5" t="s">
        <v>13</v>
      </c>
      <c r="E6" s="5" t="s">
        <v>50</v>
      </c>
      <c r="F6" s="5">
        <v>10</v>
      </c>
      <c r="G6" s="5">
        <v>270</v>
      </c>
      <c r="H6" s="5">
        <v>7</v>
      </c>
      <c r="I6" s="6">
        <v>46024</v>
      </c>
      <c r="J6" s="6">
        <v>46034</v>
      </c>
      <c r="K6" s="5" t="s">
        <v>24</v>
      </c>
    </row>
    <row r="7" spans="1:11" ht="15" thickBot="1" x14ac:dyDescent="0.4">
      <c r="A7" s="5">
        <v>1352</v>
      </c>
      <c r="B7" s="5" t="s">
        <v>54</v>
      </c>
      <c r="C7" s="5" t="s">
        <v>22</v>
      </c>
      <c r="D7" s="5" t="s">
        <v>13</v>
      </c>
      <c r="E7" s="5" t="s">
        <v>14</v>
      </c>
      <c r="F7" s="5">
        <v>12</v>
      </c>
      <c r="G7" s="5">
        <v>203</v>
      </c>
      <c r="H7" s="5">
        <v>5</v>
      </c>
      <c r="I7" s="6">
        <v>46024</v>
      </c>
      <c r="J7" s="6">
        <v>46033</v>
      </c>
      <c r="K7" s="5" t="s">
        <v>15</v>
      </c>
    </row>
    <row r="8" spans="1:11" ht="15" thickBot="1" x14ac:dyDescent="0.4">
      <c r="A8" s="5">
        <v>1156</v>
      </c>
      <c r="B8" s="5" t="s">
        <v>54</v>
      </c>
      <c r="C8" s="5" t="s">
        <v>38</v>
      </c>
      <c r="D8" s="5" t="s">
        <v>13</v>
      </c>
      <c r="E8" s="5" t="s">
        <v>36</v>
      </c>
      <c r="F8" s="5">
        <v>5</v>
      </c>
      <c r="G8" s="5">
        <v>466</v>
      </c>
      <c r="H8" s="5">
        <v>15</v>
      </c>
      <c r="I8" s="6">
        <v>46025</v>
      </c>
      <c r="J8" s="6">
        <v>46029</v>
      </c>
      <c r="K8" s="5" t="s">
        <v>15</v>
      </c>
    </row>
    <row r="9" spans="1:11" ht="15" thickBot="1" x14ac:dyDescent="0.4">
      <c r="A9" s="5">
        <v>1341</v>
      </c>
      <c r="B9" s="5" t="s">
        <v>57</v>
      </c>
      <c r="C9" s="5" t="s">
        <v>38</v>
      </c>
      <c r="D9" s="5" t="s">
        <v>18</v>
      </c>
      <c r="E9" s="5" t="s">
        <v>19</v>
      </c>
      <c r="F9" s="5">
        <v>19</v>
      </c>
      <c r="G9" s="5">
        <v>6488</v>
      </c>
      <c r="H9" s="5">
        <v>15</v>
      </c>
      <c r="I9" s="6">
        <v>46026</v>
      </c>
      <c r="J9" s="6">
        <v>46030</v>
      </c>
      <c r="K9" s="5" t="s">
        <v>20</v>
      </c>
    </row>
    <row r="10" spans="1:11" ht="15" thickBot="1" x14ac:dyDescent="0.4">
      <c r="A10" s="5">
        <v>1351</v>
      </c>
      <c r="B10" s="5" t="s">
        <v>42</v>
      </c>
      <c r="C10" s="5" t="s">
        <v>33</v>
      </c>
      <c r="D10" s="5" t="s">
        <v>34</v>
      </c>
      <c r="E10" s="5" t="s">
        <v>45</v>
      </c>
      <c r="F10" s="5">
        <v>12</v>
      </c>
      <c r="G10" s="5">
        <v>1272</v>
      </c>
      <c r="H10" s="5">
        <v>0</v>
      </c>
      <c r="I10" s="6">
        <v>46026</v>
      </c>
      <c r="J10" s="6">
        <v>46029</v>
      </c>
      <c r="K10" s="5" t="s">
        <v>15</v>
      </c>
    </row>
    <row r="11" spans="1:11" ht="15" thickBot="1" x14ac:dyDescent="0.4">
      <c r="A11" s="5">
        <v>1229</v>
      </c>
      <c r="B11" s="5" t="s">
        <v>57</v>
      </c>
      <c r="C11" s="5" t="s">
        <v>12</v>
      </c>
      <c r="D11" s="5" t="s">
        <v>18</v>
      </c>
      <c r="E11" s="5" t="s">
        <v>56</v>
      </c>
      <c r="F11" s="5">
        <v>14</v>
      </c>
      <c r="G11" s="5">
        <v>5859</v>
      </c>
      <c r="H11" s="5">
        <v>12</v>
      </c>
      <c r="I11" s="6">
        <v>46027</v>
      </c>
      <c r="J11" s="6">
        <v>46036</v>
      </c>
      <c r="K11" s="5" t="s">
        <v>20</v>
      </c>
    </row>
    <row r="12" spans="1:11" ht="15" thickBot="1" x14ac:dyDescent="0.4">
      <c r="A12" s="5">
        <v>1100</v>
      </c>
      <c r="B12" s="5" t="s">
        <v>11</v>
      </c>
      <c r="C12" s="5" t="s">
        <v>31</v>
      </c>
      <c r="D12" s="5" t="s">
        <v>13</v>
      </c>
      <c r="E12" s="5" t="s">
        <v>14</v>
      </c>
      <c r="F12" s="5">
        <v>11</v>
      </c>
      <c r="G12" s="5">
        <v>296</v>
      </c>
      <c r="H12" s="5">
        <v>10</v>
      </c>
      <c r="I12" s="6">
        <v>46027</v>
      </c>
      <c r="J12" s="6">
        <v>46031</v>
      </c>
      <c r="K12" s="5" t="s">
        <v>51</v>
      </c>
    </row>
    <row r="13" spans="1:11" ht="15" thickBot="1" x14ac:dyDescent="0.4">
      <c r="A13" s="5">
        <v>1301</v>
      </c>
      <c r="B13" s="5" t="s">
        <v>54</v>
      </c>
      <c r="C13" s="5" t="s">
        <v>17</v>
      </c>
      <c r="D13" s="5" t="s">
        <v>18</v>
      </c>
      <c r="E13" s="5" t="s">
        <v>28</v>
      </c>
      <c r="F13" s="5">
        <v>3</v>
      </c>
      <c r="G13" s="5">
        <v>7020</v>
      </c>
      <c r="H13" s="5">
        <v>10</v>
      </c>
      <c r="I13" s="6">
        <v>46028</v>
      </c>
      <c r="J13" s="6">
        <v>46038</v>
      </c>
      <c r="K13" s="5" t="s">
        <v>24</v>
      </c>
    </row>
    <row r="14" spans="1:11" ht="15" thickBot="1" x14ac:dyDescent="0.4">
      <c r="A14" s="5">
        <v>1148</v>
      </c>
      <c r="B14" s="5" t="s">
        <v>59</v>
      </c>
      <c r="C14" s="5" t="s">
        <v>33</v>
      </c>
      <c r="D14" s="5" t="s">
        <v>18</v>
      </c>
      <c r="E14" s="5" t="s">
        <v>28</v>
      </c>
      <c r="F14" s="5">
        <v>11</v>
      </c>
      <c r="G14" s="5">
        <v>3023</v>
      </c>
      <c r="H14" s="5">
        <v>7</v>
      </c>
      <c r="I14" s="6">
        <v>46030</v>
      </c>
      <c r="J14" s="6">
        <v>46032</v>
      </c>
      <c r="K14" s="5" t="s">
        <v>24</v>
      </c>
    </row>
    <row r="15" spans="1:11" ht="15" thickBot="1" x14ac:dyDescent="0.4">
      <c r="A15" s="5">
        <v>1038</v>
      </c>
      <c r="B15" s="5" t="s">
        <v>55</v>
      </c>
      <c r="C15" s="5" t="s">
        <v>17</v>
      </c>
      <c r="D15" s="5" t="s">
        <v>13</v>
      </c>
      <c r="E15" s="5" t="s">
        <v>36</v>
      </c>
      <c r="F15" s="5">
        <v>17</v>
      </c>
      <c r="G15" s="5">
        <v>223</v>
      </c>
      <c r="H15" s="5">
        <v>7</v>
      </c>
      <c r="I15" s="6">
        <v>46030</v>
      </c>
      <c r="J15" s="6">
        <v>46031</v>
      </c>
      <c r="K15" s="5" t="s">
        <v>51</v>
      </c>
    </row>
    <row r="16" spans="1:11" ht="15" thickBot="1" x14ac:dyDescent="0.4">
      <c r="A16" s="5">
        <v>1035</v>
      </c>
      <c r="B16" s="5" t="s">
        <v>49</v>
      </c>
      <c r="C16" s="5" t="s">
        <v>43</v>
      </c>
      <c r="D16" s="5" t="s">
        <v>18</v>
      </c>
      <c r="E16" s="5" t="s">
        <v>56</v>
      </c>
      <c r="F16" s="5">
        <v>3</v>
      </c>
      <c r="G16" s="5">
        <v>9149</v>
      </c>
      <c r="H16" s="5">
        <v>0</v>
      </c>
      <c r="I16" s="6">
        <v>46031</v>
      </c>
      <c r="J16" s="6">
        <v>46034</v>
      </c>
      <c r="K16" s="5" t="s">
        <v>24</v>
      </c>
    </row>
    <row r="17" spans="1:11" ht="15" thickBot="1" x14ac:dyDescent="0.4">
      <c r="A17" s="5">
        <v>1364</v>
      </c>
      <c r="B17" s="5" t="s">
        <v>30</v>
      </c>
      <c r="C17" s="5" t="s">
        <v>22</v>
      </c>
      <c r="D17" s="5" t="s">
        <v>18</v>
      </c>
      <c r="E17" s="5" t="s">
        <v>56</v>
      </c>
      <c r="F17" s="5">
        <v>16</v>
      </c>
      <c r="G17" s="5">
        <v>1744</v>
      </c>
      <c r="H17" s="5">
        <v>15</v>
      </c>
      <c r="I17" s="6">
        <v>46031</v>
      </c>
      <c r="J17" s="6">
        <v>46033</v>
      </c>
      <c r="K17" s="5" t="s">
        <v>51</v>
      </c>
    </row>
    <row r="18" spans="1:11" ht="15" thickBot="1" x14ac:dyDescent="0.4">
      <c r="A18" s="5">
        <v>1396</v>
      </c>
      <c r="B18" s="5" t="s">
        <v>21</v>
      </c>
      <c r="C18" s="5" t="s">
        <v>38</v>
      </c>
      <c r="D18" s="5" t="s">
        <v>13</v>
      </c>
      <c r="E18" s="5" t="s">
        <v>53</v>
      </c>
      <c r="F18" s="5">
        <v>8</v>
      </c>
      <c r="G18" s="5">
        <v>54</v>
      </c>
      <c r="H18" s="5">
        <v>15</v>
      </c>
      <c r="I18" s="6">
        <v>46031</v>
      </c>
      <c r="J18" s="6">
        <v>46035</v>
      </c>
      <c r="K18" s="5" t="s">
        <v>15</v>
      </c>
    </row>
    <row r="19" spans="1:11" ht="15" thickBot="1" x14ac:dyDescent="0.4">
      <c r="A19" s="5">
        <v>1330</v>
      </c>
      <c r="B19" s="5" t="s">
        <v>49</v>
      </c>
      <c r="C19" s="5" t="s">
        <v>17</v>
      </c>
      <c r="D19" s="5" t="s">
        <v>18</v>
      </c>
      <c r="E19" s="5" t="s">
        <v>19</v>
      </c>
      <c r="F19" s="5">
        <v>13</v>
      </c>
      <c r="G19" s="5">
        <v>12071</v>
      </c>
      <c r="H19" s="5">
        <v>0</v>
      </c>
      <c r="I19" s="6">
        <v>46032</v>
      </c>
      <c r="J19" s="6">
        <v>46036</v>
      </c>
      <c r="K19" s="5" t="s">
        <v>51</v>
      </c>
    </row>
    <row r="20" spans="1:11" ht="15" thickBot="1" x14ac:dyDescent="0.4">
      <c r="A20" s="5">
        <v>1037</v>
      </c>
      <c r="B20" s="5" t="s">
        <v>46</v>
      </c>
      <c r="C20" s="5" t="s">
        <v>43</v>
      </c>
      <c r="D20" s="5" t="s">
        <v>18</v>
      </c>
      <c r="E20" s="5" t="s">
        <v>56</v>
      </c>
      <c r="F20" s="5">
        <v>6</v>
      </c>
      <c r="G20" s="5">
        <v>14385</v>
      </c>
      <c r="H20" s="5">
        <v>12</v>
      </c>
      <c r="I20" s="6">
        <v>46033</v>
      </c>
      <c r="J20" s="6">
        <v>46043</v>
      </c>
      <c r="K20" s="5" t="s">
        <v>24</v>
      </c>
    </row>
    <row r="21" spans="1:11" ht="15" thickBot="1" x14ac:dyDescent="0.4">
      <c r="A21" s="5">
        <v>1109</v>
      </c>
      <c r="B21" s="5" t="s">
        <v>21</v>
      </c>
      <c r="C21" s="5" t="s">
        <v>31</v>
      </c>
      <c r="D21" s="5" t="s">
        <v>18</v>
      </c>
      <c r="E21" s="5" t="s">
        <v>44</v>
      </c>
      <c r="F21" s="5">
        <v>19</v>
      </c>
      <c r="G21" s="5">
        <v>6512</v>
      </c>
      <c r="H21" s="5">
        <v>10</v>
      </c>
      <c r="I21" s="6">
        <v>46033</v>
      </c>
      <c r="J21" s="6">
        <v>46037</v>
      </c>
      <c r="K21" s="5" t="s">
        <v>20</v>
      </c>
    </row>
    <row r="22" spans="1:11" ht="15" thickBot="1" x14ac:dyDescent="0.4">
      <c r="A22" s="5">
        <v>1008</v>
      </c>
      <c r="B22" s="5" t="s">
        <v>30</v>
      </c>
      <c r="C22" s="5" t="s">
        <v>31</v>
      </c>
      <c r="D22" s="5" t="s">
        <v>18</v>
      </c>
      <c r="E22" s="5" t="s">
        <v>28</v>
      </c>
      <c r="F22" s="5">
        <v>1</v>
      </c>
      <c r="G22" s="5">
        <v>1134</v>
      </c>
      <c r="H22" s="5">
        <v>0</v>
      </c>
      <c r="I22" s="6">
        <v>46033</v>
      </c>
      <c r="J22" s="6">
        <v>46041</v>
      </c>
      <c r="K22" s="5" t="s">
        <v>24</v>
      </c>
    </row>
    <row r="23" spans="1:11" ht="15" thickBot="1" x14ac:dyDescent="0.4">
      <c r="A23" s="5">
        <v>1181</v>
      </c>
      <c r="B23" s="5" t="s">
        <v>58</v>
      </c>
      <c r="C23" s="5" t="s">
        <v>33</v>
      </c>
      <c r="D23" s="5" t="s">
        <v>13</v>
      </c>
      <c r="E23" s="5" t="s">
        <v>36</v>
      </c>
      <c r="F23" s="5">
        <v>4</v>
      </c>
      <c r="G23" s="5">
        <v>357</v>
      </c>
      <c r="H23" s="5">
        <v>2</v>
      </c>
      <c r="I23" s="6">
        <v>46033</v>
      </c>
      <c r="J23" s="6">
        <v>46035</v>
      </c>
      <c r="K23" s="5" t="s">
        <v>15</v>
      </c>
    </row>
    <row r="24" spans="1:11" ht="15" thickBot="1" x14ac:dyDescent="0.4">
      <c r="A24" s="5">
        <v>1205</v>
      </c>
      <c r="B24" s="5" t="s">
        <v>21</v>
      </c>
      <c r="C24" s="5" t="s">
        <v>38</v>
      </c>
      <c r="D24" s="5" t="s">
        <v>13</v>
      </c>
      <c r="E24" s="5" t="s">
        <v>36</v>
      </c>
      <c r="F24" s="5">
        <v>1</v>
      </c>
      <c r="G24" s="5">
        <v>112</v>
      </c>
      <c r="H24" s="5">
        <v>7</v>
      </c>
      <c r="I24" s="6">
        <v>46033</v>
      </c>
      <c r="J24" s="6">
        <v>46040</v>
      </c>
      <c r="K24" s="5" t="s">
        <v>51</v>
      </c>
    </row>
    <row r="25" spans="1:11" ht="15" thickBot="1" x14ac:dyDescent="0.4">
      <c r="A25" s="5">
        <v>1004</v>
      </c>
      <c r="B25" s="5" t="s">
        <v>16</v>
      </c>
      <c r="C25" s="5" t="s">
        <v>25</v>
      </c>
      <c r="D25" s="5" t="s">
        <v>18</v>
      </c>
      <c r="E25" s="5" t="s">
        <v>23</v>
      </c>
      <c r="F25" s="5">
        <v>16</v>
      </c>
      <c r="G25" s="5">
        <v>11739</v>
      </c>
      <c r="H25" s="5">
        <v>12</v>
      </c>
      <c r="I25" s="6">
        <v>46034</v>
      </c>
      <c r="J25" s="6">
        <v>46040</v>
      </c>
      <c r="K25" s="5" t="s">
        <v>20</v>
      </c>
    </row>
    <row r="26" spans="1:11" ht="15" thickBot="1" x14ac:dyDescent="0.4">
      <c r="A26" s="5">
        <v>1072</v>
      </c>
      <c r="B26" s="5" t="s">
        <v>16</v>
      </c>
      <c r="C26" s="5" t="s">
        <v>25</v>
      </c>
      <c r="D26" s="5" t="s">
        <v>34</v>
      </c>
      <c r="E26" s="5" t="s">
        <v>61</v>
      </c>
      <c r="F26" s="5">
        <v>20</v>
      </c>
      <c r="G26" s="5">
        <v>58779</v>
      </c>
      <c r="H26" s="5">
        <v>0</v>
      </c>
      <c r="I26" s="6">
        <v>46035</v>
      </c>
      <c r="J26" s="6">
        <v>46036</v>
      </c>
      <c r="K26" s="5" t="s">
        <v>24</v>
      </c>
    </row>
    <row r="27" spans="1:11" ht="15" thickBot="1" x14ac:dyDescent="0.4">
      <c r="A27" s="5">
        <v>1368</v>
      </c>
      <c r="B27" s="5" t="s">
        <v>55</v>
      </c>
      <c r="C27" s="5" t="s">
        <v>38</v>
      </c>
      <c r="D27" s="5" t="s">
        <v>13</v>
      </c>
      <c r="E27" s="5" t="s">
        <v>36</v>
      </c>
      <c r="F27" s="5">
        <v>9</v>
      </c>
      <c r="G27" s="5">
        <v>115</v>
      </c>
      <c r="H27" s="5">
        <v>0</v>
      </c>
      <c r="I27" s="6">
        <v>46036</v>
      </c>
      <c r="J27" s="6">
        <v>46045</v>
      </c>
      <c r="K27" s="5" t="s">
        <v>24</v>
      </c>
    </row>
    <row r="28" spans="1:11" ht="15" thickBot="1" x14ac:dyDescent="0.4">
      <c r="A28" s="5">
        <v>1347</v>
      </c>
      <c r="B28" s="5" t="s">
        <v>29</v>
      </c>
      <c r="C28" s="5" t="s">
        <v>22</v>
      </c>
      <c r="D28" s="5" t="s">
        <v>34</v>
      </c>
      <c r="E28" s="5" t="s">
        <v>35</v>
      </c>
      <c r="F28" s="5">
        <v>16</v>
      </c>
      <c r="G28" s="5">
        <v>6034</v>
      </c>
      <c r="H28" s="5">
        <v>15</v>
      </c>
      <c r="I28" s="6">
        <v>46037</v>
      </c>
      <c r="J28" s="6">
        <v>46044</v>
      </c>
      <c r="K28" s="5" t="s">
        <v>24</v>
      </c>
    </row>
    <row r="29" spans="1:11" ht="15" thickBot="1" x14ac:dyDescent="0.4">
      <c r="A29" s="5">
        <v>1051</v>
      </c>
      <c r="B29" s="5" t="s">
        <v>58</v>
      </c>
      <c r="C29" s="5" t="s">
        <v>17</v>
      </c>
      <c r="D29" s="5" t="s">
        <v>13</v>
      </c>
      <c r="E29" s="5" t="s">
        <v>36</v>
      </c>
      <c r="F29" s="5">
        <v>12</v>
      </c>
      <c r="G29" s="5">
        <v>47</v>
      </c>
      <c r="H29" s="5">
        <v>2</v>
      </c>
      <c r="I29" s="6">
        <v>46037</v>
      </c>
      <c r="J29" s="6">
        <v>46045</v>
      </c>
      <c r="K29" s="5" t="s">
        <v>15</v>
      </c>
    </row>
    <row r="30" spans="1:11" ht="15" thickBot="1" x14ac:dyDescent="0.4">
      <c r="A30" s="5">
        <v>1045</v>
      </c>
      <c r="B30" s="5" t="s">
        <v>32</v>
      </c>
      <c r="C30" s="5" t="s">
        <v>38</v>
      </c>
      <c r="D30" s="5" t="s">
        <v>34</v>
      </c>
      <c r="E30" s="5" t="s">
        <v>35</v>
      </c>
      <c r="F30" s="5">
        <v>3</v>
      </c>
      <c r="G30" s="5">
        <v>62762</v>
      </c>
      <c r="H30" s="5">
        <v>7</v>
      </c>
      <c r="I30" s="6">
        <v>46038</v>
      </c>
      <c r="J30" s="6">
        <v>46039</v>
      </c>
      <c r="K30" s="5" t="s">
        <v>29</v>
      </c>
    </row>
    <row r="31" spans="1:11" ht="15" thickBot="1" x14ac:dyDescent="0.4">
      <c r="A31" s="5">
        <v>1334</v>
      </c>
      <c r="B31" s="5" t="s">
        <v>40</v>
      </c>
      <c r="C31" s="5" t="s">
        <v>12</v>
      </c>
      <c r="D31" s="5" t="s">
        <v>34</v>
      </c>
      <c r="E31" s="5" t="s">
        <v>41</v>
      </c>
      <c r="F31" s="5">
        <v>15</v>
      </c>
      <c r="G31" s="5">
        <v>39853</v>
      </c>
      <c r="H31" s="5">
        <v>7</v>
      </c>
      <c r="I31" s="6">
        <v>46038</v>
      </c>
      <c r="J31" s="6">
        <v>46047</v>
      </c>
      <c r="K31" s="5" t="s">
        <v>51</v>
      </c>
    </row>
    <row r="32" spans="1:11" ht="15" thickBot="1" x14ac:dyDescent="0.4">
      <c r="A32" s="5">
        <v>1069</v>
      </c>
      <c r="B32" s="5" t="s">
        <v>52</v>
      </c>
      <c r="C32" s="5" t="s">
        <v>31</v>
      </c>
      <c r="D32" s="5" t="s">
        <v>18</v>
      </c>
      <c r="E32" s="5" t="s">
        <v>28</v>
      </c>
      <c r="F32" s="5">
        <v>9</v>
      </c>
      <c r="G32" s="5">
        <v>4415</v>
      </c>
      <c r="H32" s="5">
        <v>5</v>
      </c>
      <c r="I32" s="6">
        <v>46039</v>
      </c>
      <c r="J32" s="6">
        <v>46046</v>
      </c>
      <c r="K32" s="5" t="s">
        <v>15</v>
      </c>
    </row>
    <row r="33" spans="1:11" ht="15" thickBot="1" x14ac:dyDescent="0.4">
      <c r="A33" s="5">
        <v>1246</v>
      </c>
      <c r="B33" s="5" t="s">
        <v>55</v>
      </c>
      <c r="C33" s="5" t="s">
        <v>22</v>
      </c>
      <c r="D33" s="5" t="s">
        <v>34</v>
      </c>
      <c r="E33" s="5" t="s">
        <v>35</v>
      </c>
      <c r="F33" s="5">
        <v>13</v>
      </c>
      <c r="G33" s="5">
        <v>1825</v>
      </c>
      <c r="H33" s="5">
        <v>2</v>
      </c>
      <c r="I33" s="6">
        <v>46039</v>
      </c>
      <c r="J33" s="6">
        <v>46045</v>
      </c>
      <c r="K33" s="5" t="s">
        <v>51</v>
      </c>
    </row>
    <row r="34" spans="1:11" ht="15" thickBot="1" x14ac:dyDescent="0.4">
      <c r="A34" s="5">
        <v>1026</v>
      </c>
      <c r="B34" s="5" t="s">
        <v>49</v>
      </c>
      <c r="C34" s="5" t="s">
        <v>31</v>
      </c>
      <c r="D34" s="5" t="s">
        <v>13</v>
      </c>
      <c r="E34" s="5" t="s">
        <v>50</v>
      </c>
      <c r="F34" s="5">
        <v>17</v>
      </c>
      <c r="G34" s="5">
        <v>323</v>
      </c>
      <c r="H34" s="5">
        <v>10</v>
      </c>
      <c r="I34" s="6">
        <v>46039</v>
      </c>
      <c r="J34" s="6">
        <v>46040</v>
      </c>
      <c r="K34" s="5" t="s">
        <v>29</v>
      </c>
    </row>
    <row r="35" spans="1:11" ht="15" thickBot="1" x14ac:dyDescent="0.4">
      <c r="A35" s="5">
        <v>1260</v>
      </c>
      <c r="B35" s="5" t="s">
        <v>54</v>
      </c>
      <c r="C35" s="5" t="s">
        <v>38</v>
      </c>
      <c r="D35" s="5" t="s">
        <v>34</v>
      </c>
      <c r="E35" s="5" t="s">
        <v>41</v>
      </c>
      <c r="F35" s="5">
        <v>19</v>
      </c>
      <c r="G35" s="5">
        <v>54981</v>
      </c>
      <c r="H35" s="5">
        <v>10</v>
      </c>
      <c r="I35" s="6">
        <v>46040</v>
      </c>
      <c r="J35" s="6">
        <v>46045</v>
      </c>
      <c r="K35" s="5" t="s">
        <v>29</v>
      </c>
    </row>
    <row r="36" spans="1:11" ht="15" thickBot="1" x14ac:dyDescent="0.4">
      <c r="A36" s="5">
        <v>1103</v>
      </c>
      <c r="B36" s="5" t="s">
        <v>16</v>
      </c>
      <c r="C36" s="5" t="s">
        <v>12</v>
      </c>
      <c r="D36" s="5" t="s">
        <v>18</v>
      </c>
      <c r="E36" s="5" t="s">
        <v>23</v>
      </c>
      <c r="F36" s="5">
        <v>7</v>
      </c>
      <c r="G36" s="5">
        <v>11925</v>
      </c>
      <c r="H36" s="5">
        <v>5</v>
      </c>
      <c r="I36" s="6">
        <v>46040</v>
      </c>
      <c r="J36" s="6">
        <v>46041</v>
      </c>
      <c r="K36" s="5" t="s">
        <v>29</v>
      </c>
    </row>
    <row r="37" spans="1:11" ht="15" thickBot="1" x14ac:dyDescent="0.4">
      <c r="A37" s="5">
        <v>1135</v>
      </c>
      <c r="B37" s="5" t="s">
        <v>49</v>
      </c>
      <c r="C37" s="5" t="s">
        <v>43</v>
      </c>
      <c r="D37" s="5" t="s">
        <v>34</v>
      </c>
      <c r="E37" s="5" t="s">
        <v>39</v>
      </c>
      <c r="F37" s="5">
        <v>14</v>
      </c>
      <c r="G37" s="5">
        <v>68534</v>
      </c>
      <c r="H37" s="5">
        <v>0</v>
      </c>
      <c r="I37" s="6">
        <v>46041</v>
      </c>
      <c r="J37" s="6">
        <v>46042</v>
      </c>
      <c r="K37" s="5" t="s">
        <v>15</v>
      </c>
    </row>
    <row r="38" spans="1:11" ht="15" thickBot="1" x14ac:dyDescent="0.4">
      <c r="A38" s="5">
        <v>1228</v>
      </c>
      <c r="B38" s="5" t="s">
        <v>29</v>
      </c>
      <c r="C38" s="5" t="s">
        <v>25</v>
      </c>
      <c r="D38" s="5" t="s">
        <v>34</v>
      </c>
      <c r="E38" s="5" t="s">
        <v>45</v>
      </c>
      <c r="F38" s="5">
        <v>16</v>
      </c>
      <c r="G38" s="5">
        <v>17477</v>
      </c>
      <c r="H38" s="5">
        <v>10</v>
      </c>
      <c r="I38" s="6">
        <v>46041</v>
      </c>
      <c r="J38" s="6">
        <v>46043</v>
      </c>
      <c r="K38" s="5" t="s">
        <v>24</v>
      </c>
    </row>
    <row r="39" spans="1:11" ht="15" thickBot="1" x14ac:dyDescent="0.4">
      <c r="A39" s="5">
        <v>1313</v>
      </c>
      <c r="B39" s="5" t="s">
        <v>59</v>
      </c>
      <c r="C39" s="5" t="s">
        <v>22</v>
      </c>
      <c r="D39" s="5" t="s">
        <v>18</v>
      </c>
      <c r="E39" s="5" t="s">
        <v>56</v>
      </c>
      <c r="F39" s="5">
        <v>6</v>
      </c>
      <c r="G39" s="5">
        <v>10864</v>
      </c>
      <c r="H39" s="5">
        <v>10</v>
      </c>
      <c r="I39" s="6">
        <v>46041</v>
      </c>
      <c r="J39" s="6">
        <v>46049</v>
      </c>
      <c r="K39" s="5" t="s">
        <v>15</v>
      </c>
    </row>
    <row r="40" spans="1:11" ht="15" thickBot="1" x14ac:dyDescent="0.4">
      <c r="A40" s="5">
        <v>1208</v>
      </c>
      <c r="B40" s="5" t="s">
        <v>54</v>
      </c>
      <c r="C40" s="5" t="s">
        <v>43</v>
      </c>
      <c r="D40" s="5" t="s">
        <v>18</v>
      </c>
      <c r="E40" s="5" t="s">
        <v>44</v>
      </c>
      <c r="F40" s="5">
        <v>6</v>
      </c>
      <c r="G40" s="5">
        <v>7627</v>
      </c>
      <c r="H40" s="5">
        <v>10</v>
      </c>
      <c r="I40" s="6">
        <v>46042</v>
      </c>
      <c r="J40" s="6">
        <v>46047</v>
      </c>
      <c r="K40" s="5" t="s">
        <v>20</v>
      </c>
    </row>
    <row r="41" spans="1:11" ht="15" thickBot="1" x14ac:dyDescent="0.4">
      <c r="A41" s="5">
        <v>1165</v>
      </c>
      <c r="B41" s="5" t="s">
        <v>48</v>
      </c>
      <c r="C41" s="5" t="s">
        <v>25</v>
      </c>
      <c r="D41" s="5" t="s">
        <v>13</v>
      </c>
      <c r="E41" s="5" t="s">
        <v>37</v>
      </c>
      <c r="F41" s="5">
        <v>1</v>
      </c>
      <c r="G41" s="5">
        <v>427</v>
      </c>
      <c r="H41" s="5">
        <v>0</v>
      </c>
      <c r="I41" s="6">
        <v>46042</v>
      </c>
      <c r="J41" s="6">
        <v>46050</v>
      </c>
      <c r="K41" s="5" t="s">
        <v>51</v>
      </c>
    </row>
    <row r="42" spans="1:11" ht="15" thickBot="1" x14ac:dyDescent="0.4">
      <c r="A42" s="5">
        <v>1304</v>
      </c>
      <c r="B42" s="5" t="s">
        <v>59</v>
      </c>
      <c r="C42" s="5" t="s">
        <v>25</v>
      </c>
      <c r="D42" s="5" t="s">
        <v>13</v>
      </c>
      <c r="E42" s="5" t="s">
        <v>36</v>
      </c>
      <c r="F42" s="5">
        <v>20</v>
      </c>
      <c r="G42" s="5">
        <v>368</v>
      </c>
      <c r="H42" s="5">
        <v>7</v>
      </c>
      <c r="I42" s="6">
        <v>46042</v>
      </c>
      <c r="J42" s="6">
        <v>46051</v>
      </c>
      <c r="K42" s="5" t="s">
        <v>51</v>
      </c>
    </row>
    <row r="43" spans="1:11" ht="15" thickBot="1" x14ac:dyDescent="0.4">
      <c r="A43" s="5">
        <v>1141</v>
      </c>
      <c r="B43" s="5" t="s">
        <v>11</v>
      </c>
      <c r="C43" s="5" t="s">
        <v>17</v>
      </c>
      <c r="D43" s="5" t="s">
        <v>18</v>
      </c>
      <c r="E43" s="5" t="s">
        <v>44</v>
      </c>
      <c r="F43" s="5">
        <v>20</v>
      </c>
      <c r="G43" s="5">
        <v>6835</v>
      </c>
      <c r="H43" s="5">
        <v>2</v>
      </c>
      <c r="I43" s="6">
        <v>46043</v>
      </c>
      <c r="J43" s="6">
        <v>46053</v>
      </c>
      <c r="K43" s="5" t="s">
        <v>15</v>
      </c>
    </row>
    <row r="44" spans="1:11" ht="15" thickBot="1" x14ac:dyDescent="0.4">
      <c r="A44" s="5">
        <v>1389</v>
      </c>
      <c r="B44" s="5" t="s">
        <v>32</v>
      </c>
      <c r="C44" s="5" t="s">
        <v>12</v>
      </c>
      <c r="D44" s="5" t="s">
        <v>34</v>
      </c>
      <c r="E44" s="5" t="s">
        <v>41</v>
      </c>
      <c r="F44" s="5">
        <v>3</v>
      </c>
      <c r="G44" s="5">
        <v>56380</v>
      </c>
      <c r="H44" s="5">
        <v>5</v>
      </c>
      <c r="I44" s="6">
        <v>46044</v>
      </c>
      <c r="J44" s="6">
        <v>46048</v>
      </c>
      <c r="K44" s="5" t="s">
        <v>51</v>
      </c>
    </row>
    <row r="45" spans="1:11" ht="15" thickBot="1" x14ac:dyDescent="0.4">
      <c r="A45" s="5">
        <v>1226</v>
      </c>
      <c r="B45" s="5" t="s">
        <v>29</v>
      </c>
      <c r="C45" s="5" t="s">
        <v>31</v>
      </c>
      <c r="D45" s="5" t="s">
        <v>34</v>
      </c>
      <c r="E45" s="5" t="s">
        <v>41</v>
      </c>
      <c r="F45" s="5">
        <v>13</v>
      </c>
      <c r="G45" s="5">
        <v>21332</v>
      </c>
      <c r="H45" s="5">
        <v>0</v>
      </c>
      <c r="I45" s="6">
        <v>46044</v>
      </c>
      <c r="J45" s="6">
        <v>46048</v>
      </c>
      <c r="K45" s="5" t="s">
        <v>29</v>
      </c>
    </row>
    <row r="46" spans="1:11" ht="15" thickBot="1" x14ac:dyDescent="0.4">
      <c r="A46" s="5">
        <v>1128</v>
      </c>
      <c r="B46" s="5" t="s">
        <v>30</v>
      </c>
      <c r="C46" s="5" t="s">
        <v>22</v>
      </c>
      <c r="D46" s="5" t="s">
        <v>34</v>
      </c>
      <c r="E46" s="5" t="s">
        <v>61</v>
      </c>
      <c r="F46" s="5">
        <v>6</v>
      </c>
      <c r="G46" s="5">
        <v>5001</v>
      </c>
      <c r="H46" s="5">
        <v>7</v>
      </c>
      <c r="I46" s="6">
        <v>46044</v>
      </c>
      <c r="J46" s="6">
        <v>46050</v>
      </c>
      <c r="K46" s="5" t="s">
        <v>29</v>
      </c>
    </row>
    <row r="47" spans="1:11" ht="15" thickBot="1" x14ac:dyDescent="0.4">
      <c r="A47" s="5">
        <v>1197</v>
      </c>
      <c r="B47" s="5" t="s">
        <v>52</v>
      </c>
      <c r="C47" s="5" t="s">
        <v>31</v>
      </c>
      <c r="D47" s="5" t="s">
        <v>34</v>
      </c>
      <c r="E47" s="5" t="s">
        <v>35</v>
      </c>
      <c r="F47" s="5">
        <v>5</v>
      </c>
      <c r="G47" s="5">
        <v>45352</v>
      </c>
      <c r="H47" s="5">
        <v>12</v>
      </c>
      <c r="I47" s="6">
        <v>46045</v>
      </c>
      <c r="J47" s="6">
        <v>46048</v>
      </c>
      <c r="K47" s="5" t="s">
        <v>15</v>
      </c>
    </row>
    <row r="48" spans="1:11" ht="15" thickBot="1" x14ac:dyDescent="0.4">
      <c r="A48" s="5">
        <v>1076</v>
      </c>
      <c r="B48" s="5" t="s">
        <v>29</v>
      </c>
      <c r="C48" s="5" t="s">
        <v>17</v>
      </c>
      <c r="D48" s="5" t="s">
        <v>34</v>
      </c>
      <c r="E48" s="5" t="s">
        <v>35</v>
      </c>
      <c r="F48" s="5">
        <v>19</v>
      </c>
      <c r="G48" s="5">
        <v>26714</v>
      </c>
      <c r="H48" s="5">
        <v>5</v>
      </c>
      <c r="I48" s="6">
        <v>46045</v>
      </c>
      <c r="J48" s="6">
        <v>46055</v>
      </c>
      <c r="K48" s="5" t="s">
        <v>29</v>
      </c>
    </row>
    <row r="49" spans="1:11" ht="15" thickBot="1" x14ac:dyDescent="0.4">
      <c r="A49" s="5">
        <v>1224</v>
      </c>
      <c r="B49" s="5" t="s">
        <v>30</v>
      </c>
      <c r="C49" s="5" t="s">
        <v>38</v>
      </c>
      <c r="D49" s="5" t="s">
        <v>34</v>
      </c>
      <c r="E49" s="5" t="s">
        <v>45</v>
      </c>
      <c r="F49" s="5">
        <v>16</v>
      </c>
      <c r="G49" s="5">
        <v>18378</v>
      </c>
      <c r="H49" s="5">
        <v>10</v>
      </c>
      <c r="I49" s="6">
        <v>46045</v>
      </c>
      <c r="J49" s="6">
        <v>46052</v>
      </c>
      <c r="K49" s="5" t="s">
        <v>24</v>
      </c>
    </row>
    <row r="50" spans="1:11" ht="15" thickBot="1" x14ac:dyDescent="0.4">
      <c r="A50" s="5">
        <v>1293</v>
      </c>
      <c r="B50" s="5" t="s">
        <v>49</v>
      </c>
      <c r="C50" s="5" t="s">
        <v>43</v>
      </c>
      <c r="D50" s="5" t="s">
        <v>18</v>
      </c>
      <c r="E50" s="5" t="s">
        <v>23</v>
      </c>
      <c r="F50" s="5">
        <v>7</v>
      </c>
      <c r="G50" s="5">
        <v>11481</v>
      </c>
      <c r="H50" s="5">
        <v>15</v>
      </c>
      <c r="I50" s="6">
        <v>46045</v>
      </c>
      <c r="J50" s="6">
        <v>46050</v>
      </c>
      <c r="K50" s="5" t="s">
        <v>20</v>
      </c>
    </row>
    <row r="51" spans="1:11" ht="15" thickBot="1" x14ac:dyDescent="0.4">
      <c r="A51" s="5">
        <v>1086</v>
      </c>
      <c r="B51" s="5" t="s">
        <v>32</v>
      </c>
      <c r="C51" s="5" t="s">
        <v>12</v>
      </c>
      <c r="D51" s="5" t="s">
        <v>13</v>
      </c>
      <c r="E51" s="5" t="s">
        <v>53</v>
      </c>
      <c r="F51" s="5">
        <v>15</v>
      </c>
      <c r="G51" s="5">
        <v>40</v>
      </c>
      <c r="H51" s="5">
        <v>10</v>
      </c>
      <c r="I51" s="6">
        <v>46045</v>
      </c>
      <c r="J51" s="6">
        <v>46049</v>
      </c>
      <c r="K51" s="5" t="s">
        <v>24</v>
      </c>
    </row>
    <row r="52" spans="1:11" ht="15" thickBot="1" x14ac:dyDescent="0.4">
      <c r="A52" s="5">
        <v>1029</v>
      </c>
      <c r="B52" s="5" t="s">
        <v>30</v>
      </c>
      <c r="C52" s="5" t="s">
        <v>25</v>
      </c>
      <c r="D52" s="5" t="s">
        <v>13</v>
      </c>
      <c r="E52" s="5" t="s">
        <v>36</v>
      </c>
      <c r="F52" s="5">
        <v>18</v>
      </c>
      <c r="G52" s="5">
        <v>443</v>
      </c>
      <c r="H52" s="5">
        <v>5</v>
      </c>
      <c r="I52" s="6">
        <v>46046</v>
      </c>
      <c r="J52" s="6">
        <v>46054</v>
      </c>
      <c r="K52" s="5" t="s">
        <v>24</v>
      </c>
    </row>
    <row r="53" spans="1:11" ht="15" thickBot="1" x14ac:dyDescent="0.4">
      <c r="A53" s="5">
        <v>1366</v>
      </c>
      <c r="B53" s="5" t="s">
        <v>26</v>
      </c>
      <c r="C53" s="5" t="s">
        <v>17</v>
      </c>
      <c r="D53" s="5" t="s">
        <v>34</v>
      </c>
      <c r="E53" s="5" t="s">
        <v>61</v>
      </c>
      <c r="F53" s="5">
        <v>20</v>
      </c>
      <c r="G53" s="5">
        <v>44312</v>
      </c>
      <c r="H53" s="5">
        <v>10</v>
      </c>
      <c r="I53" s="6">
        <v>46047</v>
      </c>
      <c r="J53" s="6">
        <v>46054</v>
      </c>
      <c r="K53" s="5" t="s">
        <v>29</v>
      </c>
    </row>
    <row r="54" spans="1:11" ht="15" thickBot="1" x14ac:dyDescent="0.4">
      <c r="A54" s="5">
        <v>1393</v>
      </c>
      <c r="B54" s="5" t="s">
        <v>30</v>
      </c>
      <c r="C54" s="5" t="s">
        <v>25</v>
      </c>
      <c r="D54" s="5" t="s">
        <v>34</v>
      </c>
      <c r="E54" s="5" t="s">
        <v>45</v>
      </c>
      <c r="F54" s="5">
        <v>17</v>
      </c>
      <c r="G54" s="5">
        <v>30351</v>
      </c>
      <c r="H54" s="5">
        <v>15</v>
      </c>
      <c r="I54" s="6">
        <v>46047</v>
      </c>
      <c r="J54" s="6">
        <v>46051</v>
      </c>
      <c r="K54" s="5" t="s">
        <v>51</v>
      </c>
    </row>
    <row r="55" spans="1:11" ht="15" thickBot="1" x14ac:dyDescent="0.4">
      <c r="A55" s="5">
        <v>1084</v>
      </c>
      <c r="B55" s="5" t="s">
        <v>49</v>
      </c>
      <c r="C55" s="5" t="s">
        <v>31</v>
      </c>
      <c r="D55" s="5" t="s">
        <v>18</v>
      </c>
      <c r="E55" s="5" t="s">
        <v>28</v>
      </c>
      <c r="F55" s="5">
        <v>4</v>
      </c>
      <c r="G55" s="5">
        <v>6901</v>
      </c>
      <c r="H55" s="5">
        <v>10</v>
      </c>
      <c r="I55" s="6">
        <v>46047</v>
      </c>
      <c r="J55" s="6">
        <v>46057</v>
      </c>
      <c r="K55" s="5" t="s">
        <v>20</v>
      </c>
    </row>
    <row r="56" spans="1:11" ht="15" thickBot="1" x14ac:dyDescent="0.4">
      <c r="A56" s="5">
        <v>1385</v>
      </c>
      <c r="B56" s="5" t="s">
        <v>26</v>
      </c>
      <c r="C56" s="5" t="s">
        <v>33</v>
      </c>
      <c r="D56" s="5" t="s">
        <v>34</v>
      </c>
      <c r="E56" s="5" t="s">
        <v>39</v>
      </c>
      <c r="F56" s="5">
        <v>12</v>
      </c>
      <c r="G56" s="5">
        <v>61360</v>
      </c>
      <c r="H56" s="5">
        <v>10</v>
      </c>
      <c r="I56" s="6">
        <v>46048</v>
      </c>
      <c r="J56" s="6">
        <v>46053</v>
      </c>
      <c r="K56" s="5" t="s">
        <v>51</v>
      </c>
    </row>
    <row r="57" spans="1:11" ht="15" thickBot="1" x14ac:dyDescent="0.4">
      <c r="A57" s="5">
        <v>1176</v>
      </c>
      <c r="B57" s="5" t="s">
        <v>58</v>
      </c>
      <c r="C57" s="5" t="s">
        <v>38</v>
      </c>
      <c r="D57" s="5" t="s">
        <v>34</v>
      </c>
      <c r="E57" s="5" t="s">
        <v>41</v>
      </c>
      <c r="F57" s="5">
        <v>17</v>
      </c>
      <c r="G57" s="5">
        <v>46937</v>
      </c>
      <c r="H57" s="5">
        <v>12</v>
      </c>
      <c r="I57" s="6">
        <v>46048</v>
      </c>
      <c r="J57" s="6">
        <v>46056</v>
      </c>
      <c r="K57" s="5" t="s">
        <v>29</v>
      </c>
    </row>
    <row r="58" spans="1:11" ht="15" thickBot="1" x14ac:dyDescent="0.4">
      <c r="A58" s="5">
        <v>1307</v>
      </c>
      <c r="B58" s="5" t="s">
        <v>57</v>
      </c>
      <c r="C58" s="5" t="s">
        <v>43</v>
      </c>
      <c r="D58" s="5" t="s">
        <v>34</v>
      </c>
      <c r="E58" s="5" t="s">
        <v>35</v>
      </c>
      <c r="F58" s="5">
        <v>18</v>
      </c>
      <c r="G58" s="5">
        <v>7541</v>
      </c>
      <c r="H58" s="5">
        <v>12</v>
      </c>
      <c r="I58" s="6">
        <v>46048</v>
      </c>
      <c r="J58" s="6">
        <v>46051</v>
      </c>
      <c r="K58" s="5" t="s">
        <v>51</v>
      </c>
    </row>
    <row r="59" spans="1:11" ht="15" thickBot="1" x14ac:dyDescent="0.4">
      <c r="A59" s="5">
        <v>1348</v>
      </c>
      <c r="B59" s="5" t="s">
        <v>11</v>
      </c>
      <c r="C59" s="5" t="s">
        <v>33</v>
      </c>
      <c r="D59" s="5" t="s">
        <v>13</v>
      </c>
      <c r="E59" s="5" t="s">
        <v>50</v>
      </c>
      <c r="F59" s="5">
        <v>12</v>
      </c>
      <c r="G59" s="5">
        <v>244</v>
      </c>
      <c r="H59" s="5">
        <v>7</v>
      </c>
      <c r="I59" s="6">
        <v>46048</v>
      </c>
      <c r="J59" s="6">
        <v>46053</v>
      </c>
      <c r="K59" s="5" t="s">
        <v>15</v>
      </c>
    </row>
    <row r="60" spans="1:11" ht="15" thickBot="1" x14ac:dyDescent="0.4">
      <c r="A60" s="5">
        <v>1092</v>
      </c>
      <c r="B60" s="5" t="s">
        <v>21</v>
      </c>
      <c r="C60" s="5" t="s">
        <v>22</v>
      </c>
      <c r="D60" s="5" t="s">
        <v>34</v>
      </c>
      <c r="E60" s="5" t="s">
        <v>41</v>
      </c>
      <c r="F60" s="5">
        <v>9</v>
      </c>
      <c r="G60" s="5">
        <v>23438</v>
      </c>
      <c r="H60" s="5">
        <v>2</v>
      </c>
      <c r="I60" s="6">
        <v>46049</v>
      </c>
      <c r="J60" s="6">
        <v>46055</v>
      </c>
      <c r="K60" s="5" t="s">
        <v>29</v>
      </c>
    </row>
    <row r="61" spans="1:11" ht="15" thickBot="1" x14ac:dyDescent="0.4">
      <c r="A61" s="5">
        <v>1116</v>
      </c>
      <c r="B61" s="5" t="s">
        <v>16</v>
      </c>
      <c r="C61" s="5" t="s">
        <v>25</v>
      </c>
      <c r="D61" s="5" t="s">
        <v>18</v>
      </c>
      <c r="E61" s="5" t="s">
        <v>56</v>
      </c>
      <c r="F61" s="5">
        <v>2</v>
      </c>
      <c r="G61" s="5">
        <v>12692</v>
      </c>
      <c r="H61" s="5">
        <v>15</v>
      </c>
      <c r="I61" s="6">
        <v>46049</v>
      </c>
      <c r="J61" s="6">
        <v>46051</v>
      </c>
      <c r="K61" s="5" t="s">
        <v>15</v>
      </c>
    </row>
    <row r="62" spans="1:11" ht="15" thickBot="1" x14ac:dyDescent="0.4">
      <c r="A62" s="5">
        <v>1230</v>
      </c>
      <c r="B62" s="5" t="s">
        <v>59</v>
      </c>
      <c r="C62" s="5" t="s">
        <v>33</v>
      </c>
      <c r="D62" s="5" t="s">
        <v>34</v>
      </c>
      <c r="E62" s="5" t="s">
        <v>60</v>
      </c>
      <c r="F62" s="5">
        <v>7</v>
      </c>
      <c r="G62" s="5">
        <v>2932</v>
      </c>
      <c r="H62" s="5">
        <v>7</v>
      </c>
      <c r="I62" s="6">
        <v>46050</v>
      </c>
      <c r="J62" s="6">
        <v>46059</v>
      </c>
      <c r="K62" s="5" t="s">
        <v>24</v>
      </c>
    </row>
    <row r="63" spans="1:11" ht="15" thickBot="1" x14ac:dyDescent="0.4">
      <c r="A63" s="5">
        <v>1173</v>
      </c>
      <c r="B63" s="5" t="s">
        <v>40</v>
      </c>
      <c r="C63" s="5" t="s">
        <v>17</v>
      </c>
      <c r="D63" s="5" t="s">
        <v>13</v>
      </c>
      <c r="E63" s="5" t="s">
        <v>37</v>
      </c>
      <c r="F63" s="5">
        <v>15</v>
      </c>
      <c r="G63" s="5">
        <v>214</v>
      </c>
      <c r="H63" s="5">
        <v>10</v>
      </c>
      <c r="I63" s="6">
        <v>46050</v>
      </c>
      <c r="J63" s="6">
        <v>46060</v>
      </c>
      <c r="K63" s="5" t="s">
        <v>51</v>
      </c>
    </row>
    <row r="64" spans="1:11" ht="15" thickBot="1" x14ac:dyDescent="0.4">
      <c r="A64" s="5">
        <v>1250</v>
      </c>
      <c r="B64" s="5" t="s">
        <v>11</v>
      </c>
      <c r="C64" s="5" t="s">
        <v>17</v>
      </c>
      <c r="D64" s="5" t="s">
        <v>34</v>
      </c>
      <c r="E64" s="5" t="s">
        <v>45</v>
      </c>
      <c r="F64" s="5">
        <v>2</v>
      </c>
      <c r="G64" s="5">
        <v>65953</v>
      </c>
      <c r="H64" s="5">
        <v>7</v>
      </c>
      <c r="I64" s="6">
        <v>46051</v>
      </c>
      <c r="J64" s="6">
        <v>46053</v>
      </c>
      <c r="K64" s="5" t="s">
        <v>29</v>
      </c>
    </row>
    <row r="65" spans="1:11" ht="15" thickBot="1" x14ac:dyDescent="0.4">
      <c r="A65" s="5">
        <v>1375</v>
      </c>
      <c r="B65" s="5" t="s">
        <v>46</v>
      </c>
      <c r="C65" s="5" t="s">
        <v>43</v>
      </c>
      <c r="D65" s="5" t="s">
        <v>34</v>
      </c>
      <c r="E65" s="5" t="s">
        <v>45</v>
      </c>
      <c r="F65" s="5">
        <v>20</v>
      </c>
      <c r="G65" s="5">
        <v>56766</v>
      </c>
      <c r="H65" s="5">
        <v>0</v>
      </c>
      <c r="I65" s="6">
        <v>46052</v>
      </c>
      <c r="J65" s="6">
        <v>46061</v>
      </c>
      <c r="K65" s="5" t="s">
        <v>24</v>
      </c>
    </row>
    <row r="66" spans="1:11" ht="15" thickBot="1" x14ac:dyDescent="0.4">
      <c r="A66" s="5">
        <v>1190</v>
      </c>
      <c r="B66" s="5" t="s">
        <v>57</v>
      </c>
      <c r="C66" s="5" t="s">
        <v>17</v>
      </c>
      <c r="D66" s="5" t="s">
        <v>18</v>
      </c>
      <c r="E66" s="5" t="s">
        <v>28</v>
      </c>
      <c r="F66" s="5">
        <v>4</v>
      </c>
      <c r="G66" s="5">
        <v>10154</v>
      </c>
      <c r="H66" s="5">
        <v>7</v>
      </c>
      <c r="I66" s="6">
        <v>46052</v>
      </c>
      <c r="J66" s="6">
        <v>46062</v>
      </c>
      <c r="K66" s="5" t="s">
        <v>20</v>
      </c>
    </row>
    <row r="67" spans="1:11" ht="15" thickBot="1" x14ac:dyDescent="0.4">
      <c r="A67" s="5">
        <v>1034</v>
      </c>
      <c r="B67" s="5" t="s">
        <v>55</v>
      </c>
      <c r="C67" s="5" t="s">
        <v>33</v>
      </c>
      <c r="D67" s="5" t="s">
        <v>18</v>
      </c>
      <c r="E67" s="5" t="s">
        <v>28</v>
      </c>
      <c r="F67" s="5">
        <v>17</v>
      </c>
      <c r="G67" s="5">
        <v>5104</v>
      </c>
      <c r="H67" s="5">
        <v>12</v>
      </c>
      <c r="I67" s="6">
        <v>46052</v>
      </c>
      <c r="J67" s="6">
        <v>46061</v>
      </c>
      <c r="K67" s="5" t="s">
        <v>51</v>
      </c>
    </row>
    <row r="68" spans="1:11" ht="15" thickBot="1" x14ac:dyDescent="0.4">
      <c r="A68" s="5">
        <v>1210</v>
      </c>
      <c r="B68" s="5" t="s">
        <v>30</v>
      </c>
      <c r="C68" s="5" t="s">
        <v>31</v>
      </c>
      <c r="D68" s="5" t="s">
        <v>13</v>
      </c>
      <c r="E68" s="5" t="s">
        <v>53</v>
      </c>
      <c r="F68" s="5">
        <v>10</v>
      </c>
      <c r="G68" s="5">
        <v>349</v>
      </c>
      <c r="H68" s="5">
        <v>0</v>
      </c>
      <c r="I68" s="6">
        <v>46052</v>
      </c>
      <c r="J68" s="6">
        <v>46060</v>
      </c>
      <c r="K68" s="5" t="s">
        <v>29</v>
      </c>
    </row>
    <row r="69" spans="1:11" ht="15" thickBot="1" x14ac:dyDescent="0.4">
      <c r="A69" s="5">
        <v>1149</v>
      </c>
      <c r="B69" s="5" t="s">
        <v>26</v>
      </c>
      <c r="C69" s="5" t="s">
        <v>38</v>
      </c>
      <c r="D69" s="5" t="s">
        <v>34</v>
      </c>
      <c r="E69" s="5" t="s">
        <v>35</v>
      </c>
      <c r="F69" s="5">
        <v>10</v>
      </c>
      <c r="G69" s="5">
        <v>22853</v>
      </c>
      <c r="H69" s="5">
        <v>7</v>
      </c>
      <c r="I69" s="6">
        <v>46053</v>
      </c>
      <c r="J69" s="6">
        <v>46054</v>
      </c>
      <c r="K69" s="5" t="s">
        <v>29</v>
      </c>
    </row>
    <row r="70" spans="1:11" ht="15" thickBot="1" x14ac:dyDescent="0.4">
      <c r="A70" s="5">
        <v>1324</v>
      </c>
      <c r="B70" s="5" t="s">
        <v>32</v>
      </c>
      <c r="C70" s="5" t="s">
        <v>22</v>
      </c>
      <c r="D70" s="5" t="s">
        <v>18</v>
      </c>
      <c r="E70" s="5" t="s">
        <v>19</v>
      </c>
      <c r="F70" s="5">
        <v>1</v>
      </c>
      <c r="G70" s="5">
        <v>4286</v>
      </c>
      <c r="H70" s="5">
        <v>15</v>
      </c>
      <c r="I70" s="6">
        <v>46053</v>
      </c>
      <c r="J70" s="6">
        <v>46056</v>
      </c>
      <c r="K70" s="5" t="s">
        <v>20</v>
      </c>
    </row>
    <row r="71" spans="1:11" ht="15" thickBot="1" x14ac:dyDescent="0.4">
      <c r="A71" s="5">
        <v>1096</v>
      </c>
      <c r="B71" s="5" t="s">
        <v>49</v>
      </c>
      <c r="C71" s="5" t="s">
        <v>17</v>
      </c>
      <c r="D71" s="5" t="s">
        <v>18</v>
      </c>
      <c r="E71" s="5" t="s">
        <v>23</v>
      </c>
      <c r="F71" s="5">
        <v>15</v>
      </c>
      <c r="G71" s="5">
        <v>14724</v>
      </c>
      <c r="H71" s="5">
        <v>15</v>
      </c>
      <c r="I71" s="6">
        <v>46054</v>
      </c>
      <c r="J71" s="6">
        <v>46061</v>
      </c>
      <c r="K71" s="5" t="s">
        <v>20</v>
      </c>
    </row>
    <row r="72" spans="1:11" ht="15" thickBot="1" x14ac:dyDescent="0.4">
      <c r="A72" s="5">
        <v>1006</v>
      </c>
      <c r="B72" s="5" t="s">
        <v>27</v>
      </c>
      <c r="C72" s="5" t="s">
        <v>25</v>
      </c>
      <c r="D72" s="5" t="s">
        <v>18</v>
      </c>
      <c r="E72" s="5" t="s">
        <v>28</v>
      </c>
      <c r="F72" s="5">
        <v>3</v>
      </c>
      <c r="G72" s="5">
        <v>2714</v>
      </c>
      <c r="H72" s="5">
        <v>5</v>
      </c>
      <c r="I72" s="6">
        <v>46055</v>
      </c>
      <c r="J72" s="6">
        <v>46062</v>
      </c>
      <c r="K72" s="5" t="s">
        <v>29</v>
      </c>
    </row>
    <row r="73" spans="1:11" ht="15" thickBot="1" x14ac:dyDescent="0.4">
      <c r="A73" s="5">
        <v>1285</v>
      </c>
      <c r="B73" s="5" t="s">
        <v>32</v>
      </c>
      <c r="C73" s="5" t="s">
        <v>38</v>
      </c>
      <c r="D73" s="5" t="s">
        <v>13</v>
      </c>
      <c r="E73" s="5" t="s">
        <v>36</v>
      </c>
      <c r="F73" s="5">
        <v>7</v>
      </c>
      <c r="G73" s="5">
        <v>439</v>
      </c>
      <c r="H73" s="5">
        <v>15</v>
      </c>
      <c r="I73" s="6">
        <v>46055</v>
      </c>
      <c r="J73" s="6">
        <v>46058</v>
      </c>
      <c r="K73" s="5" t="s">
        <v>20</v>
      </c>
    </row>
    <row r="74" spans="1:11" ht="15" thickBot="1" x14ac:dyDescent="0.4">
      <c r="A74" s="5">
        <v>1281</v>
      </c>
      <c r="B74" s="5" t="s">
        <v>55</v>
      </c>
      <c r="C74" s="5" t="s">
        <v>17</v>
      </c>
      <c r="D74" s="5" t="s">
        <v>13</v>
      </c>
      <c r="E74" s="5" t="s">
        <v>50</v>
      </c>
      <c r="F74" s="5">
        <v>6</v>
      </c>
      <c r="G74" s="5">
        <v>253</v>
      </c>
      <c r="H74" s="5">
        <v>0</v>
      </c>
      <c r="I74" s="6">
        <v>46055</v>
      </c>
      <c r="J74" s="6">
        <v>46063</v>
      </c>
      <c r="K74" s="5" t="s">
        <v>24</v>
      </c>
    </row>
    <row r="75" spans="1:11" ht="15" thickBot="1" x14ac:dyDescent="0.4">
      <c r="A75" s="5">
        <v>1136</v>
      </c>
      <c r="B75" s="5" t="s">
        <v>27</v>
      </c>
      <c r="C75" s="5" t="s">
        <v>43</v>
      </c>
      <c r="D75" s="5" t="s">
        <v>18</v>
      </c>
      <c r="E75" s="5" t="s">
        <v>56</v>
      </c>
      <c r="F75" s="5">
        <v>19</v>
      </c>
      <c r="G75" s="5">
        <v>14528</v>
      </c>
      <c r="H75" s="5">
        <v>12</v>
      </c>
      <c r="I75" s="6">
        <v>46056</v>
      </c>
      <c r="J75" s="6">
        <v>46062</v>
      </c>
      <c r="K75" s="5" t="s">
        <v>24</v>
      </c>
    </row>
    <row r="76" spans="1:11" ht="15" thickBot="1" x14ac:dyDescent="0.4">
      <c r="A76" s="5">
        <v>1394</v>
      </c>
      <c r="B76" s="5" t="s">
        <v>54</v>
      </c>
      <c r="C76" s="5" t="s">
        <v>12</v>
      </c>
      <c r="D76" s="5" t="s">
        <v>13</v>
      </c>
      <c r="E76" s="5" t="s">
        <v>14</v>
      </c>
      <c r="F76" s="5">
        <v>10</v>
      </c>
      <c r="G76" s="5">
        <v>138</v>
      </c>
      <c r="H76" s="5">
        <v>2</v>
      </c>
      <c r="I76" s="6">
        <v>46056</v>
      </c>
      <c r="J76" s="6">
        <v>46057</v>
      </c>
      <c r="K76" s="5" t="s">
        <v>15</v>
      </c>
    </row>
    <row r="77" spans="1:11" ht="15" thickBot="1" x14ac:dyDescent="0.4">
      <c r="A77" s="5">
        <v>1105</v>
      </c>
      <c r="B77" s="5" t="s">
        <v>59</v>
      </c>
      <c r="C77" s="5" t="s">
        <v>25</v>
      </c>
      <c r="D77" s="5" t="s">
        <v>13</v>
      </c>
      <c r="E77" s="5" t="s">
        <v>50</v>
      </c>
      <c r="F77" s="5">
        <v>2</v>
      </c>
      <c r="G77" s="5">
        <v>493</v>
      </c>
      <c r="H77" s="5">
        <v>12</v>
      </c>
      <c r="I77" s="6">
        <v>46057</v>
      </c>
      <c r="J77" s="6">
        <v>46066</v>
      </c>
      <c r="K77" s="5" t="s">
        <v>51</v>
      </c>
    </row>
    <row r="78" spans="1:11" ht="15" thickBot="1" x14ac:dyDescent="0.4">
      <c r="A78" s="5">
        <v>1256</v>
      </c>
      <c r="B78" s="5" t="s">
        <v>48</v>
      </c>
      <c r="C78" s="5" t="s">
        <v>31</v>
      </c>
      <c r="D78" s="5" t="s">
        <v>13</v>
      </c>
      <c r="E78" s="5" t="s">
        <v>50</v>
      </c>
      <c r="F78" s="5">
        <v>19</v>
      </c>
      <c r="G78" s="5">
        <v>406</v>
      </c>
      <c r="H78" s="5">
        <v>7</v>
      </c>
      <c r="I78" s="6">
        <v>46057</v>
      </c>
      <c r="J78" s="6">
        <v>46061</v>
      </c>
      <c r="K78" s="5" t="s">
        <v>15</v>
      </c>
    </row>
    <row r="79" spans="1:11" ht="15" thickBot="1" x14ac:dyDescent="0.4">
      <c r="A79" s="5">
        <v>1081</v>
      </c>
      <c r="B79" s="5" t="s">
        <v>47</v>
      </c>
      <c r="C79" s="5" t="s">
        <v>12</v>
      </c>
      <c r="D79" s="5" t="s">
        <v>34</v>
      </c>
      <c r="E79" s="5" t="s">
        <v>35</v>
      </c>
      <c r="F79" s="5">
        <v>15</v>
      </c>
      <c r="G79" s="5">
        <v>59912</v>
      </c>
      <c r="H79" s="5">
        <v>7</v>
      </c>
      <c r="I79" s="6">
        <v>46058</v>
      </c>
      <c r="J79" s="6">
        <v>46060</v>
      </c>
      <c r="K79" s="5" t="s">
        <v>51</v>
      </c>
    </row>
    <row r="80" spans="1:11" ht="15" thickBot="1" x14ac:dyDescent="0.4">
      <c r="A80" s="5">
        <v>1067</v>
      </c>
      <c r="B80" s="5" t="s">
        <v>32</v>
      </c>
      <c r="C80" s="5" t="s">
        <v>43</v>
      </c>
      <c r="D80" s="5" t="s">
        <v>18</v>
      </c>
      <c r="E80" s="5" t="s">
        <v>56</v>
      </c>
      <c r="F80" s="5">
        <v>14</v>
      </c>
      <c r="G80" s="5">
        <v>10869</v>
      </c>
      <c r="H80" s="5">
        <v>0</v>
      </c>
      <c r="I80" s="6">
        <v>46058</v>
      </c>
      <c r="J80" s="6">
        <v>46062</v>
      </c>
      <c r="K80" s="5" t="s">
        <v>29</v>
      </c>
    </row>
    <row r="81" spans="1:11" ht="15" thickBot="1" x14ac:dyDescent="0.4">
      <c r="A81" s="5">
        <v>1099</v>
      </c>
      <c r="B81" s="5" t="s">
        <v>26</v>
      </c>
      <c r="C81" s="5" t="s">
        <v>31</v>
      </c>
      <c r="D81" s="5" t="s">
        <v>18</v>
      </c>
      <c r="E81" s="5" t="s">
        <v>19</v>
      </c>
      <c r="F81" s="5">
        <v>1</v>
      </c>
      <c r="G81" s="5">
        <v>5165</v>
      </c>
      <c r="H81" s="5">
        <v>2</v>
      </c>
      <c r="I81" s="6">
        <v>46058</v>
      </c>
      <c r="J81" s="6">
        <v>46060</v>
      </c>
      <c r="K81" s="5" t="s">
        <v>15</v>
      </c>
    </row>
    <row r="82" spans="1:11" ht="15" thickBot="1" x14ac:dyDescent="0.4">
      <c r="A82" s="5">
        <v>1061</v>
      </c>
      <c r="B82" s="5" t="s">
        <v>57</v>
      </c>
      <c r="C82" s="5" t="s">
        <v>12</v>
      </c>
      <c r="D82" s="5" t="s">
        <v>34</v>
      </c>
      <c r="E82" s="5" t="s">
        <v>41</v>
      </c>
      <c r="F82" s="5">
        <v>16</v>
      </c>
      <c r="G82" s="5">
        <v>59084</v>
      </c>
      <c r="H82" s="5">
        <v>0</v>
      </c>
      <c r="I82" s="6">
        <v>46060</v>
      </c>
      <c r="J82" s="6">
        <v>46069</v>
      </c>
      <c r="K82" s="5" t="s">
        <v>20</v>
      </c>
    </row>
    <row r="83" spans="1:11" ht="15" thickBot="1" x14ac:dyDescent="0.4">
      <c r="A83" s="5">
        <v>1232</v>
      </c>
      <c r="B83" s="5" t="s">
        <v>21</v>
      </c>
      <c r="C83" s="5" t="s">
        <v>12</v>
      </c>
      <c r="D83" s="5" t="s">
        <v>34</v>
      </c>
      <c r="E83" s="5" t="s">
        <v>60</v>
      </c>
      <c r="F83" s="5">
        <v>3</v>
      </c>
      <c r="G83" s="5">
        <v>13272</v>
      </c>
      <c r="H83" s="5">
        <v>2</v>
      </c>
      <c r="I83" s="6">
        <v>46060</v>
      </c>
      <c r="J83" s="6">
        <v>46065</v>
      </c>
      <c r="K83" s="5" t="s">
        <v>15</v>
      </c>
    </row>
    <row r="84" spans="1:11" ht="15" thickBot="1" x14ac:dyDescent="0.4">
      <c r="A84" s="5">
        <v>1104</v>
      </c>
      <c r="B84" s="5" t="s">
        <v>16</v>
      </c>
      <c r="C84" s="5" t="s">
        <v>43</v>
      </c>
      <c r="D84" s="5" t="s">
        <v>18</v>
      </c>
      <c r="E84" s="5" t="s">
        <v>19</v>
      </c>
      <c r="F84" s="5">
        <v>10</v>
      </c>
      <c r="G84" s="5">
        <v>12848</v>
      </c>
      <c r="H84" s="5">
        <v>15</v>
      </c>
      <c r="I84" s="6">
        <v>46060</v>
      </c>
      <c r="J84" s="6">
        <v>46064</v>
      </c>
      <c r="K84" s="5" t="s">
        <v>29</v>
      </c>
    </row>
    <row r="85" spans="1:11" ht="15" thickBot="1" x14ac:dyDescent="0.4">
      <c r="A85" s="5">
        <v>1140</v>
      </c>
      <c r="B85" s="5" t="s">
        <v>57</v>
      </c>
      <c r="C85" s="5" t="s">
        <v>38</v>
      </c>
      <c r="D85" s="5" t="s">
        <v>34</v>
      </c>
      <c r="E85" s="5" t="s">
        <v>41</v>
      </c>
      <c r="F85" s="5">
        <v>5</v>
      </c>
      <c r="G85" s="5">
        <v>68012</v>
      </c>
      <c r="H85" s="5">
        <v>5</v>
      </c>
      <c r="I85" s="6">
        <v>46061</v>
      </c>
      <c r="J85" s="6">
        <v>46065</v>
      </c>
      <c r="K85" s="5" t="s">
        <v>15</v>
      </c>
    </row>
    <row r="86" spans="1:11" ht="15" thickBot="1" x14ac:dyDescent="0.4">
      <c r="A86" s="5">
        <v>1120</v>
      </c>
      <c r="B86" s="5" t="s">
        <v>32</v>
      </c>
      <c r="C86" s="5" t="s">
        <v>38</v>
      </c>
      <c r="D86" s="5" t="s">
        <v>13</v>
      </c>
      <c r="E86" s="5" t="s">
        <v>36</v>
      </c>
      <c r="F86" s="5">
        <v>10</v>
      </c>
      <c r="G86" s="5">
        <v>438</v>
      </c>
      <c r="H86" s="5">
        <v>10</v>
      </c>
      <c r="I86" s="6">
        <v>46061</v>
      </c>
      <c r="J86" s="6">
        <v>46065</v>
      </c>
      <c r="K86" s="5" t="s">
        <v>51</v>
      </c>
    </row>
    <row r="87" spans="1:11" ht="15" thickBot="1" x14ac:dyDescent="0.4">
      <c r="A87" s="5">
        <v>1395</v>
      </c>
      <c r="B87" s="5" t="s">
        <v>54</v>
      </c>
      <c r="C87" s="5" t="s">
        <v>33</v>
      </c>
      <c r="D87" s="5" t="s">
        <v>18</v>
      </c>
      <c r="E87" s="5" t="s">
        <v>44</v>
      </c>
      <c r="F87" s="5">
        <v>18</v>
      </c>
      <c r="G87" s="5">
        <v>10402</v>
      </c>
      <c r="H87" s="5">
        <v>15</v>
      </c>
      <c r="I87" s="6">
        <v>46062</v>
      </c>
      <c r="J87" s="6">
        <v>46067</v>
      </c>
      <c r="K87" s="5" t="s">
        <v>29</v>
      </c>
    </row>
    <row r="88" spans="1:11" ht="15" thickBot="1" x14ac:dyDescent="0.4">
      <c r="A88" s="5">
        <v>1152</v>
      </c>
      <c r="B88" s="5" t="s">
        <v>27</v>
      </c>
      <c r="C88" s="5" t="s">
        <v>31</v>
      </c>
      <c r="D88" s="5" t="s">
        <v>34</v>
      </c>
      <c r="E88" s="5" t="s">
        <v>61</v>
      </c>
      <c r="F88" s="5">
        <v>14</v>
      </c>
      <c r="G88" s="5">
        <v>8150</v>
      </c>
      <c r="H88" s="5">
        <v>10</v>
      </c>
      <c r="I88" s="6">
        <v>46062</v>
      </c>
      <c r="J88" s="6">
        <v>46070</v>
      </c>
      <c r="K88" s="5" t="s">
        <v>15</v>
      </c>
    </row>
    <row r="89" spans="1:11" ht="15" thickBot="1" x14ac:dyDescent="0.4">
      <c r="A89" s="5">
        <v>1369</v>
      </c>
      <c r="B89" s="5" t="s">
        <v>57</v>
      </c>
      <c r="C89" s="5" t="s">
        <v>25</v>
      </c>
      <c r="D89" s="5" t="s">
        <v>18</v>
      </c>
      <c r="E89" s="5" t="s">
        <v>19</v>
      </c>
      <c r="F89" s="5">
        <v>19</v>
      </c>
      <c r="G89" s="5">
        <v>5840</v>
      </c>
      <c r="H89" s="5">
        <v>5</v>
      </c>
      <c r="I89" s="6">
        <v>46062</v>
      </c>
      <c r="J89" s="6">
        <v>46067</v>
      </c>
      <c r="K89" s="5" t="s">
        <v>15</v>
      </c>
    </row>
    <row r="90" spans="1:11" ht="15" thickBot="1" x14ac:dyDescent="0.4">
      <c r="A90" s="5">
        <v>1010</v>
      </c>
      <c r="B90" s="5" t="s">
        <v>11</v>
      </c>
      <c r="C90" s="5" t="s">
        <v>17</v>
      </c>
      <c r="D90" s="5" t="s">
        <v>13</v>
      </c>
      <c r="E90" s="5" t="s">
        <v>36</v>
      </c>
      <c r="F90" s="5">
        <v>14</v>
      </c>
      <c r="G90" s="5">
        <v>470</v>
      </c>
      <c r="H90" s="5">
        <v>5</v>
      </c>
      <c r="I90" s="6">
        <v>46062</v>
      </c>
      <c r="J90" s="6">
        <v>46068</v>
      </c>
      <c r="K90" s="5" t="s">
        <v>15</v>
      </c>
    </row>
    <row r="91" spans="1:11" ht="15" thickBot="1" x14ac:dyDescent="0.4">
      <c r="A91" s="5">
        <v>1374</v>
      </c>
      <c r="B91" s="5" t="s">
        <v>57</v>
      </c>
      <c r="C91" s="5" t="s">
        <v>33</v>
      </c>
      <c r="D91" s="5" t="s">
        <v>34</v>
      </c>
      <c r="E91" s="5" t="s">
        <v>35</v>
      </c>
      <c r="F91" s="5">
        <v>12</v>
      </c>
      <c r="G91" s="5">
        <v>66052</v>
      </c>
      <c r="H91" s="5">
        <v>2</v>
      </c>
      <c r="I91" s="6">
        <v>46063</v>
      </c>
      <c r="J91" s="6">
        <v>46066</v>
      </c>
      <c r="K91" s="5" t="s">
        <v>51</v>
      </c>
    </row>
    <row r="92" spans="1:11" ht="15" thickBot="1" x14ac:dyDescent="0.4">
      <c r="A92" s="5">
        <v>1296</v>
      </c>
      <c r="B92" s="5" t="s">
        <v>26</v>
      </c>
      <c r="C92" s="5" t="s">
        <v>38</v>
      </c>
      <c r="D92" s="5" t="s">
        <v>13</v>
      </c>
      <c r="E92" s="5" t="s">
        <v>50</v>
      </c>
      <c r="F92" s="5">
        <v>6</v>
      </c>
      <c r="G92" s="5">
        <v>201</v>
      </c>
      <c r="H92" s="5">
        <v>0</v>
      </c>
      <c r="I92" s="6">
        <v>46063</v>
      </c>
      <c r="J92" s="6">
        <v>46072</v>
      </c>
      <c r="K92" s="5" t="s">
        <v>51</v>
      </c>
    </row>
    <row r="93" spans="1:11" ht="15" thickBot="1" x14ac:dyDescent="0.4">
      <c r="A93" s="5">
        <v>1142</v>
      </c>
      <c r="B93" s="5" t="s">
        <v>40</v>
      </c>
      <c r="C93" s="5" t="s">
        <v>25</v>
      </c>
      <c r="D93" s="5" t="s">
        <v>34</v>
      </c>
      <c r="E93" s="5" t="s">
        <v>60</v>
      </c>
      <c r="F93" s="5">
        <v>9</v>
      </c>
      <c r="G93" s="5">
        <v>59788</v>
      </c>
      <c r="H93" s="5">
        <v>7</v>
      </c>
      <c r="I93" s="6">
        <v>46064</v>
      </c>
      <c r="J93" s="6">
        <v>46071</v>
      </c>
      <c r="K93" s="5" t="s">
        <v>29</v>
      </c>
    </row>
    <row r="94" spans="1:11" ht="15" thickBot="1" x14ac:dyDescent="0.4">
      <c r="A94" s="5">
        <v>1053</v>
      </c>
      <c r="B94" s="5" t="s">
        <v>16</v>
      </c>
      <c r="C94" s="5" t="s">
        <v>33</v>
      </c>
      <c r="D94" s="5" t="s">
        <v>18</v>
      </c>
      <c r="E94" s="5" t="s">
        <v>28</v>
      </c>
      <c r="F94" s="5">
        <v>1</v>
      </c>
      <c r="G94" s="5">
        <v>9749</v>
      </c>
      <c r="H94" s="5">
        <v>15</v>
      </c>
      <c r="I94" s="6">
        <v>46064</v>
      </c>
      <c r="J94" s="6">
        <v>46070</v>
      </c>
      <c r="K94" s="5" t="s">
        <v>24</v>
      </c>
    </row>
    <row r="95" spans="1:11" ht="15" thickBot="1" x14ac:dyDescent="0.4">
      <c r="A95" s="5">
        <v>1089</v>
      </c>
      <c r="B95" s="5" t="s">
        <v>46</v>
      </c>
      <c r="C95" s="5" t="s">
        <v>12</v>
      </c>
      <c r="D95" s="5" t="s">
        <v>34</v>
      </c>
      <c r="E95" s="5" t="s">
        <v>35</v>
      </c>
      <c r="F95" s="5">
        <v>10</v>
      </c>
      <c r="G95" s="5">
        <v>17041</v>
      </c>
      <c r="H95" s="5">
        <v>2</v>
      </c>
      <c r="I95" s="6">
        <v>46066</v>
      </c>
      <c r="J95" s="6">
        <v>46071</v>
      </c>
      <c r="K95" s="5" t="s">
        <v>24</v>
      </c>
    </row>
    <row r="96" spans="1:11" ht="15" thickBot="1" x14ac:dyDescent="0.4">
      <c r="A96" s="5">
        <v>1174</v>
      </c>
      <c r="B96" s="5" t="s">
        <v>58</v>
      </c>
      <c r="C96" s="5" t="s">
        <v>38</v>
      </c>
      <c r="D96" s="5" t="s">
        <v>13</v>
      </c>
      <c r="E96" s="5" t="s">
        <v>14</v>
      </c>
      <c r="F96" s="5">
        <v>13</v>
      </c>
      <c r="G96" s="5">
        <v>155</v>
      </c>
      <c r="H96" s="5">
        <v>2</v>
      </c>
      <c r="I96" s="6">
        <v>46066</v>
      </c>
      <c r="J96" s="6">
        <v>46069</v>
      </c>
      <c r="K96" s="5" t="s">
        <v>24</v>
      </c>
    </row>
    <row r="97" spans="1:11" ht="15" thickBot="1" x14ac:dyDescent="0.4">
      <c r="A97" s="5">
        <v>1114</v>
      </c>
      <c r="B97" s="5" t="s">
        <v>16</v>
      </c>
      <c r="C97" s="5" t="s">
        <v>25</v>
      </c>
      <c r="D97" s="5" t="s">
        <v>13</v>
      </c>
      <c r="E97" s="5" t="s">
        <v>50</v>
      </c>
      <c r="F97" s="5">
        <v>13</v>
      </c>
      <c r="G97" s="5">
        <v>32</v>
      </c>
      <c r="H97" s="5">
        <v>15</v>
      </c>
      <c r="I97" s="6">
        <v>46066</v>
      </c>
      <c r="J97" s="6">
        <v>46069</v>
      </c>
      <c r="K97" s="5" t="s">
        <v>15</v>
      </c>
    </row>
    <row r="98" spans="1:11" ht="15" thickBot="1" x14ac:dyDescent="0.4">
      <c r="A98" s="5">
        <v>1057</v>
      </c>
      <c r="B98" s="5" t="s">
        <v>59</v>
      </c>
      <c r="C98" s="5" t="s">
        <v>22</v>
      </c>
      <c r="D98" s="5" t="s">
        <v>18</v>
      </c>
      <c r="E98" s="5" t="s">
        <v>28</v>
      </c>
      <c r="F98" s="5">
        <v>2</v>
      </c>
      <c r="G98" s="5">
        <v>9531</v>
      </c>
      <c r="H98" s="5">
        <v>15</v>
      </c>
      <c r="I98" s="6">
        <v>46067</v>
      </c>
      <c r="J98" s="6">
        <v>46076</v>
      </c>
      <c r="K98" s="5" t="s">
        <v>51</v>
      </c>
    </row>
    <row r="99" spans="1:11" ht="15" thickBot="1" x14ac:dyDescent="0.4">
      <c r="A99" s="5">
        <v>1088</v>
      </c>
      <c r="B99" s="5" t="s">
        <v>40</v>
      </c>
      <c r="C99" s="5" t="s">
        <v>33</v>
      </c>
      <c r="D99" s="5" t="s">
        <v>34</v>
      </c>
      <c r="E99" s="5" t="s">
        <v>41</v>
      </c>
      <c r="F99" s="5">
        <v>20</v>
      </c>
      <c r="G99" s="5">
        <v>41165</v>
      </c>
      <c r="H99" s="5">
        <v>0</v>
      </c>
      <c r="I99" s="6">
        <v>46068</v>
      </c>
      <c r="J99" s="6">
        <v>46069</v>
      </c>
      <c r="K99" s="5" t="s">
        <v>20</v>
      </c>
    </row>
    <row r="100" spans="1:11" ht="15" thickBot="1" x14ac:dyDescent="0.4">
      <c r="A100" s="5">
        <v>1243</v>
      </c>
      <c r="B100" s="5" t="s">
        <v>30</v>
      </c>
      <c r="C100" s="5" t="s">
        <v>31</v>
      </c>
      <c r="D100" s="5" t="s">
        <v>34</v>
      </c>
      <c r="E100" s="5" t="s">
        <v>41</v>
      </c>
      <c r="F100" s="5">
        <v>5</v>
      </c>
      <c r="G100" s="5">
        <v>11570</v>
      </c>
      <c r="H100" s="5">
        <v>15</v>
      </c>
      <c r="I100" s="6">
        <v>46069</v>
      </c>
      <c r="J100" s="6">
        <v>46077</v>
      </c>
      <c r="K100" s="5" t="s">
        <v>24</v>
      </c>
    </row>
    <row r="101" spans="1:11" ht="15" thickBot="1" x14ac:dyDescent="0.4">
      <c r="A101" s="5">
        <v>1153</v>
      </c>
      <c r="B101" s="5" t="s">
        <v>42</v>
      </c>
      <c r="C101" s="5" t="s">
        <v>25</v>
      </c>
      <c r="D101" s="5" t="s">
        <v>18</v>
      </c>
      <c r="E101" s="5" t="s">
        <v>23</v>
      </c>
      <c r="F101" s="5">
        <v>19</v>
      </c>
      <c r="G101" s="5">
        <v>10273</v>
      </c>
      <c r="H101" s="5">
        <v>12</v>
      </c>
      <c r="I101" s="6">
        <v>46069</v>
      </c>
      <c r="J101" s="6">
        <v>46072</v>
      </c>
      <c r="K101" s="5" t="s">
        <v>29</v>
      </c>
    </row>
    <row r="102" spans="1:11" ht="15" thickBot="1" x14ac:dyDescent="0.4">
      <c r="A102" s="5">
        <v>1365</v>
      </c>
      <c r="B102" s="5" t="s">
        <v>46</v>
      </c>
      <c r="C102" s="5" t="s">
        <v>33</v>
      </c>
      <c r="D102" s="5" t="s">
        <v>13</v>
      </c>
      <c r="E102" s="5" t="s">
        <v>50</v>
      </c>
      <c r="F102" s="5">
        <v>17</v>
      </c>
      <c r="G102" s="5">
        <v>119</v>
      </c>
      <c r="H102" s="5">
        <v>7</v>
      </c>
      <c r="I102" s="6">
        <v>46070</v>
      </c>
      <c r="J102" s="6">
        <v>46072</v>
      </c>
      <c r="K102" s="5" t="s">
        <v>20</v>
      </c>
    </row>
    <row r="103" spans="1:11" ht="15" thickBot="1" x14ac:dyDescent="0.4">
      <c r="A103" s="5">
        <v>1036</v>
      </c>
      <c r="B103" s="5" t="s">
        <v>11</v>
      </c>
      <c r="C103" s="5" t="s">
        <v>25</v>
      </c>
      <c r="D103" s="5" t="s">
        <v>13</v>
      </c>
      <c r="E103" s="5" t="s">
        <v>36</v>
      </c>
      <c r="F103" s="5">
        <v>20</v>
      </c>
      <c r="G103" s="5">
        <v>161</v>
      </c>
      <c r="H103" s="5">
        <v>7</v>
      </c>
      <c r="I103" s="6">
        <v>46071</v>
      </c>
      <c r="J103" s="6">
        <v>46077</v>
      </c>
      <c r="K103" s="5" t="s">
        <v>24</v>
      </c>
    </row>
    <row r="104" spans="1:11" ht="15" thickBot="1" x14ac:dyDescent="0.4">
      <c r="A104" s="5">
        <v>1371</v>
      </c>
      <c r="B104" s="5" t="s">
        <v>48</v>
      </c>
      <c r="C104" s="5" t="s">
        <v>38</v>
      </c>
      <c r="D104" s="5" t="s">
        <v>18</v>
      </c>
      <c r="E104" s="5" t="s">
        <v>19</v>
      </c>
      <c r="F104" s="5">
        <v>19</v>
      </c>
      <c r="G104" s="5">
        <v>1087</v>
      </c>
      <c r="H104" s="5">
        <v>15</v>
      </c>
      <c r="I104" s="6">
        <v>46072</v>
      </c>
      <c r="J104" s="6">
        <v>46082</v>
      </c>
      <c r="K104" s="5" t="s">
        <v>20</v>
      </c>
    </row>
    <row r="105" spans="1:11" ht="15" thickBot="1" x14ac:dyDescent="0.4">
      <c r="A105" s="5">
        <v>1323</v>
      </c>
      <c r="B105" s="5" t="s">
        <v>57</v>
      </c>
      <c r="C105" s="5" t="s">
        <v>38</v>
      </c>
      <c r="D105" s="5" t="s">
        <v>34</v>
      </c>
      <c r="E105" s="5" t="s">
        <v>61</v>
      </c>
      <c r="F105" s="5">
        <v>2</v>
      </c>
      <c r="G105" s="5">
        <v>32074</v>
      </c>
      <c r="H105" s="5">
        <v>10</v>
      </c>
      <c r="I105" s="6">
        <v>46073</v>
      </c>
      <c r="J105" s="6">
        <v>46078</v>
      </c>
      <c r="K105" s="5" t="s">
        <v>15</v>
      </c>
    </row>
    <row r="106" spans="1:11" ht="15" thickBot="1" x14ac:dyDescent="0.4">
      <c r="A106" s="5">
        <v>1253</v>
      </c>
      <c r="B106" s="5" t="s">
        <v>21</v>
      </c>
      <c r="C106" s="5" t="s">
        <v>31</v>
      </c>
      <c r="D106" s="5" t="s">
        <v>34</v>
      </c>
      <c r="E106" s="5" t="s">
        <v>45</v>
      </c>
      <c r="F106" s="5">
        <v>20</v>
      </c>
      <c r="G106" s="5">
        <v>47880</v>
      </c>
      <c r="H106" s="5">
        <v>7</v>
      </c>
      <c r="I106" s="6">
        <v>46074</v>
      </c>
      <c r="J106" s="6">
        <v>46075</v>
      </c>
      <c r="K106" s="5" t="s">
        <v>29</v>
      </c>
    </row>
    <row r="107" spans="1:11" ht="15" thickBot="1" x14ac:dyDescent="0.4">
      <c r="A107" s="5">
        <v>1384</v>
      </c>
      <c r="B107" s="5" t="s">
        <v>59</v>
      </c>
      <c r="C107" s="5" t="s">
        <v>12</v>
      </c>
      <c r="D107" s="5" t="s">
        <v>34</v>
      </c>
      <c r="E107" s="5" t="s">
        <v>39</v>
      </c>
      <c r="F107" s="5">
        <v>15</v>
      </c>
      <c r="G107" s="5">
        <v>38116</v>
      </c>
      <c r="H107" s="5">
        <v>0</v>
      </c>
      <c r="I107" s="6">
        <v>46074</v>
      </c>
      <c r="J107" s="6">
        <v>46078</v>
      </c>
      <c r="K107" s="5" t="s">
        <v>29</v>
      </c>
    </row>
    <row r="108" spans="1:11" ht="15" thickBot="1" x14ac:dyDescent="0.4">
      <c r="A108" s="5">
        <v>1378</v>
      </c>
      <c r="B108" s="5" t="s">
        <v>55</v>
      </c>
      <c r="C108" s="5" t="s">
        <v>22</v>
      </c>
      <c r="D108" s="5" t="s">
        <v>34</v>
      </c>
      <c r="E108" s="5" t="s">
        <v>45</v>
      </c>
      <c r="F108" s="5">
        <v>15</v>
      </c>
      <c r="G108" s="5">
        <v>22693</v>
      </c>
      <c r="H108" s="5">
        <v>12</v>
      </c>
      <c r="I108" s="6">
        <v>46074</v>
      </c>
      <c r="J108" s="6">
        <v>46080</v>
      </c>
      <c r="K108" s="5" t="s">
        <v>51</v>
      </c>
    </row>
    <row r="109" spans="1:11" ht="15" thickBot="1" x14ac:dyDescent="0.4">
      <c r="A109" s="5">
        <v>1058</v>
      </c>
      <c r="B109" s="5" t="s">
        <v>52</v>
      </c>
      <c r="C109" s="5" t="s">
        <v>38</v>
      </c>
      <c r="D109" s="5" t="s">
        <v>18</v>
      </c>
      <c r="E109" s="5" t="s">
        <v>28</v>
      </c>
      <c r="F109" s="5">
        <v>10</v>
      </c>
      <c r="G109" s="5">
        <v>5532</v>
      </c>
      <c r="H109" s="5">
        <v>7</v>
      </c>
      <c r="I109" s="6">
        <v>46074</v>
      </c>
      <c r="J109" s="6">
        <v>46084</v>
      </c>
      <c r="K109" s="5" t="s">
        <v>24</v>
      </c>
    </row>
    <row r="110" spans="1:11" ht="15" thickBot="1" x14ac:dyDescent="0.4">
      <c r="A110" s="5">
        <v>1337</v>
      </c>
      <c r="B110" s="5" t="s">
        <v>16</v>
      </c>
      <c r="C110" s="5" t="s">
        <v>12</v>
      </c>
      <c r="D110" s="5" t="s">
        <v>13</v>
      </c>
      <c r="E110" s="5" t="s">
        <v>53</v>
      </c>
      <c r="F110" s="5">
        <v>14</v>
      </c>
      <c r="G110" s="5">
        <v>373</v>
      </c>
      <c r="H110" s="5">
        <v>10</v>
      </c>
      <c r="I110" s="6">
        <v>46074</v>
      </c>
      <c r="J110" s="6">
        <v>46080</v>
      </c>
      <c r="K110" s="5" t="s">
        <v>29</v>
      </c>
    </row>
    <row r="111" spans="1:11" ht="15" thickBot="1" x14ac:dyDescent="0.4">
      <c r="A111" s="5">
        <v>1201</v>
      </c>
      <c r="B111" s="5" t="s">
        <v>54</v>
      </c>
      <c r="C111" s="5" t="s">
        <v>31</v>
      </c>
      <c r="D111" s="5" t="s">
        <v>13</v>
      </c>
      <c r="E111" s="5" t="s">
        <v>53</v>
      </c>
      <c r="F111" s="5">
        <v>18</v>
      </c>
      <c r="G111" s="5">
        <v>139</v>
      </c>
      <c r="H111" s="5">
        <v>12</v>
      </c>
      <c r="I111" s="6">
        <v>46075</v>
      </c>
      <c r="J111" s="6">
        <v>46076</v>
      </c>
      <c r="K111" s="5" t="s">
        <v>20</v>
      </c>
    </row>
    <row r="112" spans="1:11" ht="15" thickBot="1" x14ac:dyDescent="0.4">
      <c r="A112" s="5">
        <v>1082</v>
      </c>
      <c r="B112" s="5" t="s">
        <v>21</v>
      </c>
      <c r="C112" s="5" t="s">
        <v>12</v>
      </c>
      <c r="D112" s="5" t="s">
        <v>13</v>
      </c>
      <c r="E112" s="5" t="s">
        <v>14</v>
      </c>
      <c r="F112" s="5">
        <v>7</v>
      </c>
      <c r="G112" s="5">
        <v>133</v>
      </c>
      <c r="H112" s="5">
        <v>10</v>
      </c>
      <c r="I112" s="6">
        <v>46075</v>
      </c>
      <c r="J112" s="6">
        <v>46085</v>
      </c>
      <c r="K112" s="5" t="s">
        <v>51</v>
      </c>
    </row>
    <row r="113" spans="1:11" ht="15" thickBot="1" x14ac:dyDescent="0.4">
      <c r="A113" s="5">
        <v>1325</v>
      </c>
      <c r="B113" s="5" t="s">
        <v>48</v>
      </c>
      <c r="C113" s="5" t="s">
        <v>43</v>
      </c>
      <c r="D113" s="5" t="s">
        <v>34</v>
      </c>
      <c r="E113" s="5" t="s">
        <v>39</v>
      </c>
      <c r="F113" s="5">
        <v>9</v>
      </c>
      <c r="G113" s="5">
        <v>58442</v>
      </c>
      <c r="H113" s="5">
        <v>12</v>
      </c>
      <c r="I113" s="6">
        <v>46076</v>
      </c>
      <c r="J113" s="6">
        <v>46085</v>
      </c>
      <c r="K113" s="5" t="s">
        <v>20</v>
      </c>
    </row>
    <row r="114" spans="1:11" ht="15" thickBot="1" x14ac:dyDescent="0.4">
      <c r="A114" s="5">
        <v>1107</v>
      </c>
      <c r="B114" s="5" t="s">
        <v>52</v>
      </c>
      <c r="C114" s="5" t="s">
        <v>17</v>
      </c>
      <c r="D114" s="5" t="s">
        <v>34</v>
      </c>
      <c r="E114" s="5" t="s">
        <v>60</v>
      </c>
      <c r="F114" s="5">
        <v>4</v>
      </c>
      <c r="G114" s="5">
        <v>14291</v>
      </c>
      <c r="H114" s="5">
        <v>2</v>
      </c>
      <c r="I114" s="6">
        <v>46076</v>
      </c>
      <c r="J114" s="6">
        <v>46078</v>
      </c>
      <c r="K114" s="5" t="s">
        <v>15</v>
      </c>
    </row>
    <row r="115" spans="1:11" ht="15" thickBot="1" x14ac:dyDescent="0.4">
      <c r="A115" s="5">
        <v>1390</v>
      </c>
      <c r="B115" s="5" t="s">
        <v>58</v>
      </c>
      <c r="C115" s="5" t="s">
        <v>43</v>
      </c>
      <c r="D115" s="5" t="s">
        <v>18</v>
      </c>
      <c r="E115" s="5" t="s">
        <v>19</v>
      </c>
      <c r="F115" s="5">
        <v>9</v>
      </c>
      <c r="G115" s="5">
        <v>7670</v>
      </c>
      <c r="H115" s="5">
        <v>0</v>
      </c>
      <c r="I115" s="6">
        <v>46076</v>
      </c>
      <c r="J115" s="6">
        <v>46081</v>
      </c>
      <c r="K115" s="5" t="s">
        <v>51</v>
      </c>
    </row>
    <row r="116" spans="1:11" ht="15" thickBot="1" x14ac:dyDescent="0.4">
      <c r="A116" s="5">
        <v>1113</v>
      </c>
      <c r="B116" s="5" t="s">
        <v>26</v>
      </c>
      <c r="C116" s="5" t="s">
        <v>43</v>
      </c>
      <c r="D116" s="5" t="s">
        <v>18</v>
      </c>
      <c r="E116" s="5" t="s">
        <v>56</v>
      </c>
      <c r="F116" s="5">
        <v>13</v>
      </c>
      <c r="G116" s="5">
        <v>6719</v>
      </c>
      <c r="H116" s="5">
        <v>15</v>
      </c>
      <c r="I116" s="6">
        <v>46076</v>
      </c>
      <c r="J116" s="6">
        <v>46081</v>
      </c>
      <c r="K116" s="5" t="s">
        <v>24</v>
      </c>
    </row>
    <row r="117" spans="1:11" ht="15" thickBot="1" x14ac:dyDescent="0.4">
      <c r="A117" s="5">
        <v>1070</v>
      </c>
      <c r="B117" s="5" t="s">
        <v>52</v>
      </c>
      <c r="C117" s="5" t="s">
        <v>43</v>
      </c>
      <c r="D117" s="5" t="s">
        <v>13</v>
      </c>
      <c r="E117" s="5" t="s">
        <v>36</v>
      </c>
      <c r="F117" s="5">
        <v>10</v>
      </c>
      <c r="G117" s="5">
        <v>233</v>
      </c>
      <c r="H117" s="5">
        <v>7</v>
      </c>
      <c r="I117" s="6">
        <v>46076</v>
      </c>
      <c r="J117" s="6">
        <v>46077</v>
      </c>
      <c r="K117" s="5" t="s">
        <v>29</v>
      </c>
    </row>
    <row r="118" spans="1:11" ht="15" thickBot="1" x14ac:dyDescent="0.4">
      <c r="A118" s="5">
        <v>1157</v>
      </c>
      <c r="B118" s="5" t="s">
        <v>52</v>
      </c>
      <c r="C118" s="5" t="s">
        <v>33</v>
      </c>
      <c r="D118" s="5" t="s">
        <v>13</v>
      </c>
      <c r="E118" s="5" t="s">
        <v>50</v>
      </c>
      <c r="F118" s="5">
        <v>3</v>
      </c>
      <c r="G118" s="5">
        <v>203</v>
      </c>
      <c r="H118" s="5">
        <v>15</v>
      </c>
      <c r="I118" s="6">
        <v>46076</v>
      </c>
      <c r="J118" s="6">
        <v>46080</v>
      </c>
      <c r="K118" s="5" t="s">
        <v>29</v>
      </c>
    </row>
    <row r="119" spans="1:11" ht="15" thickBot="1" x14ac:dyDescent="0.4">
      <c r="A119" s="5">
        <v>1110</v>
      </c>
      <c r="B119" s="5" t="s">
        <v>49</v>
      </c>
      <c r="C119" s="5" t="s">
        <v>38</v>
      </c>
      <c r="D119" s="5" t="s">
        <v>18</v>
      </c>
      <c r="E119" s="5" t="s">
        <v>23</v>
      </c>
      <c r="F119" s="5">
        <v>14</v>
      </c>
      <c r="G119" s="5">
        <v>6793</v>
      </c>
      <c r="H119" s="5">
        <v>7</v>
      </c>
      <c r="I119" s="6">
        <v>46077</v>
      </c>
      <c r="J119" s="6">
        <v>46082</v>
      </c>
      <c r="K119" s="5" t="s">
        <v>29</v>
      </c>
    </row>
    <row r="120" spans="1:11" ht="15" thickBot="1" x14ac:dyDescent="0.4">
      <c r="A120" s="5">
        <v>1223</v>
      </c>
      <c r="B120" s="5" t="s">
        <v>59</v>
      </c>
      <c r="C120" s="5" t="s">
        <v>17</v>
      </c>
      <c r="D120" s="5" t="s">
        <v>18</v>
      </c>
      <c r="E120" s="5" t="s">
        <v>23</v>
      </c>
      <c r="F120" s="5">
        <v>4</v>
      </c>
      <c r="G120" s="5">
        <v>2249</v>
      </c>
      <c r="H120" s="5">
        <v>7</v>
      </c>
      <c r="I120" s="6">
        <v>46077</v>
      </c>
      <c r="J120" s="6">
        <v>46084</v>
      </c>
      <c r="K120" s="5" t="s">
        <v>15</v>
      </c>
    </row>
    <row r="121" spans="1:11" ht="15" thickBot="1" x14ac:dyDescent="0.4">
      <c r="A121" s="5">
        <v>1055</v>
      </c>
      <c r="B121" s="5" t="s">
        <v>48</v>
      </c>
      <c r="C121" s="5" t="s">
        <v>12</v>
      </c>
      <c r="D121" s="5" t="s">
        <v>13</v>
      </c>
      <c r="E121" s="5" t="s">
        <v>37</v>
      </c>
      <c r="F121" s="5">
        <v>18</v>
      </c>
      <c r="G121" s="5">
        <v>185</v>
      </c>
      <c r="H121" s="5">
        <v>15</v>
      </c>
      <c r="I121" s="6">
        <v>46077</v>
      </c>
      <c r="J121" s="6">
        <v>46078</v>
      </c>
      <c r="K121" s="5" t="s">
        <v>15</v>
      </c>
    </row>
    <row r="122" spans="1:11" ht="15" thickBot="1" x14ac:dyDescent="0.4">
      <c r="A122" s="5">
        <v>1272</v>
      </c>
      <c r="B122" s="5" t="s">
        <v>52</v>
      </c>
      <c r="C122" s="5" t="s">
        <v>38</v>
      </c>
      <c r="D122" s="5" t="s">
        <v>34</v>
      </c>
      <c r="E122" s="5" t="s">
        <v>41</v>
      </c>
      <c r="F122" s="5">
        <v>13</v>
      </c>
      <c r="G122" s="5">
        <v>42179</v>
      </c>
      <c r="H122" s="5">
        <v>0</v>
      </c>
      <c r="I122" s="6">
        <v>46078</v>
      </c>
      <c r="J122" s="6">
        <v>46084</v>
      </c>
      <c r="K122" s="5" t="s">
        <v>20</v>
      </c>
    </row>
    <row r="123" spans="1:11" ht="15" thickBot="1" x14ac:dyDescent="0.4">
      <c r="A123" s="5">
        <v>1316</v>
      </c>
      <c r="B123" s="5" t="s">
        <v>46</v>
      </c>
      <c r="C123" s="5" t="s">
        <v>12</v>
      </c>
      <c r="D123" s="5" t="s">
        <v>18</v>
      </c>
      <c r="E123" s="5" t="s">
        <v>28</v>
      </c>
      <c r="F123" s="5">
        <v>7</v>
      </c>
      <c r="G123" s="5">
        <v>9838</v>
      </c>
      <c r="H123" s="5">
        <v>7</v>
      </c>
      <c r="I123" s="6">
        <v>46078</v>
      </c>
      <c r="J123" s="6">
        <v>46085</v>
      </c>
      <c r="K123" s="5" t="s">
        <v>20</v>
      </c>
    </row>
    <row r="124" spans="1:11" ht="15" thickBot="1" x14ac:dyDescent="0.4">
      <c r="A124" s="5">
        <v>1020</v>
      </c>
      <c r="B124" s="5" t="s">
        <v>46</v>
      </c>
      <c r="C124" s="5" t="s">
        <v>12</v>
      </c>
      <c r="D124" s="5" t="s">
        <v>18</v>
      </c>
      <c r="E124" s="5" t="s">
        <v>19</v>
      </c>
      <c r="F124" s="5">
        <v>5</v>
      </c>
      <c r="G124" s="5">
        <v>4582</v>
      </c>
      <c r="H124" s="5">
        <v>5</v>
      </c>
      <c r="I124" s="6">
        <v>46078</v>
      </c>
      <c r="J124" s="6">
        <v>46083</v>
      </c>
      <c r="K124" s="5" t="s">
        <v>15</v>
      </c>
    </row>
    <row r="125" spans="1:11" ht="15" thickBot="1" x14ac:dyDescent="0.4">
      <c r="A125" s="5">
        <v>1349</v>
      </c>
      <c r="B125" s="5" t="s">
        <v>40</v>
      </c>
      <c r="C125" s="5" t="s">
        <v>33</v>
      </c>
      <c r="D125" s="5" t="s">
        <v>34</v>
      </c>
      <c r="E125" s="5" t="s">
        <v>35</v>
      </c>
      <c r="F125" s="5">
        <v>20</v>
      </c>
      <c r="G125" s="5">
        <v>62721</v>
      </c>
      <c r="H125" s="5">
        <v>7</v>
      </c>
      <c r="I125" s="6">
        <v>46079</v>
      </c>
      <c r="J125" s="6">
        <v>46083</v>
      </c>
      <c r="K125" s="5" t="s">
        <v>20</v>
      </c>
    </row>
    <row r="126" spans="1:11" ht="15" thickBot="1" x14ac:dyDescent="0.4">
      <c r="A126" s="5">
        <v>1158</v>
      </c>
      <c r="B126" s="5" t="s">
        <v>26</v>
      </c>
      <c r="C126" s="5" t="s">
        <v>38</v>
      </c>
      <c r="D126" s="5" t="s">
        <v>34</v>
      </c>
      <c r="E126" s="5" t="s">
        <v>41</v>
      </c>
      <c r="F126" s="5">
        <v>13</v>
      </c>
      <c r="G126" s="5">
        <v>12518</v>
      </c>
      <c r="H126" s="5">
        <v>2</v>
      </c>
      <c r="I126" s="6">
        <v>46079</v>
      </c>
      <c r="J126" s="6">
        <v>46082</v>
      </c>
      <c r="K126" s="5" t="s">
        <v>51</v>
      </c>
    </row>
    <row r="127" spans="1:11" ht="15" thickBot="1" x14ac:dyDescent="0.4">
      <c r="A127" s="5">
        <v>1163</v>
      </c>
      <c r="B127" s="5" t="s">
        <v>29</v>
      </c>
      <c r="C127" s="5" t="s">
        <v>38</v>
      </c>
      <c r="D127" s="5" t="s">
        <v>34</v>
      </c>
      <c r="E127" s="5" t="s">
        <v>39</v>
      </c>
      <c r="F127" s="5">
        <v>9</v>
      </c>
      <c r="G127" s="5">
        <v>62440</v>
      </c>
      <c r="H127" s="5">
        <v>2</v>
      </c>
      <c r="I127" s="6">
        <v>46081</v>
      </c>
      <c r="J127" s="6">
        <v>46086</v>
      </c>
      <c r="K127" s="5" t="s">
        <v>29</v>
      </c>
    </row>
    <row r="128" spans="1:11" ht="15" thickBot="1" x14ac:dyDescent="0.4">
      <c r="A128" s="5">
        <v>1042</v>
      </c>
      <c r="B128" s="5" t="s">
        <v>46</v>
      </c>
      <c r="C128" s="5" t="s">
        <v>33</v>
      </c>
      <c r="D128" s="5" t="s">
        <v>13</v>
      </c>
      <c r="E128" s="5" t="s">
        <v>53</v>
      </c>
      <c r="F128" s="5">
        <v>16</v>
      </c>
      <c r="G128" s="5">
        <v>232</v>
      </c>
      <c r="H128" s="5">
        <v>0</v>
      </c>
      <c r="I128" s="6">
        <v>46081</v>
      </c>
      <c r="J128" s="6">
        <v>46088</v>
      </c>
      <c r="K128" s="5" t="s">
        <v>29</v>
      </c>
    </row>
    <row r="129" spans="1:11" ht="15" thickBot="1" x14ac:dyDescent="0.4">
      <c r="A129" s="5">
        <v>1001</v>
      </c>
      <c r="B129" s="5" t="s">
        <v>11</v>
      </c>
      <c r="C129" s="5" t="s">
        <v>12</v>
      </c>
      <c r="D129" s="5" t="s">
        <v>13</v>
      </c>
      <c r="E129" s="5" t="s">
        <v>14</v>
      </c>
      <c r="F129" s="5">
        <v>3</v>
      </c>
      <c r="G129" s="5">
        <v>222</v>
      </c>
      <c r="H129" s="5">
        <v>15</v>
      </c>
      <c r="I129" s="6">
        <v>46081</v>
      </c>
      <c r="J129" s="6">
        <v>46083</v>
      </c>
      <c r="K129" s="5" t="s">
        <v>15</v>
      </c>
    </row>
    <row r="130" spans="1:11" ht="15" thickBot="1" x14ac:dyDescent="0.4">
      <c r="A130" s="5">
        <v>1202</v>
      </c>
      <c r="B130" s="5" t="s">
        <v>57</v>
      </c>
      <c r="C130" s="5" t="s">
        <v>22</v>
      </c>
      <c r="D130" s="5" t="s">
        <v>34</v>
      </c>
      <c r="E130" s="5" t="s">
        <v>35</v>
      </c>
      <c r="F130" s="5">
        <v>2</v>
      </c>
      <c r="G130" s="5">
        <v>20312</v>
      </c>
      <c r="H130" s="5">
        <v>12</v>
      </c>
      <c r="I130" s="6">
        <v>46082</v>
      </c>
      <c r="J130" s="6">
        <v>46091</v>
      </c>
      <c r="K130" s="5" t="s">
        <v>15</v>
      </c>
    </row>
    <row r="131" spans="1:11" ht="15" thickBot="1" x14ac:dyDescent="0.4">
      <c r="A131" s="5">
        <v>1066</v>
      </c>
      <c r="B131" s="5" t="s">
        <v>47</v>
      </c>
      <c r="C131" s="5" t="s">
        <v>25</v>
      </c>
      <c r="D131" s="5" t="s">
        <v>18</v>
      </c>
      <c r="E131" s="5" t="s">
        <v>44</v>
      </c>
      <c r="F131" s="5">
        <v>15</v>
      </c>
      <c r="G131" s="5">
        <v>11987</v>
      </c>
      <c r="H131" s="5">
        <v>5</v>
      </c>
      <c r="I131" s="6">
        <v>46082</v>
      </c>
      <c r="J131" s="6">
        <v>46083</v>
      </c>
      <c r="K131" s="5" t="s">
        <v>15</v>
      </c>
    </row>
    <row r="132" spans="1:11" ht="15" thickBot="1" x14ac:dyDescent="0.4">
      <c r="A132" s="5">
        <v>1033</v>
      </c>
      <c r="B132" s="5" t="s">
        <v>11</v>
      </c>
      <c r="C132" s="5" t="s">
        <v>43</v>
      </c>
      <c r="D132" s="5" t="s">
        <v>18</v>
      </c>
      <c r="E132" s="5" t="s">
        <v>19</v>
      </c>
      <c r="F132" s="5">
        <v>9</v>
      </c>
      <c r="G132" s="5">
        <v>4895</v>
      </c>
      <c r="H132" s="5">
        <v>2</v>
      </c>
      <c r="I132" s="6">
        <v>46082</v>
      </c>
      <c r="J132" s="6">
        <v>46084</v>
      </c>
      <c r="K132" s="5" t="s">
        <v>29</v>
      </c>
    </row>
    <row r="133" spans="1:11" ht="15" thickBot="1" x14ac:dyDescent="0.4">
      <c r="A133" s="5">
        <v>1284</v>
      </c>
      <c r="B133" s="5" t="s">
        <v>40</v>
      </c>
      <c r="C133" s="5" t="s">
        <v>25</v>
      </c>
      <c r="D133" s="5" t="s">
        <v>13</v>
      </c>
      <c r="E133" s="5" t="s">
        <v>37</v>
      </c>
      <c r="F133" s="5">
        <v>16</v>
      </c>
      <c r="G133" s="5">
        <v>419</v>
      </c>
      <c r="H133" s="5">
        <v>2</v>
      </c>
      <c r="I133" s="6">
        <v>46082</v>
      </c>
      <c r="J133" s="6">
        <v>46090</v>
      </c>
      <c r="K133" s="5" t="s">
        <v>15</v>
      </c>
    </row>
    <row r="134" spans="1:11" ht="15" thickBot="1" x14ac:dyDescent="0.4">
      <c r="A134" s="5">
        <v>1017</v>
      </c>
      <c r="B134" s="5" t="s">
        <v>46</v>
      </c>
      <c r="C134" s="5" t="s">
        <v>38</v>
      </c>
      <c r="D134" s="5" t="s">
        <v>13</v>
      </c>
      <c r="E134" s="5" t="s">
        <v>36</v>
      </c>
      <c r="F134" s="5">
        <v>8</v>
      </c>
      <c r="G134" s="5">
        <v>179</v>
      </c>
      <c r="H134" s="5">
        <v>15</v>
      </c>
      <c r="I134" s="6">
        <v>46082</v>
      </c>
      <c r="J134" s="6">
        <v>46084</v>
      </c>
      <c r="K134" s="5" t="s">
        <v>15</v>
      </c>
    </row>
    <row r="135" spans="1:11" ht="15" thickBot="1" x14ac:dyDescent="0.4">
      <c r="A135" s="5">
        <v>1271</v>
      </c>
      <c r="B135" s="5" t="s">
        <v>40</v>
      </c>
      <c r="C135" s="5" t="s">
        <v>33</v>
      </c>
      <c r="D135" s="5" t="s">
        <v>34</v>
      </c>
      <c r="E135" s="5" t="s">
        <v>60</v>
      </c>
      <c r="F135" s="5">
        <v>20</v>
      </c>
      <c r="G135" s="5">
        <v>36941</v>
      </c>
      <c r="H135" s="5">
        <v>15</v>
      </c>
      <c r="I135" s="6">
        <v>46083</v>
      </c>
      <c r="J135" s="6">
        <v>46085</v>
      </c>
      <c r="K135" s="5" t="s">
        <v>29</v>
      </c>
    </row>
    <row r="136" spans="1:11" ht="15" thickBot="1" x14ac:dyDescent="0.4">
      <c r="A136" s="5">
        <v>1298</v>
      </c>
      <c r="B136" s="5" t="s">
        <v>21</v>
      </c>
      <c r="C136" s="5" t="s">
        <v>12</v>
      </c>
      <c r="D136" s="5" t="s">
        <v>34</v>
      </c>
      <c r="E136" s="5" t="s">
        <v>61</v>
      </c>
      <c r="F136" s="5">
        <v>19</v>
      </c>
      <c r="G136" s="5">
        <v>20745</v>
      </c>
      <c r="H136" s="5">
        <v>2</v>
      </c>
      <c r="I136" s="6">
        <v>46083</v>
      </c>
      <c r="J136" s="6">
        <v>46093</v>
      </c>
      <c r="K136" s="5" t="s">
        <v>24</v>
      </c>
    </row>
    <row r="137" spans="1:11" ht="15" thickBot="1" x14ac:dyDescent="0.4">
      <c r="A137" s="5">
        <v>1078</v>
      </c>
      <c r="B137" s="5" t="s">
        <v>52</v>
      </c>
      <c r="C137" s="5" t="s">
        <v>17</v>
      </c>
      <c r="D137" s="5" t="s">
        <v>34</v>
      </c>
      <c r="E137" s="5" t="s">
        <v>39</v>
      </c>
      <c r="F137" s="5">
        <v>11</v>
      </c>
      <c r="G137" s="5">
        <v>24278</v>
      </c>
      <c r="H137" s="5">
        <v>12</v>
      </c>
      <c r="I137" s="6">
        <v>46084</v>
      </c>
      <c r="J137" s="6">
        <v>46090</v>
      </c>
      <c r="K137" s="5" t="s">
        <v>29</v>
      </c>
    </row>
    <row r="138" spans="1:11" ht="15" thickBot="1" x14ac:dyDescent="0.4">
      <c r="A138" s="5">
        <v>1138</v>
      </c>
      <c r="B138" s="5" t="s">
        <v>55</v>
      </c>
      <c r="C138" s="5" t="s">
        <v>43</v>
      </c>
      <c r="D138" s="5" t="s">
        <v>18</v>
      </c>
      <c r="E138" s="5" t="s">
        <v>19</v>
      </c>
      <c r="F138" s="5">
        <v>5</v>
      </c>
      <c r="G138" s="5">
        <v>14466</v>
      </c>
      <c r="H138" s="5">
        <v>2</v>
      </c>
      <c r="I138" s="6">
        <v>46084</v>
      </c>
      <c r="J138" s="6">
        <v>46092</v>
      </c>
      <c r="K138" s="5" t="s">
        <v>51</v>
      </c>
    </row>
    <row r="139" spans="1:11" ht="15" thickBot="1" x14ac:dyDescent="0.4">
      <c r="A139" s="5">
        <v>1280</v>
      </c>
      <c r="B139" s="5" t="s">
        <v>59</v>
      </c>
      <c r="C139" s="5" t="s">
        <v>38</v>
      </c>
      <c r="D139" s="5" t="s">
        <v>13</v>
      </c>
      <c r="E139" s="5" t="s">
        <v>53</v>
      </c>
      <c r="F139" s="5">
        <v>9</v>
      </c>
      <c r="G139" s="5">
        <v>50</v>
      </c>
      <c r="H139" s="5">
        <v>7</v>
      </c>
      <c r="I139" s="6">
        <v>46085</v>
      </c>
      <c r="J139" s="6">
        <v>46095</v>
      </c>
      <c r="K139" s="5" t="s">
        <v>51</v>
      </c>
    </row>
    <row r="140" spans="1:11" ht="15" thickBot="1" x14ac:dyDescent="0.4">
      <c r="A140" s="5">
        <v>1012</v>
      </c>
      <c r="B140" s="5" t="s">
        <v>26</v>
      </c>
      <c r="C140" s="5" t="s">
        <v>38</v>
      </c>
      <c r="D140" s="5" t="s">
        <v>34</v>
      </c>
      <c r="E140" s="5" t="s">
        <v>39</v>
      </c>
      <c r="F140" s="5">
        <v>3</v>
      </c>
      <c r="G140" s="5">
        <v>64615</v>
      </c>
      <c r="H140" s="5">
        <v>10</v>
      </c>
      <c r="I140" s="6">
        <v>46086</v>
      </c>
      <c r="J140" s="6">
        <v>46095</v>
      </c>
      <c r="K140" s="5" t="s">
        <v>29</v>
      </c>
    </row>
    <row r="141" spans="1:11" ht="15" thickBot="1" x14ac:dyDescent="0.4">
      <c r="A141" s="5">
        <v>1336</v>
      </c>
      <c r="B141" s="5" t="s">
        <v>16</v>
      </c>
      <c r="C141" s="5" t="s">
        <v>25</v>
      </c>
      <c r="D141" s="5" t="s">
        <v>18</v>
      </c>
      <c r="E141" s="5" t="s">
        <v>56</v>
      </c>
      <c r="F141" s="5">
        <v>10</v>
      </c>
      <c r="G141" s="5">
        <v>5624</v>
      </c>
      <c r="H141" s="5">
        <v>0</v>
      </c>
      <c r="I141" s="6">
        <v>46086</v>
      </c>
      <c r="J141" s="6">
        <v>46092</v>
      </c>
      <c r="K141" s="5" t="s">
        <v>29</v>
      </c>
    </row>
    <row r="142" spans="1:11" ht="15" thickBot="1" x14ac:dyDescent="0.4">
      <c r="A142" s="5">
        <v>1277</v>
      </c>
      <c r="B142" s="5" t="s">
        <v>59</v>
      </c>
      <c r="C142" s="5" t="s">
        <v>17</v>
      </c>
      <c r="D142" s="5" t="s">
        <v>13</v>
      </c>
      <c r="E142" s="5" t="s">
        <v>36</v>
      </c>
      <c r="F142" s="5">
        <v>14</v>
      </c>
      <c r="G142" s="5">
        <v>276</v>
      </c>
      <c r="H142" s="5">
        <v>0</v>
      </c>
      <c r="I142" s="6">
        <v>46086</v>
      </c>
      <c r="J142" s="6">
        <v>46089</v>
      </c>
      <c r="K142" s="5" t="s">
        <v>15</v>
      </c>
    </row>
    <row r="143" spans="1:11" ht="15" thickBot="1" x14ac:dyDescent="0.4">
      <c r="A143" s="5">
        <v>1090</v>
      </c>
      <c r="B143" s="5" t="s">
        <v>49</v>
      </c>
      <c r="C143" s="5" t="s">
        <v>31</v>
      </c>
      <c r="D143" s="5" t="s">
        <v>34</v>
      </c>
      <c r="E143" s="5" t="s">
        <v>45</v>
      </c>
      <c r="F143" s="5">
        <v>19</v>
      </c>
      <c r="G143" s="5">
        <v>66139</v>
      </c>
      <c r="H143" s="5">
        <v>5</v>
      </c>
      <c r="I143" s="6">
        <v>46088</v>
      </c>
      <c r="J143" s="6">
        <v>46095</v>
      </c>
      <c r="K143" s="5" t="s">
        <v>24</v>
      </c>
    </row>
    <row r="144" spans="1:11" ht="15" thickBot="1" x14ac:dyDescent="0.4">
      <c r="A144" s="5">
        <v>1175</v>
      </c>
      <c r="B144" s="5" t="s">
        <v>26</v>
      </c>
      <c r="C144" s="5" t="s">
        <v>17</v>
      </c>
      <c r="D144" s="5" t="s">
        <v>34</v>
      </c>
      <c r="E144" s="5" t="s">
        <v>41</v>
      </c>
      <c r="F144" s="5">
        <v>10</v>
      </c>
      <c r="G144" s="5">
        <v>20339</v>
      </c>
      <c r="H144" s="5">
        <v>2</v>
      </c>
      <c r="I144" s="6">
        <v>46088</v>
      </c>
      <c r="J144" s="6">
        <v>46094</v>
      </c>
      <c r="K144" s="5" t="s">
        <v>20</v>
      </c>
    </row>
    <row r="145" spans="1:11" ht="15" thickBot="1" x14ac:dyDescent="0.4">
      <c r="A145" s="5">
        <v>1097</v>
      </c>
      <c r="B145" s="5" t="s">
        <v>52</v>
      </c>
      <c r="C145" s="5" t="s">
        <v>22</v>
      </c>
      <c r="D145" s="5" t="s">
        <v>34</v>
      </c>
      <c r="E145" s="5" t="s">
        <v>61</v>
      </c>
      <c r="F145" s="5">
        <v>10</v>
      </c>
      <c r="G145" s="5">
        <v>28980</v>
      </c>
      <c r="H145" s="5">
        <v>10</v>
      </c>
      <c r="I145" s="6">
        <v>46089</v>
      </c>
      <c r="J145" s="6">
        <v>46094</v>
      </c>
      <c r="K145" s="5" t="s">
        <v>24</v>
      </c>
    </row>
    <row r="146" spans="1:11" ht="15" thickBot="1" x14ac:dyDescent="0.4">
      <c r="A146" s="5">
        <v>1381</v>
      </c>
      <c r="B146" s="5" t="s">
        <v>55</v>
      </c>
      <c r="C146" s="5" t="s">
        <v>33</v>
      </c>
      <c r="D146" s="5" t="s">
        <v>18</v>
      </c>
      <c r="E146" s="5" t="s">
        <v>28</v>
      </c>
      <c r="F146" s="5">
        <v>5</v>
      </c>
      <c r="G146" s="5">
        <v>7484</v>
      </c>
      <c r="H146" s="5">
        <v>2</v>
      </c>
      <c r="I146" s="6">
        <v>46089</v>
      </c>
      <c r="J146" s="6">
        <v>46093</v>
      </c>
      <c r="K146" s="5" t="s">
        <v>20</v>
      </c>
    </row>
    <row r="147" spans="1:11" ht="15" thickBot="1" x14ac:dyDescent="0.4">
      <c r="A147" s="5">
        <v>1018</v>
      </c>
      <c r="B147" s="5" t="s">
        <v>47</v>
      </c>
      <c r="C147" s="5" t="s">
        <v>25</v>
      </c>
      <c r="D147" s="5" t="s">
        <v>13</v>
      </c>
      <c r="E147" s="5" t="s">
        <v>14</v>
      </c>
      <c r="F147" s="5">
        <v>20</v>
      </c>
      <c r="G147" s="5">
        <v>301</v>
      </c>
      <c r="H147" s="5">
        <v>0</v>
      </c>
      <c r="I147" s="6">
        <v>46089</v>
      </c>
      <c r="J147" s="6">
        <v>46094</v>
      </c>
      <c r="K147" s="5" t="s">
        <v>29</v>
      </c>
    </row>
    <row r="148" spans="1:11" ht="15" thickBot="1" x14ac:dyDescent="0.4">
      <c r="A148" s="5">
        <v>1031</v>
      </c>
      <c r="B148" s="5" t="s">
        <v>54</v>
      </c>
      <c r="C148" s="5" t="s">
        <v>31</v>
      </c>
      <c r="D148" s="5" t="s">
        <v>13</v>
      </c>
      <c r="E148" s="5" t="s">
        <v>53</v>
      </c>
      <c r="F148" s="5">
        <v>2</v>
      </c>
      <c r="G148" s="5">
        <v>184</v>
      </c>
      <c r="H148" s="5">
        <v>5</v>
      </c>
      <c r="I148" s="6">
        <v>46089</v>
      </c>
      <c r="J148" s="6">
        <v>46093</v>
      </c>
      <c r="K148" s="5" t="s">
        <v>20</v>
      </c>
    </row>
    <row r="149" spans="1:11" ht="15" thickBot="1" x14ac:dyDescent="0.4">
      <c r="A149" s="5">
        <v>1399</v>
      </c>
      <c r="B149" s="5" t="s">
        <v>48</v>
      </c>
      <c r="C149" s="5" t="s">
        <v>31</v>
      </c>
      <c r="D149" s="5" t="s">
        <v>13</v>
      </c>
      <c r="E149" s="5" t="s">
        <v>14</v>
      </c>
      <c r="F149" s="5">
        <v>15</v>
      </c>
      <c r="G149" s="5">
        <v>87</v>
      </c>
      <c r="H149" s="5">
        <v>15</v>
      </c>
      <c r="I149" s="6">
        <v>46089</v>
      </c>
      <c r="J149" s="6">
        <v>46093</v>
      </c>
      <c r="K149" s="5" t="s">
        <v>20</v>
      </c>
    </row>
    <row r="150" spans="1:11" ht="15" thickBot="1" x14ac:dyDescent="0.4">
      <c r="A150" s="5">
        <v>1192</v>
      </c>
      <c r="B150" s="5" t="s">
        <v>21</v>
      </c>
      <c r="C150" s="5" t="s">
        <v>33</v>
      </c>
      <c r="D150" s="5" t="s">
        <v>13</v>
      </c>
      <c r="E150" s="5" t="s">
        <v>53</v>
      </c>
      <c r="F150" s="5">
        <v>18</v>
      </c>
      <c r="G150" s="5">
        <v>49</v>
      </c>
      <c r="H150" s="5">
        <v>12</v>
      </c>
      <c r="I150" s="6">
        <v>46089</v>
      </c>
      <c r="J150" s="6">
        <v>46095</v>
      </c>
      <c r="K150" s="5" t="s">
        <v>24</v>
      </c>
    </row>
    <row r="151" spans="1:11" ht="15" thickBot="1" x14ac:dyDescent="0.4">
      <c r="A151" s="5">
        <v>1400</v>
      </c>
      <c r="B151" s="5" t="s">
        <v>40</v>
      </c>
      <c r="C151" s="5" t="s">
        <v>22</v>
      </c>
      <c r="D151" s="5" t="s">
        <v>34</v>
      </c>
      <c r="E151" s="5" t="s">
        <v>35</v>
      </c>
      <c r="F151" s="5">
        <v>13</v>
      </c>
      <c r="G151" s="5">
        <v>52411</v>
      </c>
      <c r="H151" s="5">
        <v>15</v>
      </c>
      <c r="I151" s="6">
        <v>46090</v>
      </c>
      <c r="J151" s="6">
        <v>46092</v>
      </c>
      <c r="K151" s="5" t="s">
        <v>20</v>
      </c>
    </row>
    <row r="152" spans="1:11" ht="15" thickBot="1" x14ac:dyDescent="0.4">
      <c r="A152" s="5">
        <v>1112</v>
      </c>
      <c r="B152" s="5" t="s">
        <v>21</v>
      </c>
      <c r="C152" s="5" t="s">
        <v>43</v>
      </c>
      <c r="D152" s="5" t="s">
        <v>18</v>
      </c>
      <c r="E152" s="5" t="s">
        <v>44</v>
      </c>
      <c r="F152" s="5">
        <v>7</v>
      </c>
      <c r="G152" s="5">
        <v>1959</v>
      </c>
      <c r="H152" s="5">
        <v>15</v>
      </c>
      <c r="I152" s="6">
        <v>46090</v>
      </c>
      <c r="J152" s="6">
        <v>46100</v>
      </c>
      <c r="K152" s="5" t="s">
        <v>15</v>
      </c>
    </row>
    <row r="153" spans="1:11" ht="15" thickBot="1" x14ac:dyDescent="0.4">
      <c r="A153" s="5">
        <v>1043</v>
      </c>
      <c r="B153" s="5" t="s">
        <v>49</v>
      </c>
      <c r="C153" s="5" t="s">
        <v>38</v>
      </c>
      <c r="D153" s="5" t="s">
        <v>34</v>
      </c>
      <c r="E153" s="5" t="s">
        <v>35</v>
      </c>
      <c r="F153" s="5">
        <v>20</v>
      </c>
      <c r="G153" s="5">
        <v>46093</v>
      </c>
      <c r="H153" s="5">
        <v>5</v>
      </c>
      <c r="I153" s="6">
        <v>46091</v>
      </c>
      <c r="J153" s="6">
        <v>46098</v>
      </c>
      <c r="K153" s="5" t="s">
        <v>29</v>
      </c>
    </row>
    <row r="154" spans="1:11" ht="15" thickBot="1" x14ac:dyDescent="0.4">
      <c r="A154" s="5">
        <v>1255</v>
      </c>
      <c r="B154" s="5" t="s">
        <v>32</v>
      </c>
      <c r="C154" s="5" t="s">
        <v>17</v>
      </c>
      <c r="D154" s="5" t="s">
        <v>18</v>
      </c>
      <c r="E154" s="5" t="s">
        <v>19</v>
      </c>
      <c r="F154" s="5">
        <v>1</v>
      </c>
      <c r="G154" s="5">
        <v>2240</v>
      </c>
      <c r="H154" s="5">
        <v>5</v>
      </c>
      <c r="I154" s="6">
        <v>46091</v>
      </c>
      <c r="J154" s="6">
        <v>46095</v>
      </c>
      <c r="K154" s="5" t="s">
        <v>20</v>
      </c>
    </row>
    <row r="155" spans="1:11" ht="15" thickBot="1" x14ac:dyDescent="0.4">
      <c r="A155" s="5">
        <v>1106</v>
      </c>
      <c r="B155" s="5" t="s">
        <v>27</v>
      </c>
      <c r="C155" s="5" t="s">
        <v>43</v>
      </c>
      <c r="D155" s="5" t="s">
        <v>18</v>
      </c>
      <c r="E155" s="5" t="s">
        <v>23</v>
      </c>
      <c r="F155" s="5">
        <v>20</v>
      </c>
      <c r="G155" s="5">
        <v>2141</v>
      </c>
      <c r="H155" s="5">
        <v>2</v>
      </c>
      <c r="I155" s="6">
        <v>46091</v>
      </c>
      <c r="J155" s="6">
        <v>46097</v>
      </c>
      <c r="K155" s="5" t="s">
        <v>29</v>
      </c>
    </row>
    <row r="156" spans="1:11" ht="15" thickBot="1" x14ac:dyDescent="0.4">
      <c r="A156" s="5">
        <v>1275</v>
      </c>
      <c r="B156" s="5" t="s">
        <v>16</v>
      </c>
      <c r="C156" s="5" t="s">
        <v>31</v>
      </c>
      <c r="D156" s="5" t="s">
        <v>13</v>
      </c>
      <c r="E156" s="5" t="s">
        <v>50</v>
      </c>
      <c r="F156" s="5">
        <v>20</v>
      </c>
      <c r="G156" s="5">
        <v>451</v>
      </c>
      <c r="H156" s="5">
        <v>15</v>
      </c>
      <c r="I156" s="6">
        <v>46092</v>
      </c>
      <c r="J156" s="6">
        <v>46094</v>
      </c>
      <c r="K156" s="5" t="s">
        <v>20</v>
      </c>
    </row>
    <row r="157" spans="1:11" ht="15" thickBot="1" x14ac:dyDescent="0.4">
      <c r="A157" s="5">
        <v>1166</v>
      </c>
      <c r="B157" s="5" t="s">
        <v>32</v>
      </c>
      <c r="C157" s="5" t="s">
        <v>31</v>
      </c>
      <c r="D157" s="5" t="s">
        <v>13</v>
      </c>
      <c r="E157" s="5" t="s">
        <v>37</v>
      </c>
      <c r="F157" s="5">
        <v>1</v>
      </c>
      <c r="G157" s="5">
        <v>396</v>
      </c>
      <c r="H157" s="5">
        <v>5</v>
      </c>
      <c r="I157" s="6">
        <v>46092</v>
      </c>
      <c r="J157" s="6">
        <v>46093</v>
      </c>
      <c r="K157" s="5" t="s">
        <v>20</v>
      </c>
    </row>
    <row r="158" spans="1:11" ht="15" thickBot="1" x14ac:dyDescent="0.4">
      <c r="A158" s="5">
        <v>1139</v>
      </c>
      <c r="B158" s="5" t="s">
        <v>55</v>
      </c>
      <c r="C158" s="5" t="s">
        <v>33</v>
      </c>
      <c r="D158" s="5" t="s">
        <v>34</v>
      </c>
      <c r="E158" s="5" t="s">
        <v>61</v>
      </c>
      <c r="F158" s="5">
        <v>17</v>
      </c>
      <c r="G158" s="5">
        <v>28839</v>
      </c>
      <c r="H158" s="5">
        <v>10</v>
      </c>
      <c r="I158" s="6">
        <v>46093</v>
      </c>
      <c r="J158" s="6">
        <v>46099</v>
      </c>
      <c r="K158" s="5" t="s">
        <v>15</v>
      </c>
    </row>
    <row r="159" spans="1:11" ht="15" thickBot="1" x14ac:dyDescent="0.4">
      <c r="A159" s="5">
        <v>1155</v>
      </c>
      <c r="B159" s="5" t="s">
        <v>11</v>
      </c>
      <c r="C159" s="5" t="s">
        <v>31</v>
      </c>
      <c r="D159" s="5" t="s">
        <v>18</v>
      </c>
      <c r="E159" s="5" t="s">
        <v>28</v>
      </c>
      <c r="F159" s="5">
        <v>13</v>
      </c>
      <c r="G159" s="5">
        <v>4341</v>
      </c>
      <c r="H159" s="5">
        <v>15</v>
      </c>
      <c r="I159" s="6">
        <v>46093</v>
      </c>
      <c r="J159" s="6">
        <v>46096</v>
      </c>
      <c r="K159" s="5" t="s">
        <v>24</v>
      </c>
    </row>
    <row r="160" spans="1:11" ht="15" thickBot="1" x14ac:dyDescent="0.4">
      <c r="A160" s="5">
        <v>1319</v>
      </c>
      <c r="B160" s="5" t="s">
        <v>21</v>
      </c>
      <c r="C160" s="5" t="s">
        <v>17</v>
      </c>
      <c r="D160" s="5" t="s">
        <v>34</v>
      </c>
      <c r="E160" s="5" t="s">
        <v>61</v>
      </c>
      <c r="F160" s="5">
        <v>17</v>
      </c>
      <c r="G160" s="5">
        <v>58407</v>
      </c>
      <c r="H160" s="5">
        <v>7</v>
      </c>
      <c r="I160" s="6">
        <v>46094</v>
      </c>
      <c r="J160" s="6">
        <v>46102</v>
      </c>
      <c r="K160" s="5" t="s">
        <v>15</v>
      </c>
    </row>
    <row r="161" spans="1:11" ht="15" thickBot="1" x14ac:dyDescent="0.4">
      <c r="A161" s="5">
        <v>1388</v>
      </c>
      <c r="B161" s="5" t="s">
        <v>55</v>
      </c>
      <c r="C161" s="5" t="s">
        <v>31</v>
      </c>
      <c r="D161" s="5" t="s">
        <v>18</v>
      </c>
      <c r="E161" s="5" t="s">
        <v>28</v>
      </c>
      <c r="F161" s="5">
        <v>12</v>
      </c>
      <c r="G161" s="5">
        <v>11662</v>
      </c>
      <c r="H161" s="5">
        <v>12</v>
      </c>
      <c r="I161" s="6">
        <v>46094</v>
      </c>
      <c r="J161" s="6">
        <v>46096</v>
      </c>
      <c r="K161" s="5" t="s">
        <v>20</v>
      </c>
    </row>
    <row r="162" spans="1:11" ht="15" thickBot="1" x14ac:dyDescent="0.4">
      <c r="A162" s="5">
        <v>1362</v>
      </c>
      <c r="B162" s="5" t="s">
        <v>16</v>
      </c>
      <c r="C162" s="5" t="s">
        <v>12</v>
      </c>
      <c r="D162" s="5" t="s">
        <v>18</v>
      </c>
      <c r="E162" s="5" t="s">
        <v>28</v>
      </c>
      <c r="F162" s="5">
        <v>1</v>
      </c>
      <c r="G162" s="5">
        <v>10474</v>
      </c>
      <c r="H162" s="5">
        <v>0</v>
      </c>
      <c r="I162" s="6">
        <v>46094</v>
      </c>
      <c r="J162" s="6">
        <v>46096</v>
      </c>
      <c r="K162" s="5" t="s">
        <v>29</v>
      </c>
    </row>
    <row r="163" spans="1:11" ht="15" thickBot="1" x14ac:dyDescent="0.4">
      <c r="A163" s="5">
        <v>1345</v>
      </c>
      <c r="B163" s="5" t="s">
        <v>32</v>
      </c>
      <c r="C163" s="5" t="s">
        <v>12</v>
      </c>
      <c r="D163" s="5" t="s">
        <v>34</v>
      </c>
      <c r="E163" s="5" t="s">
        <v>45</v>
      </c>
      <c r="F163" s="5">
        <v>12</v>
      </c>
      <c r="G163" s="5">
        <v>50544</v>
      </c>
      <c r="H163" s="5">
        <v>10</v>
      </c>
      <c r="I163" s="6">
        <v>46095</v>
      </c>
      <c r="J163" s="6">
        <v>46097</v>
      </c>
      <c r="K163" s="5" t="s">
        <v>29</v>
      </c>
    </row>
    <row r="164" spans="1:11" ht="15" thickBot="1" x14ac:dyDescent="0.4">
      <c r="A164" s="5">
        <v>1013</v>
      </c>
      <c r="B164" s="5" t="s">
        <v>16</v>
      </c>
      <c r="C164" s="5" t="s">
        <v>31</v>
      </c>
      <c r="D164" s="5" t="s">
        <v>13</v>
      </c>
      <c r="E164" s="5" t="s">
        <v>36</v>
      </c>
      <c r="F164" s="5">
        <v>17</v>
      </c>
      <c r="G164" s="5">
        <v>459</v>
      </c>
      <c r="H164" s="5">
        <v>12</v>
      </c>
      <c r="I164" s="6">
        <v>46095</v>
      </c>
      <c r="J164" s="6">
        <v>46105</v>
      </c>
      <c r="K164" s="5" t="s">
        <v>29</v>
      </c>
    </row>
    <row r="165" spans="1:11" ht="15" thickBot="1" x14ac:dyDescent="0.4">
      <c r="A165" s="5">
        <v>1359</v>
      </c>
      <c r="B165" s="5" t="s">
        <v>54</v>
      </c>
      <c r="C165" s="5" t="s">
        <v>12</v>
      </c>
      <c r="D165" s="5" t="s">
        <v>34</v>
      </c>
      <c r="E165" s="5" t="s">
        <v>61</v>
      </c>
      <c r="F165" s="5">
        <v>9</v>
      </c>
      <c r="G165" s="5">
        <v>38179</v>
      </c>
      <c r="H165" s="5">
        <v>0</v>
      </c>
      <c r="I165" s="6">
        <v>46096</v>
      </c>
      <c r="J165" s="6">
        <v>46099</v>
      </c>
      <c r="K165" s="5" t="s">
        <v>15</v>
      </c>
    </row>
    <row r="166" spans="1:11" ht="15" thickBot="1" x14ac:dyDescent="0.4">
      <c r="A166" s="5">
        <v>1266</v>
      </c>
      <c r="B166" s="5" t="s">
        <v>29</v>
      </c>
      <c r="C166" s="5" t="s">
        <v>33</v>
      </c>
      <c r="D166" s="5" t="s">
        <v>13</v>
      </c>
      <c r="E166" s="5" t="s">
        <v>14</v>
      </c>
      <c r="F166" s="5">
        <v>17</v>
      </c>
      <c r="G166" s="5">
        <v>365</v>
      </c>
      <c r="H166" s="5">
        <v>2</v>
      </c>
      <c r="I166" s="6">
        <v>46096</v>
      </c>
      <c r="J166" s="6">
        <v>46104</v>
      </c>
      <c r="K166" s="5" t="s">
        <v>51</v>
      </c>
    </row>
    <row r="167" spans="1:11" ht="15" thickBot="1" x14ac:dyDescent="0.4">
      <c r="A167" s="5">
        <v>1238</v>
      </c>
      <c r="B167" s="5" t="s">
        <v>30</v>
      </c>
      <c r="C167" s="5" t="s">
        <v>31</v>
      </c>
      <c r="D167" s="5" t="s">
        <v>13</v>
      </c>
      <c r="E167" s="5" t="s">
        <v>14</v>
      </c>
      <c r="F167" s="5">
        <v>6</v>
      </c>
      <c r="G167" s="5">
        <v>180</v>
      </c>
      <c r="H167" s="5">
        <v>12</v>
      </c>
      <c r="I167" s="6">
        <v>46096</v>
      </c>
      <c r="J167" s="6">
        <v>46097</v>
      </c>
      <c r="K167" s="5" t="s">
        <v>51</v>
      </c>
    </row>
    <row r="168" spans="1:11" ht="15" thickBot="1" x14ac:dyDescent="0.4">
      <c r="A168" s="5">
        <v>1276</v>
      </c>
      <c r="B168" s="5" t="s">
        <v>40</v>
      </c>
      <c r="C168" s="5" t="s">
        <v>12</v>
      </c>
      <c r="D168" s="5" t="s">
        <v>18</v>
      </c>
      <c r="E168" s="5" t="s">
        <v>19</v>
      </c>
      <c r="F168" s="5">
        <v>1</v>
      </c>
      <c r="G168" s="5">
        <v>13437</v>
      </c>
      <c r="H168" s="5">
        <v>15</v>
      </c>
      <c r="I168" s="6">
        <v>46097</v>
      </c>
      <c r="J168" s="6">
        <v>46099</v>
      </c>
      <c r="K168" s="5" t="s">
        <v>24</v>
      </c>
    </row>
    <row r="169" spans="1:11" ht="15" thickBot="1" x14ac:dyDescent="0.4">
      <c r="A169" s="5">
        <v>1030</v>
      </c>
      <c r="B169" s="5" t="s">
        <v>52</v>
      </c>
      <c r="C169" s="5" t="s">
        <v>12</v>
      </c>
      <c r="D169" s="5" t="s">
        <v>13</v>
      </c>
      <c r="E169" s="5" t="s">
        <v>53</v>
      </c>
      <c r="F169" s="5">
        <v>13</v>
      </c>
      <c r="G169" s="5">
        <v>336</v>
      </c>
      <c r="H169" s="5">
        <v>10</v>
      </c>
      <c r="I169" s="6">
        <v>46098</v>
      </c>
      <c r="J169" s="6">
        <v>46108</v>
      </c>
      <c r="K169" s="5" t="s">
        <v>15</v>
      </c>
    </row>
    <row r="170" spans="1:11" ht="15" thickBot="1" x14ac:dyDescent="0.4">
      <c r="A170" s="5">
        <v>1391</v>
      </c>
      <c r="B170" s="5" t="s">
        <v>30</v>
      </c>
      <c r="C170" s="5" t="s">
        <v>31</v>
      </c>
      <c r="D170" s="5" t="s">
        <v>34</v>
      </c>
      <c r="E170" s="5" t="s">
        <v>35</v>
      </c>
      <c r="F170" s="5">
        <v>5</v>
      </c>
      <c r="G170" s="5">
        <v>65270</v>
      </c>
      <c r="H170" s="5">
        <v>5</v>
      </c>
      <c r="I170" s="6">
        <v>46100</v>
      </c>
      <c r="J170" s="6">
        <v>46103</v>
      </c>
      <c r="K170" s="5" t="s">
        <v>24</v>
      </c>
    </row>
    <row r="171" spans="1:11" ht="15" thickBot="1" x14ac:dyDescent="0.4">
      <c r="A171" s="5">
        <v>1162</v>
      </c>
      <c r="B171" s="5" t="s">
        <v>57</v>
      </c>
      <c r="C171" s="5" t="s">
        <v>31</v>
      </c>
      <c r="D171" s="5" t="s">
        <v>34</v>
      </c>
      <c r="E171" s="5" t="s">
        <v>45</v>
      </c>
      <c r="F171" s="5">
        <v>2</v>
      </c>
      <c r="G171" s="5">
        <v>28176</v>
      </c>
      <c r="H171" s="5">
        <v>10</v>
      </c>
      <c r="I171" s="6">
        <v>46100</v>
      </c>
      <c r="J171" s="6">
        <v>46101</v>
      </c>
      <c r="K171" s="5" t="s">
        <v>20</v>
      </c>
    </row>
    <row r="172" spans="1:11" ht="15" thickBot="1" x14ac:dyDescent="0.4">
      <c r="A172" s="5">
        <v>1283</v>
      </c>
      <c r="B172" s="5" t="s">
        <v>40</v>
      </c>
      <c r="C172" s="5" t="s">
        <v>12</v>
      </c>
      <c r="D172" s="5" t="s">
        <v>18</v>
      </c>
      <c r="E172" s="5" t="s">
        <v>23</v>
      </c>
      <c r="F172" s="5">
        <v>6</v>
      </c>
      <c r="G172" s="5">
        <v>1167</v>
      </c>
      <c r="H172" s="5">
        <v>2</v>
      </c>
      <c r="I172" s="6">
        <v>46100</v>
      </c>
      <c r="J172" s="6">
        <v>46106</v>
      </c>
      <c r="K172" s="5" t="s">
        <v>15</v>
      </c>
    </row>
    <row r="173" spans="1:11" ht="15" thickBot="1" x14ac:dyDescent="0.4">
      <c r="A173" s="5">
        <v>1094</v>
      </c>
      <c r="B173" s="5" t="s">
        <v>47</v>
      </c>
      <c r="C173" s="5" t="s">
        <v>43</v>
      </c>
      <c r="D173" s="5" t="s">
        <v>34</v>
      </c>
      <c r="E173" s="5" t="s">
        <v>61</v>
      </c>
      <c r="F173" s="5">
        <v>4</v>
      </c>
      <c r="G173" s="5">
        <v>7073</v>
      </c>
      <c r="H173" s="5">
        <v>0</v>
      </c>
      <c r="I173" s="6">
        <v>46101</v>
      </c>
      <c r="J173" s="6">
        <v>46105</v>
      </c>
      <c r="K173" s="5" t="s">
        <v>29</v>
      </c>
    </row>
    <row r="174" spans="1:11" ht="15" thickBot="1" x14ac:dyDescent="0.4">
      <c r="A174" s="5">
        <v>1387</v>
      </c>
      <c r="B174" s="5" t="s">
        <v>54</v>
      </c>
      <c r="C174" s="5" t="s">
        <v>33</v>
      </c>
      <c r="D174" s="5" t="s">
        <v>34</v>
      </c>
      <c r="E174" s="5" t="s">
        <v>35</v>
      </c>
      <c r="F174" s="5">
        <v>11</v>
      </c>
      <c r="G174" s="5">
        <v>56515</v>
      </c>
      <c r="H174" s="5">
        <v>5</v>
      </c>
      <c r="I174" s="6">
        <v>46102</v>
      </c>
      <c r="J174" s="6">
        <v>46112</v>
      </c>
      <c r="K174" s="5" t="s">
        <v>24</v>
      </c>
    </row>
    <row r="175" spans="1:11" ht="15" thickBot="1" x14ac:dyDescent="0.4">
      <c r="A175" s="5">
        <v>1049</v>
      </c>
      <c r="B175" s="5" t="s">
        <v>52</v>
      </c>
      <c r="C175" s="5" t="s">
        <v>25</v>
      </c>
      <c r="D175" s="5" t="s">
        <v>34</v>
      </c>
      <c r="E175" s="5" t="s">
        <v>45</v>
      </c>
      <c r="F175" s="5">
        <v>2</v>
      </c>
      <c r="G175" s="5">
        <v>40789</v>
      </c>
      <c r="H175" s="5">
        <v>0</v>
      </c>
      <c r="I175" s="6">
        <v>46102</v>
      </c>
      <c r="J175" s="6">
        <v>46108</v>
      </c>
      <c r="K175" s="5" t="s">
        <v>24</v>
      </c>
    </row>
    <row r="176" spans="1:11" ht="15" thickBot="1" x14ac:dyDescent="0.4">
      <c r="A176" s="5">
        <v>1145</v>
      </c>
      <c r="B176" s="5" t="s">
        <v>42</v>
      </c>
      <c r="C176" s="5" t="s">
        <v>33</v>
      </c>
      <c r="D176" s="5" t="s">
        <v>34</v>
      </c>
      <c r="E176" s="5" t="s">
        <v>39</v>
      </c>
      <c r="F176" s="5">
        <v>2</v>
      </c>
      <c r="G176" s="5">
        <v>34429</v>
      </c>
      <c r="H176" s="5">
        <v>12</v>
      </c>
      <c r="I176" s="6">
        <v>46102</v>
      </c>
      <c r="J176" s="6">
        <v>46112</v>
      </c>
      <c r="K176" s="5" t="s">
        <v>24</v>
      </c>
    </row>
    <row r="177" spans="1:11" ht="15" thickBot="1" x14ac:dyDescent="0.4">
      <c r="A177" s="5">
        <v>1121</v>
      </c>
      <c r="B177" s="5" t="s">
        <v>29</v>
      </c>
      <c r="C177" s="5" t="s">
        <v>12</v>
      </c>
      <c r="D177" s="5" t="s">
        <v>34</v>
      </c>
      <c r="E177" s="5" t="s">
        <v>39</v>
      </c>
      <c r="F177" s="5">
        <v>4</v>
      </c>
      <c r="G177" s="5">
        <v>55809</v>
      </c>
      <c r="H177" s="5">
        <v>2</v>
      </c>
      <c r="I177" s="6">
        <v>46103</v>
      </c>
      <c r="J177" s="6">
        <v>46108</v>
      </c>
      <c r="K177" s="5" t="s">
        <v>29</v>
      </c>
    </row>
    <row r="178" spans="1:11" ht="15" thickBot="1" x14ac:dyDescent="0.4">
      <c r="A178" s="5">
        <v>1209</v>
      </c>
      <c r="B178" s="5" t="s">
        <v>48</v>
      </c>
      <c r="C178" s="5" t="s">
        <v>38</v>
      </c>
      <c r="D178" s="5" t="s">
        <v>34</v>
      </c>
      <c r="E178" s="5" t="s">
        <v>35</v>
      </c>
      <c r="F178" s="5">
        <v>19</v>
      </c>
      <c r="G178" s="5">
        <v>20284</v>
      </c>
      <c r="H178" s="5">
        <v>10</v>
      </c>
      <c r="I178" s="6">
        <v>46103</v>
      </c>
      <c r="J178" s="6">
        <v>46110</v>
      </c>
      <c r="K178" s="5" t="s">
        <v>20</v>
      </c>
    </row>
    <row r="179" spans="1:11" ht="15" thickBot="1" x14ac:dyDescent="0.4">
      <c r="A179" s="5">
        <v>1161</v>
      </c>
      <c r="B179" s="5" t="s">
        <v>27</v>
      </c>
      <c r="C179" s="5" t="s">
        <v>25</v>
      </c>
      <c r="D179" s="5" t="s">
        <v>34</v>
      </c>
      <c r="E179" s="5" t="s">
        <v>39</v>
      </c>
      <c r="F179" s="5">
        <v>4</v>
      </c>
      <c r="G179" s="5">
        <v>54659</v>
      </c>
      <c r="H179" s="5">
        <v>7</v>
      </c>
      <c r="I179" s="6">
        <v>46105</v>
      </c>
      <c r="J179" s="6">
        <v>46109</v>
      </c>
      <c r="K179" s="5" t="s">
        <v>20</v>
      </c>
    </row>
    <row r="180" spans="1:11" ht="15" thickBot="1" x14ac:dyDescent="0.4">
      <c r="A180" s="5">
        <v>1377</v>
      </c>
      <c r="B180" s="5" t="s">
        <v>32</v>
      </c>
      <c r="C180" s="5" t="s">
        <v>38</v>
      </c>
      <c r="D180" s="5" t="s">
        <v>18</v>
      </c>
      <c r="E180" s="5" t="s">
        <v>19</v>
      </c>
      <c r="F180" s="5">
        <v>3</v>
      </c>
      <c r="G180" s="5">
        <v>5480</v>
      </c>
      <c r="H180" s="5">
        <v>12</v>
      </c>
      <c r="I180" s="6">
        <v>46105</v>
      </c>
      <c r="J180" s="6">
        <v>46111</v>
      </c>
      <c r="K180" s="5" t="s">
        <v>24</v>
      </c>
    </row>
    <row r="181" spans="1:11" ht="15" thickBot="1" x14ac:dyDescent="0.4">
      <c r="A181" s="5">
        <v>1170</v>
      </c>
      <c r="B181" s="5" t="s">
        <v>49</v>
      </c>
      <c r="C181" s="5" t="s">
        <v>38</v>
      </c>
      <c r="D181" s="5" t="s">
        <v>13</v>
      </c>
      <c r="E181" s="5" t="s">
        <v>14</v>
      </c>
      <c r="F181" s="5">
        <v>6</v>
      </c>
      <c r="G181" s="5">
        <v>339</v>
      </c>
      <c r="H181" s="5">
        <v>12</v>
      </c>
      <c r="I181" s="6">
        <v>46105</v>
      </c>
      <c r="J181" s="6">
        <v>46106</v>
      </c>
      <c r="K181" s="5" t="s">
        <v>24</v>
      </c>
    </row>
    <row r="182" spans="1:11" ht="15" thickBot="1" x14ac:dyDescent="0.4">
      <c r="A182" s="5">
        <v>1102</v>
      </c>
      <c r="B182" s="5" t="s">
        <v>54</v>
      </c>
      <c r="C182" s="5" t="s">
        <v>25</v>
      </c>
      <c r="D182" s="5" t="s">
        <v>34</v>
      </c>
      <c r="E182" s="5" t="s">
        <v>45</v>
      </c>
      <c r="F182" s="5">
        <v>12</v>
      </c>
      <c r="G182" s="5">
        <v>63402</v>
      </c>
      <c r="H182" s="5">
        <v>7</v>
      </c>
      <c r="I182" s="6">
        <v>46106</v>
      </c>
      <c r="J182" s="6">
        <v>46113</v>
      </c>
      <c r="K182" s="5" t="s">
        <v>51</v>
      </c>
    </row>
    <row r="183" spans="1:11" ht="15" thickBot="1" x14ac:dyDescent="0.4">
      <c r="A183" s="5">
        <v>1198</v>
      </c>
      <c r="B183" s="5" t="s">
        <v>58</v>
      </c>
      <c r="C183" s="5" t="s">
        <v>12</v>
      </c>
      <c r="D183" s="5" t="s">
        <v>13</v>
      </c>
      <c r="E183" s="5" t="s">
        <v>14</v>
      </c>
      <c r="F183" s="5">
        <v>12</v>
      </c>
      <c r="G183" s="5">
        <v>491</v>
      </c>
      <c r="H183" s="5">
        <v>2</v>
      </c>
      <c r="I183" s="6">
        <v>46106</v>
      </c>
      <c r="J183" s="6">
        <v>46109</v>
      </c>
      <c r="K183" s="5" t="s">
        <v>51</v>
      </c>
    </row>
    <row r="184" spans="1:11" ht="15" thickBot="1" x14ac:dyDescent="0.4">
      <c r="A184" s="5">
        <v>1379</v>
      </c>
      <c r="B184" s="5" t="s">
        <v>47</v>
      </c>
      <c r="C184" s="5" t="s">
        <v>17</v>
      </c>
      <c r="D184" s="5" t="s">
        <v>13</v>
      </c>
      <c r="E184" s="5" t="s">
        <v>14</v>
      </c>
      <c r="F184" s="5">
        <v>11</v>
      </c>
      <c r="G184" s="5">
        <v>136</v>
      </c>
      <c r="H184" s="5">
        <v>15</v>
      </c>
      <c r="I184" s="6">
        <v>46106</v>
      </c>
      <c r="J184" s="6">
        <v>46107</v>
      </c>
      <c r="K184" s="5" t="s">
        <v>20</v>
      </c>
    </row>
    <row r="185" spans="1:11" ht="15" thickBot="1" x14ac:dyDescent="0.4">
      <c r="A185" s="5">
        <v>1039</v>
      </c>
      <c r="B185" s="5" t="s">
        <v>48</v>
      </c>
      <c r="C185" s="5" t="s">
        <v>38</v>
      </c>
      <c r="D185" s="5" t="s">
        <v>34</v>
      </c>
      <c r="E185" s="5" t="s">
        <v>45</v>
      </c>
      <c r="F185" s="5">
        <v>5</v>
      </c>
      <c r="G185" s="5">
        <v>60236</v>
      </c>
      <c r="H185" s="5">
        <v>10</v>
      </c>
      <c r="I185" s="6">
        <v>46107</v>
      </c>
      <c r="J185" s="6">
        <v>46110</v>
      </c>
      <c r="K185" s="5" t="s">
        <v>20</v>
      </c>
    </row>
    <row r="186" spans="1:11" ht="15" thickBot="1" x14ac:dyDescent="0.4">
      <c r="A186" s="5">
        <v>1321</v>
      </c>
      <c r="B186" s="5" t="s">
        <v>32</v>
      </c>
      <c r="C186" s="5" t="s">
        <v>22</v>
      </c>
      <c r="D186" s="5" t="s">
        <v>18</v>
      </c>
      <c r="E186" s="5" t="s">
        <v>19</v>
      </c>
      <c r="F186" s="5">
        <v>8</v>
      </c>
      <c r="G186" s="5">
        <v>5619</v>
      </c>
      <c r="H186" s="5">
        <v>7</v>
      </c>
      <c r="I186" s="6">
        <v>46107</v>
      </c>
      <c r="J186" s="6">
        <v>46109</v>
      </c>
      <c r="K186" s="5" t="s">
        <v>51</v>
      </c>
    </row>
    <row r="187" spans="1:11" ht="15" thickBot="1" x14ac:dyDescent="0.4">
      <c r="A187" s="5">
        <v>1123</v>
      </c>
      <c r="B187" s="5" t="s">
        <v>32</v>
      </c>
      <c r="C187" s="5" t="s">
        <v>31</v>
      </c>
      <c r="D187" s="5" t="s">
        <v>34</v>
      </c>
      <c r="E187" s="5" t="s">
        <v>45</v>
      </c>
      <c r="F187" s="5">
        <v>16</v>
      </c>
      <c r="G187" s="5">
        <v>1332</v>
      </c>
      <c r="H187" s="5">
        <v>7</v>
      </c>
      <c r="I187" s="6">
        <v>46107</v>
      </c>
      <c r="J187" s="6">
        <v>46109</v>
      </c>
      <c r="K187" s="5" t="s">
        <v>29</v>
      </c>
    </row>
    <row r="188" spans="1:11" ht="15" thickBot="1" x14ac:dyDescent="0.4">
      <c r="A188" s="5">
        <v>1182</v>
      </c>
      <c r="B188" s="5" t="s">
        <v>42</v>
      </c>
      <c r="C188" s="5" t="s">
        <v>12</v>
      </c>
      <c r="D188" s="5" t="s">
        <v>34</v>
      </c>
      <c r="E188" s="5" t="s">
        <v>39</v>
      </c>
      <c r="F188" s="5">
        <v>8</v>
      </c>
      <c r="G188" s="5">
        <v>66022</v>
      </c>
      <c r="H188" s="5">
        <v>12</v>
      </c>
      <c r="I188" s="6">
        <v>46108</v>
      </c>
      <c r="J188" s="6">
        <v>46114</v>
      </c>
      <c r="K188" s="5" t="s">
        <v>24</v>
      </c>
    </row>
    <row r="189" spans="1:11" ht="15" thickBot="1" x14ac:dyDescent="0.4">
      <c r="A189" s="5">
        <v>1183</v>
      </c>
      <c r="B189" s="5" t="s">
        <v>52</v>
      </c>
      <c r="C189" s="5" t="s">
        <v>43</v>
      </c>
      <c r="D189" s="5" t="s">
        <v>13</v>
      </c>
      <c r="E189" s="5" t="s">
        <v>14</v>
      </c>
      <c r="F189" s="5">
        <v>2</v>
      </c>
      <c r="G189" s="5">
        <v>309</v>
      </c>
      <c r="H189" s="5">
        <v>2</v>
      </c>
      <c r="I189" s="6">
        <v>46109</v>
      </c>
      <c r="J189" s="6">
        <v>46111</v>
      </c>
      <c r="K189" s="5" t="s">
        <v>20</v>
      </c>
    </row>
    <row r="190" spans="1:11" ht="15" thickBot="1" x14ac:dyDescent="0.4">
      <c r="A190" s="5">
        <v>1328</v>
      </c>
      <c r="B190" s="5" t="s">
        <v>16</v>
      </c>
      <c r="C190" s="5" t="s">
        <v>38</v>
      </c>
      <c r="D190" s="5" t="s">
        <v>13</v>
      </c>
      <c r="E190" s="5" t="s">
        <v>36</v>
      </c>
      <c r="F190" s="5">
        <v>4</v>
      </c>
      <c r="G190" s="5">
        <v>132</v>
      </c>
      <c r="H190" s="5">
        <v>0</v>
      </c>
      <c r="I190" s="6">
        <v>46109</v>
      </c>
      <c r="J190" s="6">
        <v>46114</v>
      </c>
      <c r="K190" s="5" t="s">
        <v>29</v>
      </c>
    </row>
    <row r="191" spans="1:11" ht="15" thickBot="1" x14ac:dyDescent="0.4">
      <c r="A191" s="5">
        <v>1290</v>
      </c>
      <c r="B191" s="5" t="s">
        <v>26</v>
      </c>
      <c r="C191" s="5" t="s">
        <v>22</v>
      </c>
      <c r="D191" s="5" t="s">
        <v>34</v>
      </c>
      <c r="E191" s="5" t="s">
        <v>35</v>
      </c>
      <c r="F191" s="5">
        <v>3</v>
      </c>
      <c r="G191" s="5">
        <v>69793</v>
      </c>
      <c r="H191" s="5">
        <v>15</v>
      </c>
      <c r="I191" s="6">
        <v>46110</v>
      </c>
      <c r="J191" s="6">
        <v>46111</v>
      </c>
      <c r="K191" s="5" t="s">
        <v>29</v>
      </c>
    </row>
    <row r="192" spans="1:11" ht="15" thickBot="1" x14ac:dyDescent="0.4">
      <c r="A192" s="5">
        <v>1193</v>
      </c>
      <c r="B192" s="5" t="s">
        <v>57</v>
      </c>
      <c r="C192" s="5" t="s">
        <v>12</v>
      </c>
      <c r="D192" s="5" t="s">
        <v>18</v>
      </c>
      <c r="E192" s="5" t="s">
        <v>23</v>
      </c>
      <c r="F192" s="5">
        <v>19</v>
      </c>
      <c r="G192" s="5">
        <v>2699</v>
      </c>
      <c r="H192" s="5">
        <v>7</v>
      </c>
      <c r="I192" s="6">
        <v>46110</v>
      </c>
      <c r="J192" s="6">
        <v>46112</v>
      </c>
      <c r="K192" s="5" t="s">
        <v>29</v>
      </c>
    </row>
    <row r="193" spans="1:11" ht="15" thickBot="1" x14ac:dyDescent="0.4">
      <c r="A193" s="5">
        <v>1300</v>
      </c>
      <c r="B193" s="5" t="s">
        <v>47</v>
      </c>
      <c r="C193" s="5" t="s">
        <v>33</v>
      </c>
      <c r="D193" s="5" t="s">
        <v>34</v>
      </c>
      <c r="E193" s="5" t="s">
        <v>45</v>
      </c>
      <c r="F193" s="5">
        <v>20</v>
      </c>
      <c r="G193" s="5">
        <v>1392</v>
      </c>
      <c r="H193" s="5">
        <v>2</v>
      </c>
      <c r="I193" s="6">
        <v>46110</v>
      </c>
      <c r="J193" s="6">
        <v>46117</v>
      </c>
      <c r="K193" s="5" t="s">
        <v>24</v>
      </c>
    </row>
    <row r="194" spans="1:11" ht="15" thickBot="1" x14ac:dyDescent="0.4">
      <c r="A194" s="5">
        <v>1180</v>
      </c>
      <c r="B194" s="5" t="s">
        <v>40</v>
      </c>
      <c r="C194" s="5" t="s">
        <v>31</v>
      </c>
      <c r="D194" s="5" t="s">
        <v>18</v>
      </c>
      <c r="E194" s="5" t="s">
        <v>28</v>
      </c>
      <c r="F194" s="5">
        <v>2</v>
      </c>
      <c r="G194" s="5">
        <v>2076</v>
      </c>
      <c r="H194" s="5">
        <v>2</v>
      </c>
      <c r="I194" s="6">
        <v>46111</v>
      </c>
      <c r="J194" s="6">
        <v>46121</v>
      </c>
      <c r="K194" s="5" t="s">
        <v>29</v>
      </c>
    </row>
    <row r="195" spans="1:11" ht="15" thickBot="1" x14ac:dyDescent="0.4">
      <c r="A195" s="5">
        <v>1178</v>
      </c>
      <c r="B195" s="5" t="s">
        <v>57</v>
      </c>
      <c r="C195" s="5" t="s">
        <v>17</v>
      </c>
      <c r="D195" s="5" t="s">
        <v>13</v>
      </c>
      <c r="E195" s="5" t="s">
        <v>50</v>
      </c>
      <c r="F195" s="5">
        <v>5</v>
      </c>
      <c r="G195" s="5">
        <v>50</v>
      </c>
      <c r="H195" s="5">
        <v>0</v>
      </c>
      <c r="I195" s="6">
        <v>46111</v>
      </c>
      <c r="J195" s="6">
        <v>46117</v>
      </c>
      <c r="K195" s="5" t="s">
        <v>20</v>
      </c>
    </row>
    <row r="196" spans="1:11" ht="15" thickBot="1" x14ac:dyDescent="0.4">
      <c r="A196" s="5">
        <v>1251</v>
      </c>
      <c r="B196" s="5" t="s">
        <v>55</v>
      </c>
      <c r="C196" s="5" t="s">
        <v>38</v>
      </c>
      <c r="D196" s="5" t="s">
        <v>34</v>
      </c>
      <c r="E196" s="5" t="s">
        <v>61</v>
      </c>
      <c r="F196" s="5">
        <v>19</v>
      </c>
      <c r="G196" s="5">
        <v>48548</v>
      </c>
      <c r="H196" s="5">
        <v>0</v>
      </c>
      <c r="I196" s="6">
        <v>46112</v>
      </c>
      <c r="J196" s="6">
        <v>46121</v>
      </c>
      <c r="K196" s="5" t="s">
        <v>51</v>
      </c>
    </row>
    <row r="197" spans="1:11" ht="15" thickBot="1" x14ac:dyDescent="0.4">
      <c r="A197" s="5">
        <v>1133</v>
      </c>
      <c r="B197" s="5" t="s">
        <v>11</v>
      </c>
      <c r="C197" s="5" t="s">
        <v>12</v>
      </c>
      <c r="D197" s="5" t="s">
        <v>18</v>
      </c>
      <c r="E197" s="5" t="s">
        <v>56</v>
      </c>
      <c r="F197" s="5">
        <v>6</v>
      </c>
      <c r="G197" s="5">
        <v>9037</v>
      </c>
      <c r="H197" s="5">
        <v>2</v>
      </c>
      <c r="I197" s="6">
        <v>46112</v>
      </c>
      <c r="J197" s="6">
        <v>46121</v>
      </c>
      <c r="K197" s="5" t="s">
        <v>51</v>
      </c>
    </row>
    <row r="198" spans="1:11" ht="15" thickBot="1" x14ac:dyDescent="0.4">
      <c r="A198" s="5">
        <v>1227</v>
      </c>
      <c r="B198" s="5" t="s">
        <v>58</v>
      </c>
      <c r="C198" s="5" t="s">
        <v>22</v>
      </c>
      <c r="D198" s="5" t="s">
        <v>34</v>
      </c>
      <c r="E198" s="5" t="s">
        <v>45</v>
      </c>
      <c r="F198" s="5">
        <v>16</v>
      </c>
      <c r="G198" s="5">
        <v>1321</v>
      </c>
      <c r="H198" s="5">
        <v>12</v>
      </c>
      <c r="I198" s="6">
        <v>46113</v>
      </c>
      <c r="J198" s="6">
        <v>46116</v>
      </c>
      <c r="K198" s="5" t="s">
        <v>15</v>
      </c>
    </row>
    <row r="199" spans="1:11" ht="15" thickBot="1" x14ac:dyDescent="0.4">
      <c r="A199" s="5">
        <v>1077</v>
      </c>
      <c r="B199" s="5" t="s">
        <v>55</v>
      </c>
      <c r="C199" s="5" t="s">
        <v>25</v>
      </c>
      <c r="D199" s="5" t="s">
        <v>13</v>
      </c>
      <c r="E199" s="5" t="s">
        <v>14</v>
      </c>
      <c r="F199" s="5">
        <v>1</v>
      </c>
      <c r="G199" s="5">
        <v>123</v>
      </c>
      <c r="H199" s="5">
        <v>10</v>
      </c>
      <c r="I199" s="6">
        <v>46113</v>
      </c>
      <c r="J199" s="6">
        <v>46121</v>
      </c>
      <c r="K199" s="5" t="s">
        <v>51</v>
      </c>
    </row>
    <row r="200" spans="1:11" ht="15" thickBot="1" x14ac:dyDescent="0.4">
      <c r="A200" s="5">
        <v>1059</v>
      </c>
      <c r="B200" s="5" t="s">
        <v>54</v>
      </c>
      <c r="C200" s="5" t="s">
        <v>25</v>
      </c>
      <c r="D200" s="5" t="s">
        <v>13</v>
      </c>
      <c r="E200" s="5" t="s">
        <v>50</v>
      </c>
      <c r="F200" s="5">
        <v>20</v>
      </c>
      <c r="G200" s="5">
        <v>112</v>
      </c>
      <c r="H200" s="5">
        <v>10</v>
      </c>
      <c r="I200" s="6">
        <v>46113</v>
      </c>
      <c r="J200" s="6">
        <v>46122</v>
      </c>
      <c r="K200" s="5" t="s">
        <v>51</v>
      </c>
    </row>
    <row r="201" spans="1:11" ht="15" thickBot="1" x14ac:dyDescent="0.4">
      <c r="A201" s="5">
        <v>1234</v>
      </c>
      <c r="B201" s="5" t="s">
        <v>11</v>
      </c>
      <c r="C201" s="5" t="s">
        <v>25</v>
      </c>
      <c r="D201" s="5" t="s">
        <v>18</v>
      </c>
      <c r="E201" s="5" t="s">
        <v>28</v>
      </c>
      <c r="F201" s="5">
        <v>1</v>
      </c>
      <c r="G201" s="5">
        <v>14320</v>
      </c>
      <c r="H201" s="5">
        <v>12</v>
      </c>
      <c r="I201" s="6">
        <v>46114</v>
      </c>
      <c r="J201" s="6">
        <v>46121</v>
      </c>
      <c r="K201" s="5" t="s">
        <v>51</v>
      </c>
    </row>
    <row r="202" spans="1:11" ht="15" thickBot="1" x14ac:dyDescent="0.4">
      <c r="A202" s="5">
        <v>1074</v>
      </c>
      <c r="B202" s="5" t="s">
        <v>26</v>
      </c>
      <c r="C202" s="5" t="s">
        <v>31</v>
      </c>
      <c r="D202" s="5" t="s">
        <v>13</v>
      </c>
      <c r="E202" s="5" t="s">
        <v>50</v>
      </c>
      <c r="F202" s="5">
        <v>11</v>
      </c>
      <c r="G202" s="5">
        <v>390</v>
      </c>
      <c r="H202" s="5">
        <v>15</v>
      </c>
      <c r="I202" s="6">
        <v>46114</v>
      </c>
      <c r="J202" s="6">
        <v>46123</v>
      </c>
      <c r="K202" s="5" t="s">
        <v>29</v>
      </c>
    </row>
    <row r="203" spans="1:11" ht="15" thickBot="1" x14ac:dyDescent="0.4">
      <c r="A203" s="5">
        <v>1213</v>
      </c>
      <c r="B203" s="5" t="s">
        <v>32</v>
      </c>
      <c r="C203" s="5" t="s">
        <v>38</v>
      </c>
      <c r="D203" s="5" t="s">
        <v>34</v>
      </c>
      <c r="E203" s="5" t="s">
        <v>45</v>
      </c>
      <c r="F203" s="5">
        <v>16</v>
      </c>
      <c r="G203" s="5">
        <v>27741</v>
      </c>
      <c r="H203" s="5">
        <v>12</v>
      </c>
      <c r="I203" s="6">
        <v>46116</v>
      </c>
      <c r="J203" s="6">
        <v>46119</v>
      </c>
      <c r="K203" s="5" t="s">
        <v>15</v>
      </c>
    </row>
    <row r="204" spans="1:11" ht="15" thickBot="1" x14ac:dyDescent="0.4">
      <c r="A204" s="5">
        <v>1028</v>
      </c>
      <c r="B204" s="5" t="s">
        <v>47</v>
      </c>
      <c r="C204" s="5" t="s">
        <v>22</v>
      </c>
      <c r="D204" s="5" t="s">
        <v>13</v>
      </c>
      <c r="E204" s="5" t="s">
        <v>36</v>
      </c>
      <c r="F204" s="5">
        <v>13</v>
      </c>
      <c r="G204" s="5">
        <v>433</v>
      </c>
      <c r="H204" s="5">
        <v>2</v>
      </c>
      <c r="I204" s="6">
        <v>46116</v>
      </c>
      <c r="J204" s="6">
        <v>46121</v>
      </c>
      <c r="K204" s="5" t="s">
        <v>24</v>
      </c>
    </row>
    <row r="205" spans="1:11" ht="15" thickBot="1" x14ac:dyDescent="0.4">
      <c r="A205" s="5">
        <v>1287</v>
      </c>
      <c r="B205" s="5" t="s">
        <v>59</v>
      </c>
      <c r="C205" s="5" t="s">
        <v>31</v>
      </c>
      <c r="D205" s="5" t="s">
        <v>13</v>
      </c>
      <c r="E205" s="5" t="s">
        <v>14</v>
      </c>
      <c r="F205" s="5">
        <v>15</v>
      </c>
      <c r="G205" s="5">
        <v>251</v>
      </c>
      <c r="H205" s="5">
        <v>2</v>
      </c>
      <c r="I205" s="6">
        <v>46116</v>
      </c>
      <c r="J205" s="6">
        <v>46122</v>
      </c>
      <c r="K205" s="5" t="s">
        <v>51</v>
      </c>
    </row>
    <row r="206" spans="1:11" ht="15" thickBot="1" x14ac:dyDescent="0.4">
      <c r="A206" s="5">
        <v>1022</v>
      </c>
      <c r="B206" s="5" t="s">
        <v>26</v>
      </c>
      <c r="C206" s="5" t="s">
        <v>17</v>
      </c>
      <c r="D206" s="5" t="s">
        <v>34</v>
      </c>
      <c r="E206" s="5" t="s">
        <v>45</v>
      </c>
      <c r="F206" s="5">
        <v>15</v>
      </c>
      <c r="G206" s="5">
        <v>11596</v>
      </c>
      <c r="H206" s="5">
        <v>0</v>
      </c>
      <c r="I206" s="6">
        <v>46117</v>
      </c>
      <c r="J206" s="6">
        <v>46121</v>
      </c>
      <c r="K206" s="5" t="s">
        <v>29</v>
      </c>
    </row>
    <row r="207" spans="1:11" ht="15" thickBot="1" x14ac:dyDescent="0.4">
      <c r="A207" s="5">
        <v>1265</v>
      </c>
      <c r="B207" s="5" t="s">
        <v>58</v>
      </c>
      <c r="C207" s="5" t="s">
        <v>22</v>
      </c>
      <c r="D207" s="5" t="s">
        <v>18</v>
      </c>
      <c r="E207" s="5" t="s">
        <v>19</v>
      </c>
      <c r="F207" s="5">
        <v>1</v>
      </c>
      <c r="G207" s="5">
        <v>1052</v>
      </c>
      <c r="H207" s="5">
        <v>7</v>
      </c>
      <c r="I207" s="6">
        <v>46117</v>
      </c>
      <c r="J207" s="6">
        <v>46127</v>
      </c>
      <c r="K207" s="5" t="s">
        <v>51</v>
      </c>
    </row>
    <row r="208" spans="1:11" ht="15" thickBot="1" x14ac:dyDescent="0.4">
      <c r="A208" s="5">
        <v>1354</v>
      </c>
      <c r="B208" s="5" t="s">
        <v>47</v>
      </c>
      <c r="C208" s="5" t="s">
        <v>43</v>
      </c>
      <c r="D208" s="5" t="s">
        <v>34</v>
      </c>
      <c r="E208" s="5" t="s">
        <v>35</v>
      </c>
      <c r="F208" s="5">
        <v>15</v>
      </c>
      <c r="G208" s="5">
        <v>14927</v>
      </c>
      <c r="H208" s="5">
        <v>15</v>
      </c>
      <c r="I208" s="6">
        <v>46118</v>
      </c>
      <c r="J208" s="6">
        <v>46120</v>
      </c>
      <c r="K208" s="5" t="s">
        <v>51</v>
      </c>
    </row>
    <row r="209" spans="1:11" ht="15" thickBot="1" x14ac:dyDescent="0.4">
      <c r="A209" s="5">
        <v>1108</v>
      </c>
      <c r="B209" s="5" t="s">
        <v>42</v>
      </c>
      <c r="C209" s="5" t="s">
        <v>33</v>
      </c>
      <c r="D209" s="5" t="s">
        <v>18</v>
      </c>
      <c r="E209" s="5" t="s">
        <v>28</v>
      </c>
      <c r="F209" s="5">
        <v>15</v>
      </c>
      <c r="G209" s="5">
        <v>13843</v>
      </c>
      <c r="H209" s="5">
        <v>7</v>
      </c>
      <c r="I209" s="6">
        <v>46119</v>
      </c>
      <c r="J209" s="6">
        <v>46127</v>
      </c>
      <c r="K209" s="5" t="s">
        <v>20</v>
      </c>
    </row>
    <row r="210" spans="1:11" ht="15" thickBot="1" x14ac:dyDescent="0.4">
      <c r="A210" s="5">
        <v>1241</v>
      </c>
      <c r="B210" s="5" t="s">
        <v>46</v>
      </c>
      <c r="C210" s="5" t="s">
        <v>31</v>
      </c>
      <c r="D210" s="5" t="s">
        <v>18</v>
      </c>
      <c r="E210" s="5" t="s">
        <v>44</v>
      </c>
      <c r="F210" s="5">
        <v>1</v>
      </c>
      <c r="G210" s="5">
        <v>12537</v>
      </c>
      <c r="H210" s="5">
        <v>0</v>
      </c>
      <c r="I210" s="6">
        <v>46119</v>
      </c>
      <c r="J210" s="6">
        <v>46122</v>
      </c>
      <c r="K210" s="5" t="s">
        <v>15</v>
      </c>
    </row>
    <row r="211" spans="1:11" ht="15" thickBot="1" x14ac:dyDescent="0.4">
      <c r="A211" s="5">
        <v>1203</v>
      </c>
      <c r="B211" s="5" t="s">
        <v>40</v>
      </c>
      <c r="C211" s="5" t="s">
        <v>22</v>
      </c>
      <c r="D211" s="5" t="s">
        <v>18</v>
      </c>
      <c r="E211" s="5" t="s">
        <v>23</v>
      </c>
      <c r="F211" s="5">
        <v>17</v>
      </c>
      <c r="G211" s="5">
        <v>6695</v>
      </c>
      <c r="H211" s="5">
        <v>2</v>
      </c>
      <c r="I211" s="6">
        <v>46119</v>
      </c>
      <c r="J211" s="6">
        <v>46122</v>
      </c>
      <c r="K211" s="5" t="s">
        <v>51</v>
      </c>
    </row>
    <row r="212" spans="1:11" ht="15" thickBot="1" x14ac:dyDescent="0.4">
      <c r="A212" s="5">
        <v>1261</v>
      </c>
      <c r="B212" s="5" t="s">
        <v>40</v>
      </c>
      <c r="C212" s="5" t="s">
        <v>17</v>
      </c>
      <c r="D212" s="5" t="s">
        <v>13</v>
      </c>
      <c r="E212" s="5" t="s">
        <v>50</v>
      </c>
      <c r="F212" s="5">
        <v>20</v>
      </c>
      <c r="G212" s="5">
        <v>162</v>
      </c>
      <c r="H212" s="5">
        <v>7</v>
      </c>
      <c r="I212" s="6">
        <v>46119</v>
      </c>
      <c r="J212" s="6">
        <v>46120</v>
      </c>
      <c r="K212" s="5" t="s">
        <v>51</v>
      </c>
    </row>
    <row r="213" spans="1:11" ht="15" thickBot="1" x14ac:dyDescent="0.4">
      <c r="A213" s="5">
        <v>1172</v>
      </c>
      <c r="B213" s="5" t="s">
        <v>16</v>
      </c>
      <c r="C213" s="5" t="s">
        <v>12</v>
      </c>
      <c r="D213" s="5" t="s">
        <v>34</v>
      </c>
      <c r="E213" s="5" t="s">
        <v>45</v>
      </c>
      <c r="F213" s="5">
        <v>13</v>
      </c>
      <c r="G213" s="5">
        <v>43163</v>
      </c>
      <c r="H213" s="5">
        <v>12</v>
      </c>
      <c r="I213" s="6">
        <v>46120</v>
      </c>
      <c r="J213" s="6">
        <v>46129</v>
      </c>
      <c r="K213" s="5" t="s">
        <v>24</v>
      </c>
    </row>
    <row r="214" spans="1:11" ht="15" thickBot="1" x14ac:dyDescent="0.4">
      <c r="A214" s="5">
        <v>1169</v>
      </c>
      <c r="B214" s="5" t="s">
        <v>47</v>
      </c>
      <c r="C214" s="5" t="s">
        <v>12</v>
      </c>
      <c r="D214" s="5" t="s">
        <v>18</v>
      </c>
      <c r="E214" s="5" t="s">
        <v>56</v>
      </c>
      <c r="F214" s="5">
        <v>12</v>
      </c>
      <c r="G214" s="5">
        <v>12104</v>
      </c>
      <c r="H214" s="5">
        <v>7</v>
      </c>
      <c r="I214" s="6">
        <v>46121</v>
      </c>
      <c r="J214" s="6">
        <v>46130</v>
      </c>
      <c r="K214" s="5" t="s">
        <v>24</v>
      </c>
    </row>
    <row r="215" spans="1:11" ht="15" thickBot="1" x14ac:dyDescent="0.4">
      <c r="A215" s="5">
        <v>1363</v>
      </c>
      <c r="B215" s="5" t="s">
        <v>27</v>
      </c>
      <c r="C215" s="5" t="s">
        <v>25</v>
      </c>
      <c r="D215" s="5" t="s">
        <v>34</v>
      </c>
      <c r="E215" s="5" t="s">
        <v>35</v>
      </c>
      <c r="F215" s="5">
        <v>7</v>
      </c>
      <c r="G215" s="5">
        <v>45381</v>
      </c>
      <c r="H215" s="5">
        <v>0</v>
      </c>
      <c r="I215" s="6">
        <v>46122</v>
      </c>
      <c r="J215" s="6">
        <v>46128</v>
      </c>
      <c r="K215" s="5" t="s">
        <v>15</v>
      </c>
    </row>
    <row r="216" spans="1:11" ht="15" thickBot="1" x14ac:dyDescent="0.4">
      <c r="A216" s="5">
        <v>1289</v>
      </c>
      <c r="B216" s="5" t="s">
        <v>26</v>
      </c>
      <c r="C216" s="5" t="s">
        <v>22</v>
      </c>
      <c r="D216" s="5" t="s">
        <v>34</v>
      </c>
      <c r="E216" s="5" t="s">
        <v>45</v>
      </c>
      <c r="F216" s="5">
        <v>19</v>
      </c>
      <c r="G216" s="5">
        <v>25336</v>
      </c>
      <c r="H216" s="5">
        <v>2</v>
      </c>
      <c r="I216" s="6">
        <v>46122</v>
      </c>
      <c r="J216" s="6">
        <v>46130</v>
      </c>
      <c r="K216" s="5" t="s">
        <v>24</v>
      </c>
    </row>
    <row r="217" spans="1:11" ht="15" thickBot="1" x14ac:dyDescent="0.4">
      <c r="A217" s="5">
        <v>1239</v>
      </c>
      <c r="B217" s="5" t="s">
        <v>48</v>
      </c>
      <c r="C217" s="5" t="s">
        <v>17</v>
      </c>
      <c r="D217" s="5" t="s">
        <v>18</v>
      </c>
      <c r="E217" s="5" t="s">
        <v>56</v>
      </c>
      <c r="F217" s="5">
        <v>2</v>
      </c>
      <c r="G217" s="5">
        <v>12330</v>
      </c>
      <c r="H217" s="5">
        <v>12</v>
      </c>
      <c r="I217" s="6">
        <v>46122</v>
      </c>
      <c r="J217" s="6">
        <v>46125</v>
      </c>
      <c r="K217" s="5" t="s">
        <v>15</v>
      </c>
    </row>
    <row r="218" spans="1:11" ht="15" thickBot="1" x14ac:dyDescent="0.4">
      <c r="A218" s="5">
        <v>1221</v>
      </c>
      <c r="B218" s="5" t="s">
        <v>11</v>
      </c>
      <c r="C218" s="5" t="s">
        <v>31</v>
      </c>
      <c r="D218" s="5" t="s">
        <v>18</v>
      </c>
      <c r="E218" s="5" t="s">
        <v>56</v>
      </c>
      <c r="F218" s="5">
        <v>18</v>
      </c>
      <c r="G218" s="5">
        <v>2681</v>
      </c>
      <c r="H218" s="5">
        <v>10</v>
      </c>
      <c r="I218" s="6">
        <v>46122</v>
      </c>
      <c r="J218" s="6">
        <v>46125</v>
      </c>
      <c r="K218" s="5" t="s">
        <v>51</v>
      </c>
    </row>
    <row r="219" spans="1:11" ht="15" thickBot="1" x14ac:dyDescent="0.4">
      <c r="A219" s="5">
        <v>1299</v>
      </c>
      <c r="B219" s="5" t="s">
        <v>26</v>
      </c>
      <c r="C219" s="5" t="s">
        <v>17</v>
      </c>
      <c r="D219" s="5" t="s">
        <v>18</v>
      </c>
      <c r="E219" s="5" t="s">
        <v>56</v>
      </c>
      <c r="F219" s="5">
        <v>8</v>
      </c>
      <c r="G219" s="5">
        <v>8783</v>
      </c>
      <c r="H219" s="5">
        <v>2</v>
      </c>
      <c r="I219" s="6">
        <v>46123</v>
      </c>
      <c r="J219" s="6">
        <v>46132</v>
      </c>
      <c r="K219" s="5" t="s">
        <v>15</v>
      </c>
    </row>
    <row r="220" spans="1:11" ht="15" thickBot="1" x14ac:dyDescent="0.4">
      <c r="A220" s="5">
        <v>1204</v>
      </c>
      <c r="B220" s="5" t="s">
        <v>16</v>
      </c>
      <c r="C220" s="5" t="s">
        <v>31</v>
      </c>
      <c r="D220" s="5" t="s">
        <v>13</v>
      </c>
      <c r="E220" s="5" t="s">
        <v>37</v>
      </c>
      <c r="F220" s="5">
        <v>13</v>
      </c>
      <c r="G220" s="5">
        <v>416</v>
      </c>
      <c r="H220" s="5">
        <v>10</v>
      </c>
      <c r="I220" s="6">
        <v>46123</v>
      </c>
      <c r="J220" s="6">
        <v>46132</v>
      </c>
      <c r="K220" s="5" t="s">
        <v>20</v>
      </c>
    </row>
    <row r="221" spans="1:11" ht="15" thickBot="1" x14ac:dyDescent="0.4">
      <c r="A221" s="5">
        <v>1279</v>
      </c>
      <c r="B221" s="5" t="s">
        <v>55</v>
      </c>
      <c r="C221" s="5" t="s">
        <v>33</v>
      </c>
      <c r="D221" s="5" t="s">
        <v>34</v>
      </c>
      <c r="E221" s="5" t="s">
        <v>45</v>
      </c>
      <c r="F221" s="5">
        <v>20</v>
      </c>
      <c r="G221" s="5">
        <v>49042</v>
      </c>
      <c r="H221" s="5">
        <v>2</v>
      </c>
      <c r="I221" s="6">
        <v>46124</v>
      </c>
      <c r="J221" s="6">
        <v>46126</v>
      </c>
      <c r="K221" s="5" t="s">
        <v>15</v>
      </c>
    </row>
    <row r="222" spans="1:11" ht="15" thickBot="1" x14ac:dyDescent="0.4">
      <c r="A222" s="5">
        <v>1392</v>
      </c>
      <c r="B222" s="5" t="s">
        <v>29</v>
      </c>
      <c r="C222" s="5" t="s">
        <v>43</v>
      </c>
      <c r="D222" s="5" t="s">
        <v>34</v>
      </c>
      <c r="E222" s="5" t="s">
        <v>35</v>
      </c>
      <c r="F222" s="5">
        <v>13</v>
      </c>
      <c r="G222" s="5">
        <v>23903</v>
      </c>
      <c r="H222" s="5">
        <v>5</v>
      </c>
      <c r="I222" s="6">
        <v>46124</v>
      </c>
      <c r="J222" s="6">
        <v>46125</v>
      </c>
      <c r="K222" s="5" t="s">
        <v>29</v>
      </c>
    </row>
    <row r="223" spans="1:11" ht="15" thickBot="1" x14ac:dyDescent="0.4">
      <c r="A223" s="5">
        <v>1303</v>
      </c>
      <c r="B223" s="5" t="s">
        <v>57</v>
      </c>
      <c r="C223" s="5" t="s">
        <v>38</v>
      </c>
      <c r="D223" s="5" t="s">
        <v>34</v>
      </c>
      <c r="E223" s="5" t="s">
        <v>35</v>
      </c>
      <c r="F223" s="5">
        <v>13</v>
      </c>
      <c r="G223" s="5">
        <v>5170</v>
      </c>
      <c r="H223" s="5">
        <v>2</v>
      </c>
      <c r="I223" s="6">
        <v>46124</v>
      </c>
      <c r="J223" s="6">
        <v>46127</v>
      </c>
      <c r="K223" s="5" t="s">
        <v>15</v>
      </c>
    </row>
    <row r="224" spans="1:11" ht="15" thickBot="1" x14ac:dyDescent="0.4">
      <c r="A224" s="5">
        <v>1225</v>
      </c>
      <c r="B224" s="5" t="s">
        <v>42</v>
      </c>
      <c r="C224" s="5" t="s">
        <v>31</v>
      </c>
      <c r="D224" s="5" t="s">
        <v>34</v>
      </c>
      <c r="E224" s="5" t="s">
        <v>35</v>
      </c>
      <c r="F224" s="5">
        <v>16</v>
      </c>
      <c r="G224" s="5">
        <v>32262</v>
      </c>
      <c r="H224" s="5">
        <v>12</v>
      </c>
      <c r="I224" s="6">
        <v>46125</v>
      </c>
      <c r="J224" s="6">
        <v>46126</v>
      </c>
      <c r="K224" s="5" t="s">
        <v>20</v>
      </c>
    </row>
    <row r="225" spans="1:11" ht="15" thickBot="1" x14ac:dyDescent="0.4">
      <c r="A225" s="5">
        <v>1130</v>
      </c>
      <c r="B225" s="5" t="s">
        <v>48</v>
      </c>
      <c r="C225" s="5" t="s">
        <v>33</v>
      </c>
      <c r="D225" s="5" t="s">
        <v>13</v>
      </c>
      <c r="E225" s="5" t="s">
        <v>14</v>
      </c>
      <c r="F225" s="5">
        <v>12</v>
      </c>
      <c r="G225" s="5">
        <v>50</v>
      </c>
      <c r="H225" s="5">
        <v>2</v>
      </c>
      <c r="I225" s="6">
        <v>46125</v>
      </c>
      <c r="J225" s="6">
        <v>46131</v>
      </c>
      <c r="K225" s="5" t="s">
        <v>24</v>
      </c>
    </row>
    <row r="226" spans="1:11" ht="15" thickBot="1" x14ac:dyDescent="0.4">
      <c r="A226" s="5">
        <v>1073</v>
      </c>
      <c r="B226" s="5" t="s">
        <v>58</v>
      </c>
      <c r="C226" s="5" t="s">
        <v>17</v>
      </c>
      <c r="D226" s="5" t="s">
        <v>18</v>
      </c>
      <c r="E226" s="5" t="s">
        <v>56</v>
      </c>
      <c r="F226" s="5">
        <v>4</v>
      </c>
      <c r="G226" s="5">
        <v>2453</v>
      </c>
      <c r="H226" s="5">
        <v>7</v>
      </c>
      <c r="I226" s="6">
        <v>46126</v>
      </c>
      <c r="J226" s="6">
        <v>46129</v>
      </c>
      <c r="K226" s="5" t="s">
        <v>51</v>
      </c>
    </row>
    <row r="227" spans="1:11" ht="15" thickBot="1" x14ac:dyDescent="0.4">
      <c r="A227" s="5">
        <v>1098</v>
      </c>
      <c r="B227" s="5" t="s">
        <v>26</v>
      </c>
      <c r="C227" s="5" t="s">
        <v>25</v>
      </c>
      <c r="D227" s="5" t="s">
        <v>13</v>
      </c>
      <c r="E227" s="5" t="s">
        <v>53</v>
      </c>
      <c r="F227" s="5">
        <v>17</v>
      </c>
      <c r="G227" s="5">
        <v>345</v>
      </c>
      <c r="H227" s="5">
        <v>2</v>
      </c>
      <c r="I227" s="6">
        <v>46126</v>
      </c>
      <c r="J227" s="6">
        <v>46127</v>
      </c>
      <c r="K227" s="5" t="s">
        <v>51</v>
      </c>
    </row>
    <row r="228" spans="1:11" ht="15" thickBot="1" x14ac:dyDescent="0.4">
      <c r="A228" s="5">
        <v>1329</v>
      </c>
      <c r="B228" s="5" t="s">
        <v>30</v>
      </c>
      <c r="C228" s="5" t="s">
        <v>43</v>
      </c>
      <c r="D228" s="5" t="s">
        <v>13</v>
      </c>
      <c r="E228" s="5" t="s">
        <v>53</v>
      </c>
      <c r="F228" s="5">
        <v>18</v>
      </c>
      <c r="G228" s="5">
        <v>227</v>
      </c>
      <c r="H228" s="5">
        <v>5</v>
      </c>
      <c r="I228" s="6">
        <v>46126</v>
      </c>
      <c r="J228" s="6">
        <v>46136</v>
      </c>
      <c r="K228" s="5" t="s">
        <v>29</v>
      </c>
    </row>
    <row r="229" spans="1:11" ht="15" thickBot="1" x14ac:dyDescent="0.4">
      <c r="A229" s="5">
        <v>1358</v>
      </c>
      <c r="B229" s="5" t="s">
        <v>40</v>
      </c>
      <c r="C229" s="5" t="s">
        <v>38</v>
      </c>
      <c r="D229" s="5" t="s">
        <v>18</v>
      </c>
      <c r="E229" s="5" t="s">
        <v>19</v>
      </c>
      <c r="F229" s="5">
        <v>7</v>
      </c>
      <c r="G229" s="5">
        <v>6618</v>
      </c>
      <c r="H229" s="5">
        <v>0</v>
      </c>
      <c r="I229" s="6">
        <v>46127</v>
      </c>
      <c r="J229" s="6">
        <v>46129</v>
      </c>
      <c r="K229" s="5" t="s">
        <v>20</v>
      </c>
    </row>
    <row r="230" spans="1:11" ht="15" thickBot="1" x14ac:dyDescent="0.4">
      <c r="A230" s="5">
        <v>1050</v>
      </c>
      <c r="B230" s="5" t="s">
        <v>32</v>
      </c>
      <c r="C230" s="5" t="s">
        <v>25</v>
      </c>
      <c r="D230" s="5" t="s">
        <v>13</v>
      </c>
      <c r="E230" s="5" t="s">
        <v>53</v>
      </c>
      <c r="F230" s="5">
        <v>12</v>
      </c>
      <c r="G230" s="5">
        <v>360</v>
      </c>
      <c r="H230" s="5">
        <v>5</v>
      </c>
      <c r="I230" s="6">
        <v>46127</v>
      </c>
      <c r="J230" s="6">
        <v>46137</v>
      </c>
      <c r="K230" s="5" t="s">
        <v>29</v>
      </c>
    </row>
    <row r="231" spans="1:11" ht="15" thickBot="1" x14ac:dyDescent="0.4">
      <c r="A231" s="5">
        <v>1380</v>
      </c>
      <c r="B231" s="5" t="s">
        <v>52</v>
      </c>
      <c r="C231" s="5" t="s">
        <v>43</v>
      </c>
      <c r="D231" s="5" t="s">
        <v>13</v>
      </c>
      <c r="E231" s="5" t="s">
        <v>53</v>
      </c>
      <c r="F231" s="5">
        <v>3</v>
      </c>
      <c r="G231" s="5">
        <v>412</v>
      </c>
      <c r="H231" s="5">
        <v>7</v>
      </c>
      <c r="I231" s="6">
        <v>46128</v>
      </c>
      <c r="J231" s="6">
        <v>46138</v>
      </c>
      <c r="K231" s="5" t="s">
        <v>24</v>
      </c>
    </row>
    <row r="232" spans="1:11" ht="15" thickBot="1" x14ac:dyDescent="0.4">
      <c r="A232" s="5">
        <v>1308</v>
      </c>
      <c r="B232" s="5" t="s">
        <v>30</v>
      </c>
      <c r="C232" s="5" t="s">
        <v>22</v>
      </c>
      <c r="D232" s="5" t="s">
        <v>34</v>
      </c>
      <c r="E232" s="5" t="s">
        <v>41</v>
      </c>
      <c r="F232" s="5">
        <v>12</v>
      </c>
      <c r="G232" s="5">
        <v>66075</v>
      </c>
      <c r="H232" s="5">
        <v>5</v>
      </c>
      <c r="I232" s="6">
        <v>46129</v>
      </c>
      <c r="J232" s="6">
        <v>46135</v>
      </c>
      <c r="K232" s="5" t="s">
        <v>20</v>
      </c>
    </row>
    <row r="233" spans="1:11" ht="15" thickBot="1" x14ac:dyDescent="0.4">
      <c r="A233" s="5">
        <v>1014</v>
      </c>
      <c r="B233" s="5" t="s">
        <v>40</v>
      </c>
      <c r="C233" s="5" t="s">
        <v>17</v>
      </c>
      <c r="D233" s="5" t="s">
        <v>34</v>
      </c>
      <c r="E233" s="5" t="s">
        <v>41</v>
      </c>
      <c r="F233" s="5">
        <v>19</v>
      </c>
      <c r="G233" s="5">
        <v>53683</v>
      </c>
      <c r="H233" s="5">
        <v>12</v>
      </c>
      <c r="I233" s="6">
        <v>46129</v>
      </c>
      <c r="J233" s="6">
        <v>46134</v>
      </c>
      <c r="K233" s="5" t="s">
        <v>29</v>
      </c>
    </row>
    <row r="234" spans="1:11" ht="15" thickBot="1" x14ac:dyDescent="0.4">
      <c r="A234" s="5">
        <v>1071</v>
      </c>
      <c r="B234" s="5" t="s">
        <v>59</v>
      </c>
      <c r="C234" s="5" t="s">
        <v>22</v>
      </c>
      <c r="D234" s="5" t="s">
        <v>34</v>
      </c>
      <c r="E234" s="5" t="s">
        <v>61</v>
      </c>
      <c r="F234" s="5">
        <v>18</v>
      </c>
      <c r="G234" s="5">
        <v>32197</v>
      </c>
      <c r="H234" s="5">
        <v>5</v>
      </c>
      <c r="I234" s="6">
        <v>46129</v>
      </c>
      <c r="J234" s="6">
        <v>46137</v>
      </c>
      <c r="K234" s="5" t="s">
        <v>20</v>
      </c>
    </row>
    <row r="235" spans="1:11" ht="15" thickBot="1" x14ac:dyDescent="0.4">
      <c r="A235" s="5">
        <v>1194</v>
      </c>
      <c r="B235" s="5" t="s">
        <v>57</v>
      </c>
      <c r="C235" s="5" t="s">
        <v>43</v>
      </c>
      <c r="D235" s="5" t="s">
        <v>18</v>
      </c>
      <c r="E235" s="5" t="s">
        <v>28</v>
      </c>
      <c r="F235" s="5">
        <v>13</v>
      </c>
      <c r="G235" s="5">
        <v>12856</v>
      </c>
      <c r="H235" s="5">
        <v>15</v>
      </c>
      <c r="I235" s="6">
        <v>46129</v>
      </c>
      <c r="J235" s="6">
        <v>46133</v>
      </c>
      <c r="K235" s="5" t="s">
        <v>51</v>
      </c>
    </row>
    <row r="236" spans="1:11" ht="15" thickBot="1" x14ac:dyDescent="0.4">
      <c r="A236" s="5">
        <v>1269</v>
      </c>
      <c r="B236" s="5" t="s">
        <v>52</v>
      </c>
      <c r="C236" s="5" t="s">
        <v>43</v>
      </c>
      <c r="D236" s="5" t="s">
        <v>18</v>
      </c>
      <c r="E236" s="5" t="s">
        <v>19</v>
      </c>
      <c r="F236" s="5">
        <v>14</v>
      </c>
      <c r="G236" s="5">
        <v>5704</v>
      </c>
      <c r="H236" s="5">
        <v>2</v>
      </c>
      <c r="I236" s="6">
        <v>46129</v>
      </c>
      <c r="J236" s="6">
        <v>46131</v>
      </c>
      <c r="K236" s="5" t="s">
        <v>15</v>
      </c>
    </row>
    <row r="237" spans="1:11" ht="15" thickBot="1" x14ac:dyDescent="0.4">
      <c r="A237" s="5">
        <v>1267</v>
      </c>
      <c r="B237" s="5" t="s">
        <v>27</v>
      </c>
      <c r="C237" s="5" t="s">
        <v>38</v>
      </c>
      <c r="D237" s="5" t="s">
        <v>13</v>
      </c>
      <c r="E237" s="5" t="s">
        <v>50</v>
      </c>
      <c r="F237" s="5">
        <v>1</v>
      </c>
      <c r="G237" s="5">
        <v>50</v>
      </c>
      <c r="H237" s="5">
        <v>0</v>
      </c>
      <c r="I237" s="6">
        <v>46129</v>
      </c>
      <c r="J237" s="6">
        <v>46138</v>
      </c>
      <c r="K237" s="5" t="s">
        <v>20</v>
      </c>
    </row>
    <row r="238" spans="1:11" ht="15" thickBot="1" x14ac:dyDescent="0.4">
      <c r="A238" s="5">
        <v>1382</v>
      </c>
      <c r="B238" s="5" t="s">
        <v>49</v>
      </c>
      <c r="C238" s="5" t="s">
        <v>33</v>
      </c>
      <c r="D238" s="5" t="s">
        <v>34</v>
      </c>
      <c r="E238" s="5" t="s">
        <v>60</v>
      </c>
      <c r="F238" s="5">
        <v>11</v>
      </c>
      <c r="G238" s="5">
        <v>36198</v>
      </c>
      <c r="H238" s="5">
        <v>0</v>
      </c>
      <c r="I238" s="6">
        <v>46130</v>
      </c>
      <c r="J238" s="6">
        <v>46134</v>
      </c>
      <c r="K238" s="5" t="s">
        <v>15</v>
      </c>
    </row>
    <row r="239" spans="1:11" ht="15" thickBot="1" x14ac:dyDescent="0.4">
      <c r="A239" s="5">
        <v>1263</v>
      </c>
      <c r="B239" s="5" t="s">
        <v>29</v>
      </c>
      <c r="C239" s="5" t="s">
        <v>38</v>
      </c>
      <c r="D239" s="5" t="s">
        <v>18</v>
      </c>
      <c r="E239" s="5" t="s">
        <v>28</v>
      </c>
      <c r="F239" s="5">
        <v>10</v>
      </c>
      <c r="G239" s="5">
        <v>1505</v>
      </c>
      <c r="H239" s="5">
        <v>0</v>
      </c>
      <c r="I239" s="6">
        <v>46130</v>
      </c>
      <c r="J239" s="6">
        <v>46138</v>
      </c>
      <c r="K239" s="5" t="s">
        <v>51</v>
      </c>
    </row>
    <row r="240" spans="1:11" ht="15" thickBot="1" x14ac:dyDescent="0.4">
      <c r="A240" s="5">
        <v>1168</v>
      </c>
      <c r="B240" s="5" t="s">
        <v>54</v>
      </c>
      <c r="C240" s="5" t="s">
        <v>12</v>
      </c>
      <c r="D240" s="5" t="s">
        <v>13</v>
      </c>
      <c r="E240" s="5" t="s">
        <v>37</v>
      </c>
      <c r="F240" s="5">
        <v>18</v>
      </c>
      <c r="G240" s="5">
        <v>335</v>
      </c>
      <c r="H240" s="5">
        <v>15</v>
      </c>
      <c r="I240" s="6">
        <v>46130</v>
      </c>
      <c r="J240" s="6">
        <v>46140</v>
      </c>
      <c r="K240" s="5" t="s">
        <v>29</v>
      </c>
    </row>
    <row r="241" spans="1:11" ht="15" thickBot="1" x14ac:dyDescent="0.4">
      <c r="A241" s="5">
        <v>1215</v>
      </c>
      <c r="B241" s="5" t="s">
        <v>27</v>
      </c>
      <c r="C241" s="5" t="s">
        <v>12</v>
      </c>
      <c r="D241" s="5" t="s">
        <v>18</v>
      </c>
      <c r="E241" s="5" t="s">
        <v>28</v>
      </c>
      <c r="F241" s="5">
        <v>6</v>
      </c>
      <c r="G241" s="5">
        <v>1254</v>
      </c>
      <c r="H241" s="5">
        <v>0</v>
      </c>
      <c r="I241" s="6">
        <v>46131</v>
      </c>
      <c r="J241" s="6">
        <v>46136</v>
      </c>
      <c r="K241" s="5" t="s">
        <v>29</v>
      </c>
    </row>
    <row r="242" spans="1:11" ht="15" thickBot="1" x14ac:dyDescent="0.4">
      <c r="A242" s="5">
        <v>1122</v>
      </c>
      <c r="B242" s="5" t="s">
        <v>40</v>
      </c>
      <c r="C242" s="5" t="s">
        <v>22</v>
      </c>
      <c r="D242" s="5" t="s">
        <v>34</v>
      </c>
      <c r="E242" s="5" t="s">
        <v>39</v>
      </c>
      <c r="F242" s="5">
        <v>14</v>
      </c>
      <c r="G242" s="5">
        <v>49990</v>
      </c>
      <c r="H242" s="5">
        <v>10</v>
      </c>
      <c r="I242" s="6">
        <v>46132</v>
      </c>
      <c r="J242" s="6">
        <v>46135</v>
      </c>
      <c r="K242" s="5" t="s">
        <v>29</v>
      </c>
    </row>
    <row r="243" spans="1:11" ht="15" thickBot="1" x14ac:dyDescent="0.4">
      <c r="A243" s="5">
        <v>1342</v>
      </c>
      <c r="B243" s="5" t="s">
        <v>59</v>
      </c>
      <c r="C243" s="5" t="s">
        <v>31</v>
      </c>
      <c r="D243" s="5" t="s">
        <v>34</v>
      </c>
      <c r="E243" s="5" t="s">
        <v>35</v>
      </c>
      <c r="F243" s="5">
        <v>13</v>
      </c>
      <c r="G243" s="5">
        <v>47881</v>
      </c>
      <c r="H243" s="5">
        <v>15</v>
      </c>
      <c r="I243" s="6">
        <v>46132</v>
      </c>
      <c r="J243" s="6">
        <v>46139</v>
      </c>
      <c r="K243" s="5" t="s">
        <v>29</v>
      </c>
    </row>
    <row r="244" spans="1:11" ht="15" thickBot="1" x14ac:dyDescent="0.4">
      <c r="A244" s="5">
        <v>1080</v>
      </c>
      <c r="B244" s="5" t="s">
        <v>21</v>
      </c>
      <c r="C244" s="5" t="s">
        <v>22</v>
      </c>
      <c r="D244" s="5" t="s">
        <v>34</v>
      </c>
      <c r="E244" s="5" t="s">
        <v>41</v>
      </c>
      <c r="F244" s="5">
        <v>12</v>
      </c>
      <c r="G244" s="5">
        <v>54161</v>
      </c>
      <c r="H244" s="5">
        <v>15</v>
      </c>
      <c r="I244" s="6">
        <v>46133</v>
      </c>
      <c r="J244" s="6">
        <v>46143</v>
      </c>
      <c r="K244" s="5" t="s">
        <v>24</v>
      </c>
    </row>
    <row r="245" spans="1:11" ht="15" thickBot="1" x14ac:dyDescent="0.4">
      <c r="A245" s="5">
        <v>1111</v>
      </c>
      <c r="B245" s="5" t="s">
        <v>47</v>
      </c>
      <c r="C245" s="5" t="s">
        <v>17</v>
      </c>
      <c r="D245" s="5" t="s">
        <v>34</v>
      </c>
      <c r="E245" s="5" t="s">
        <v>35</v>
      </c>
      <c r="F245" s="5">
        <v>5</v>
      </c>
      <c r="G245" s="5">
        <v>49945</v>
      </c>
      <c r="H245" s="5">
        <v>12</v>
      </c>
      <c r="I245" s="6">
        <v>46133</v>
      </c>
      <c r="J245" s="6">
        <v>46141</v>
      </c>
      <c r="K245" s="5" t="s">
        <v>29</v>
      </c>
    </row>
    <row r="246" spans="1:11" ht="15" thickBot="1" x14ac:dyDescent="0.4">
      <c r="A246" s="5">
        <v>1056</v>
      </c>
      <c r="B246" s="5" t="s">
        <v>11</v>
      </c>
      <c r="C246" s="5" t="s">
        <v>22</v>
      </c>
      <c r="D246" s="5" t="s">
        <v>18</v>
      </c>
      <c r="E246" s="5" t="s">
        <v>19</v>
      </c>
      <c r="F246" s="5">
        <v>3</v>
      </c>
      <c r="G246" s="5">
        <v>9771</v>
      </c>
      <c r="H246" s="5">
        <v>5</v>
      </c>
      <c r="I246" s="6">
        <v>46133</v>
      </c>
      <c r="J246" s="6">
        <v>46139</v>
      </c>
      <c r="K246" s="5" t="s">
        <v>24</v>
      </c>
    </row>
    <row r="247" spans="1:11" ht="15" thickBot="1" x14ac:dyDescent="0.4">
      <c r="A247" s="5">
        <v>1357</v>
      </c>
      <c r="B247" s="5" t="s">
        <v>59</v>
      </c>
      <c r="C247" s="5" t="s">
        <v>25</v>
      </c>
      <c r="D247" s="5" t="s">
        <v>13</v>
      </c>
      <c r="E247" s="5" t="s">
        <v>37</v>
      </c>
      <c r="F247" s="5">
        <v>6</v>
      </c>
      <c r="G247" s="5">
        <v>365</v>
      </c>
      <c r="H247" s="5">
        <v>7</v>
      </c>
      <c r="I247" s="6">
        <v>46133</v>
      </c>
      <c r="J247" s="6">
        <v>46140</v>
      </c>
      <c r="K247" s="5" t="s">
        <v>51</v>
      </c>
    </row>
    <row r="248" spans="1:11" ht="15" thickBot="1" x14ac:dyDescent="0.4">
      <c r="A248" s="5">
        <v>1125</v>
      </c>
      <c r="B248" s="5" t="s">
        <v>49</v>
      </c>
      <c r="C248" s="5" t="s">
        <v>33</v>
      </c>
      <c r="D248" s="5" t="s">
        <v>13</v>
      </c>
      <c r="E248" s="5" t="s">
        <v>14</v>
      </c>
      <c r="F248" s="5">
        <v>6</v>
      </c>
      <c r="G248" s="5">
        <v>30</v>
      </c>
      <c r="H248" s="5">
        <v>2</v>
      </c>
      <c r="I248" s="6">
        <v>46133</v>
      </c>
      <c r="J248" s="6">
        <v>46138</v>
      </c>
      <c r="K248" s="5" t="s">
        <v>24</v>
      </c>
    </row>
    <row r="249" spans="1:11" ht="15" thickBot="1" x14ac:dyDescent="0.4">
      <c r="A249" s="5">
        <v>1200</v>
      </c>
      <c r="B249" s="5" t="s">
        <v>29</v>
      </c>
      <c r="C249" s="5" t="s">
        <v>31</v>
      </c>
      <c r="D249" s="5" t="s">
        <v>34</v>
      </c>
      <c r="E249" s="5" t="s">
        <v>45</v>
      </c>
      <c r="F249" s="5">
        <v>13</v>
      </c>
      <c r="G249" s="5">
        <v>69422</v>
      </c>
      <c r="H249" s="5">
        <v>0</v>
      </c>
      <c r="I249" s="6">
        <v>46134</v>
      </c>
      <c r="J249" s="6">
        <v>46143</v>
      </c>
      <c r="K249" s="5" t="s">
        <v>29</v>
      </c>
    </row>
    <row r="250" spans="1:11" ht="15" thickBot="1" x14ac:dyDescent="0.4">
      <c r="A250" s="5">
        <v>1270</v>
      </c>
      <c r="B250" s="5" t="s">
        <v>49</v>
      </c>
      <c r="C250" s="5" t="s">
        <v>43</v>
      </c>
      <c r="D250" s="5" t="s">
        <v>34</v>
      </c>
      <c r="E250" s="5" t="s">
        <v>35</v>
      </c>
      <c r="F250" s="5">
        <v>16</v>
      </c>
      <c r="G250" s="5">
        <v>62941</v>
      </c>
      <c r="H250" s="5">
        <v>7</v>
      </c>
      <c r="I250" s="6">
        <v>46135</v>
      </c>
      <c r="J250" s="6">
        <v>46141</v>
      </c>
      <c r="K250" s="5" t="s">
        <v>51</v>
      </c>
    </row>
    <row r="251" spans="1:11" ht="15" thickBot="1" x14ac:dyDescent="0.4">
      <c r="A251" s="5">
        <v>1216</v>
      </c>
      <c r="B251" s="5" t="s">
        <v>40</v>
      </c>
      <c r="C251" s="5" t="s">
        <v>22</v>
      </c>
      <c r="D251" s="5" t="s">
        <v>34</v>
      </c>
      <c r="E251" s="5" t="s">
        <v>45</v>
      </c>
      <c r="F251" s="5">
        <v>10</v>
      </c>
      <c r="G251" s="5">
        <v>56709</v>
      </c>
      <c r="H251" s="5">
        <v>15</v>
      </c>
      <c r="I251" s="6">
        <v>46135</v>
      </c>
      <c r="J251" s="6">
        <v>46139</v>
      </c>
      <c r="K251" s="5" t="s">
        <v>29</v>
      </c>
    </row>
    <row r="252" spans="1:11" ht="15" thickBot="1" x14ac:dyDescent="0.4">
      <c r="A252" s="5">
        <v>1091</v>
      </c>
      <c r="B252" s="5" t="s">
        <v>55</v>
      </c>
      <c r="C252" s="5" t="s">
        <v>17</v>
      </c>
      <c r="D252" s="5" t="s">
        <v>13</v>
      </c>
      <c r="E252" s="5" t="s">
        <v>53</v>
      </c>
      <c r="F252" s="5">
        <v>2</v>
      </c>
      <c r="G252" s="5">
        <v>305</v>
      </c>
      <c r="H252" s="5">
        <v>0</v>
      </c>
      <c r="I252" s="6">
        <v>46136</v>
      </c>
      <c r="J252" s="6">
        <v>46144</v>
      </c>
      <c r="K252" s="5" t="s">
        <v>15</v>
      </c>
    </row>
    <row r="253" spans="1:11" ht="15" thickBot="1" x14ac:dyDescent="0.4">
      <c r="A253" s="5">
        <v>1016</v>
      </c>
      <c r="B253" s="5" t="s">
        <v>32</v>
      </c>
      <c r="C253" s="5" t="s">
        <v>33</v>
      </c>
      <c r="D253" s="5" t="s">
        <v>34</v>
      </c>
      <c r="E253" s="5" t="s">
        <v>45</v>
      </c>
      <c r="F253" s="5">
        <v>16</v>
      </c>
      <c r="G253" s="5">
        <v>30234</v>
      </c>
      <c r="H253" s="5">
        <v>15</v>
      </c>
      <c r="I253" s="6">
        <v>46137</v>
      </c>
      <c r="J253" s="6">
        <v>46140</v>
      </c>
      <c r="K253" s="5" t="s">
        <v>24</v>
      </c>
    </row>
    <row r="254" spans="1:11" ht="15" thickBot="1" x14ac:dyDescent="0.4">
      <c r="A254" s="5">
        <v>1237</v>
      </c>
      <c r="B254" s="5" t="s">
        <v>46</v>
      </c>
      <c r="C254" s="5" t="s">
        <v>38</v>
      </c>
      <c r="D254" s="5" t="s">
        <v>18</v>
      </c>
      <c r="E254" s="5" t="s">
        <v>56</v>
      </c>
      <c r="F254" s="5">
        <v>8</v>
      </c>
      <c r="G254" s="5">
        <v>12123</v>
      </c>
      <c r="H254" s="5">
        <v>2</v>
      </c>
      <c r="I254" s="6">
        <v>46137</v>
      </c>
      <c r="J254" s="6">
        <v>46145</v>
      </c>
      <c r="K254" s="5" t="s">
        <v>15</v>
      </c>
    </row>
    <row r="255" spans="1:11" ht="15" thickBot="1" x14ac:dyDescent="0.4">
      <c r="A255" s="5">
        <v>1258</v>
      </c>
      <c r="B255" s="5" t="s">
        <v>32</v>
      </c>
      <c r="C255" s="5" t="s">
        <v>31</v>
      </c>
      <c r="D255" s="5" t="s">
        <v>34</v>
      </c>
      <c r="E255" s="5" t="s">
        <v>60</v>
      </c>
      <c r="F255" s="5">
        <v>1</v>
      </c>
      <c r="G255" s="5">
        <v>10600</v>
      </c>
      <c r="H255" s="5">
        <v>5</v>
      </c>
      <c r="I255" s="6">
        <v>46137</v>
      </c>
      <c r="J255" s="6">
        <v>46138</v>
      </c>
      <c r="K255" s="5" t="s">
        <v>29</v>
      </c>
    </row>
    <row r="256" spans="1:11" ht="15" thickBot="1" x14ac:dyDescent="0.4">
      <c r="A256" s="5">
        <v>1188</v>
      </c>
      <c r="B256" s="5" t="s">
        <v>29</v>
      </c>
      <c r="C256" s="5" t="s">
        <v>22</v>
      </c>
      <c r="D256" s="5" t="s">
        <v>18</v>
      </c>
      <c r="E256" s="5" t="s">
        <v>56</v>
      </c>
      <c r="F256" s="5">
        <v>6</v>
      </c>
      <c r="G256" s="5">
        <v>10368</v>
      </c>
      <c r="H256" s="5">
        <v>7</v>
      </c>
      <c r="I256" s="6">
        <v>46137</v>
      </c>
      <c r="J256" s="6">
        <v>46142</v>
      </c>
      <c r="K256" s="5" t="s">
        <v>15</v>
      </c>
    </row>
    <row r="257" spans="1:11" ht="15" thickBot="1" x14ac:dyDescent="0.4">
      <c r="A257" s="5">
        <v>1291</v>
      </c>
      <c r="B257" s="5" t="s">
        <v>21</v>
      </c>
      <c r="C257" s="5" t="s">
        <v>17</v>
      </c>
      <c r="D257" s="5" t="s">
        <v>13</v>
      </c>
      <c r="E257" s="5" t="s">
        <v>36</v>
      </c>
      <c r="F257" s="5">
        <v>17</v>
      </c>
      <c r="G257" s="5">
        <v>415</v>
      </c>
      <c r="H257" s="5">
        <v>5</v>
      </c>
      <c r="I257" s="6">
        <v>46137</v>
      </c>
      <c r="J257" s="6">
        <v>46141</v>
      </c>
      <c r="K257" s="5" t="s">
        <v>20</v>
      </c>
    </row>
    <row r="258" spans="1:11" ht="15" thickBot="1" x14ac:dyDescent="0.4">
      <c r="A258" s="5">
        <v>1144</v>
      </c>
      <c r="B258" s="5" t="s">
        <v>42</v>
      </c>
      <c r="C258" s="5" t="s">
        <v>25</v>
      </c>
      <c r="D258" s="5" t="s">
        <v>13</v>
      </c>
      <c r="E258" s="5" t="s">
        <v>14</v>
      </c>
      <c r="F258" s="5">
        <v>16</v>
      </c>
      <c r="G258" s="5">
        <v>219</v>
      </c>
      <c r="H258" s="5">
        <v>7</v>
      </c>
      <c r="I258" s="6">
        <v>46138</v>
      </c>
      <c r="J258" s="6">
        <v>46140</v>
      </c>
      <c r="K258" s="5" t="s">
        <v>20</v>
      </c>
    </row>
    <row r="259" spans="1:11" ht="15" thickBot="1" x14ac:dyDescent="0.4">
      <c r="A259" s="5">
        <v>1214</v>
      </c>
      <c r="B259" s="5" t="s">
        <v>42</v>
      </c>
      <c r="C259" s="5" t="s">
        <v>25</v>
      </c>
      <c r="D259" s="5" t="s">
        <v>18</v>
      </c>
      <c r="E259" s="5" t="s">
        <v>28</v>
      </c>
      <c r="F259" s="5">
        <v>19</v>
      </c>
      <c r="G259" s="5">
        <v>13832</v>
      </c>
      <c r="H259" s="5">
        <v>0</v>
      </c>
      <c r="I259" s="6">
        <v>46140</v>
      </c>
      <c r="J259" s="6">
        <v>46145</v>
      </c>
      <c r="K259" s="5" t="s">
        <v>51</v>
      </c>
    </row>
    <row r="260" spans="1:11" ht="15" thickBot="1" x14ac:dyDescent="0.4">
      <c r="A260" s="5">
        <v>1346</v>
      </c>
      <c r="B260" s="5" t="s">
        <v>32</v>
      </c>
      <c r="C260" s="5" t="s">
        <v>22</v>
      </c>
      <c r="D260" s="5" t="s">
        <v>18</v>
      </c>
      <c r="E260" s="5" t="s">
        <v>19</v>
      </c>
      <c r="F260" s="5">
        <v>16</v>
      </c>
      <c r="G260" s="5">
        <v>6910</v>
      </c>
      <c r="H260" s="5">
        <v>15</v>
      </c>
      <c r="I260" s="6">
        <v>46140</v>
      </c>
      <c r="J260" s="6">
        <v>46142</v>
      </c>
      <c r="K260" s="5" t="s">
        <v>29</v>
      </c>
    </row>
    <row r="261" spans="1:11" ht="15" thickBot="1" x14ac:dyDescent="0.4">
      <c r="A261" s="5">
        <v>1101</v>
      </c>
      <c r="B261" s="5" t="s">
        <v>27</v>
      </c>
      <c r="C261" s="5" t="s">
        <v>22</v>
      </c>
      <c r="D261" s="5" t="s">
        <v>34</v>
      </c>
      <c r="E261" s="5" t="s">
        <v>61</v>
      </c>
      <c r="F261" s="5">
        <v>9</v>
      </c>
      <c r="G261" s="5">
        <v>37361</v>
      </c>
      <c r="H261" s="5">
        <v>10</v>
      </c>
      <c r="I261" s="6">
        <v>46141</v>
      </c>
      <c r="J261" s="6">
        <v>46142</v>
      </c>
      <c r="K261" s="5" t="s">
        <v>24</v>
      </c>
    </row>
    <row r="262" spans="1:11" ht="15" thickBot="1" x14ac:dyDescent="0.4">
      <c r="A262" s="5">
        <v>1322</v>
      </c>
      <c r="B262" s="5" t="s">
        <v>27</v>
      </c>
      <c r="C262" s="5" t="s">
        <v>12</v>
      </c>
      <c r="D262" s="5" t="s">
        <v>18</v>
      </c>
      <c r="E262" s="5" t="s">
        <v>23</v>
      </c>
      <c r="F262" s="5">
        <v>14</v>
      </c>
      <c r="G262" s="5">
        <v>9081</v>
      </c>
      <c r="H262" s="5">
        <v>15</v>
      </c>
      <c r="I262" s="6">
        <v>46141</v>
      </c>
      <c r="J262" s="6">
        <v>46146</v>
      </c>
      <c r="K262" s="5" t="s">
        <v>15</v>
      </c>
    </row>
    <row r="263" spans="1:11" ht="15" thickBot="1" x14ac:dyDescent="0.4">
      <c r="A263" s="5">
        <v>1361</v>
      </c>
      <c r="B263" s="5" t="s">
        <v>42</v>
      </c>
      <c r="C263" s="5" t="s">
        <v>17</v>
      </c>
      <c r="D263" s="5" t="s">
        <v>18</v>
      </c>
      <c r="E263" s="5" t="s">
        <v>23</v>
      </c>
      <c r="F263" s="5">
        <v>2</v>
      </c>
      <c r="G263" s="5">
        <v>1822</v>
      </c>
      <c r="H263" s="5">
        <v>5</v>
      </c>
      <c r="I263" s="6">
        <v>46141</v>
      </c>
      <c r="J263" s="6">
        <v>46145</v>
      </c>
      <c r="K263" s="5" t="s">
        <v>20</v>
      </c>
    </row>
    <row r="264" spans="1:11" ht="15" thickBot="1" x14ac:dyDescent="0.4">
      <c r="A264" s="5">
        <v>1254</v>
      </c>
      <c r="B264" s="5" t="s">
        <v>52</v>
      </c>
      <c r="C264" s="5" t="s">
        <v>22</v>
      </c>
      <c r="D264" s="5" t="s">
        <v>13</v>
      </c>
      <c r="E264" s="5" t="s">
        <v>50</v>
      </c>
      <c r="F264" s="5">
        <v>18</v>
      </c>
      <c r="G264" s="5">
        <v>447</v>
      </c>
      <c r="H264" s="5">
        <v>15</v>
      </c>
      <c r="I264" s="6">
        <v>46141</v>
      </c>
      <c r="J264" s="6">
        <v>46149</v>
      </c>
      <c r="K264" s="5" t="s">
        <v>24</v>
      </c>
    </row>
    <row r="265" spans="1:11" ht="15" thickBot="1" x14ac:dyDescent="0.4">
      <c r="A265" s="5">
        <v>1160</v>
      </c>
      <c r="B265" s="5" t="s">
        <v>59</v>
      </c>
      <c r="C265" s="5" t="s">
        <v>22</v>
      </c>
      <c r="D265" s="5" t="s">
        <v>34</v>
      </c>
      <c r="E265" s="5" t="s">
        <v>39</v>
      </c>
      <c r="F265" s="5">
        <v>7</v>
      </c>
      <c r="G265" s="5">
        <v>53986</v>
      </c>
      <c r="H265" s="5">
        <v>10</v>
      </c>
      <c r="I265" s="6">
        <v>46142</v>
      </c>
      <c r="J265" s="6">
        <v>46147</v>
      </c>
      <c r="K265" s="5" t="s">
        <v>51</v>
      </c>
    </row>
    <row r="266" spans="1:11" ht="15" thickBot="1" x14ac:dyDescent="0.4">
      <c r="A266" s="5">
        <v>1240</v>
      </c>
      <c r="B266" s="5" t="s">
        <v>55</v>
      </c>
      <c r="C266" s="5" t="s">
        <v>33</v>
      </c>
      <c r="D266" s="5" t="s">
        <v>18</v>
      </c>
      <c r="E266" s="5" t="s">
        <v>23</v>
      </c>
      <c r="F266" s="5">
        <v>2</v>
      </c>
      <c r="G266" s="5">
        <v>5475</v>
      </c>
      <c r="H266" s="5">
        <v>2</v>
      </c>
      <c r="I266" s="6">
        <v>46142</v>
      </c>
      <c r="J266" s="6">
        <v>46146</v>
      </c>
      <c r="K266" s="5" t="s">
        <v>29</v>
      </c>
    </row>
    <row r="267" spans="1:11" ht="15" thickBot="1" x14ac:dyDescent="0.4">
      <c r="A267" s="5">
        <v>1339</v>
      </c>
      <c r="B267" s="5" t="s">
        <v>32</v>
      </c>
      <c r="C267" s="5" t="s">
        <v>25</v>
      </c>
      <c r="D267" s="5" t="s">
        <v>13</v>
      </c>
      <c r="E267" s="5" t="s">
        <v>14</v>
      </c>
      <c r="F267" s="5">
        <v>6</v>
      </c>
      <c r="G267" s="5">
        <v>302</v>
      </c>
      <c r="H267" s="5">
        <v>5</v>
      </c>
      <c r="I267" s="6">
        <v>46142</v>
      </c>
      <c r="J267" s="6">
        <v>46148</v>
      </c>
      <c r="K267" s="5" t="s">
        <v>20</v>
      </c>
    </row>
    <row r="268" spans="1:11" ht="15" thickBot="1" x14ac:dyDescent="0.4">
      <c r="A268" s="5">
        <v>1150</v>
      </c>
      <c r="B268" s="5" t="s">
        <v>42</v>
      </c>
      <c r="C268" s="5" t="s">
        <v>12</v>
      </c>
      <c r="D268" s="5" t="s">
        <v>18</v>
      </c>
      <c r="E268" s="5" t="s">
        <v>56</v>
      </c>
      <c r="F268" s="5">
        <v>10</v>
      </c>
      <c r="G268" s="5">
        <v>5323</v>
      </c>
      <c r="H268" s="5">
        <v>7</v>
      </c>
      <c r="I268" s="6">
        <v>46143</v>
      </c>
      <c r="J268" s="6">
        <v>46153</v>
      </c>
      <c r="K268" s="5" t="s">
        <v>24</v>
      </c>
    </row>
    <row r="269" spans="1:11" ht="15" thickBot="1" x14ac:dyDescent="0.4">
      <c r="A269" s="5">
        <v>1218</v>
      </c>
      <c r="B269" s="5" t="s">
        <v>55</v>
      </c>
      <c r="C269" s="5" t="s">
        <v>38</v>
      </c>
      <c r="D269" s="5" t="s">
        <v>13</v>
      </c>
      <c r="E269" s="5" t="s">
        <v>14</v>
      </c>
      <c r="F269" s="5">
        <v>1</v>
      </c>
      <c r="G269" s="5">
        <v>134</v>
      </c>
      <c r="H269" s="5">
        <v>10</v>
      </c>
      <c r="I269" s="6">
        <v>46143</v>
      </c>
      <c r="J269" s="6">
        <v>46151</v>
      </c>
      <c r="K269" s="5" t="s">
        <v>51</v>
      </c>
    </row>
    <row r="270" spans="1:11" ht="15" thickBot="1" x14ac:dyDescent="0.4">
      <c r="A270" s="5">
        <v>1021</v>
      </c>
      <c r="B270" s="5" t="s">
        <v>48</v>
      </c>
      <c r="C270" s="5" t="s">
        <v>43</v>
      </c>
      <c r="D270" s="5" t="s">
        <v>13</v>
      </c>
      <c r="E270" s="5" t="s">
        <v>14</v>
      </c>
      <c r="F270" s="5">
        <v>3</v>
      </c>
      <c r="G270" s="5">
        <v>484</v>
      </c>
      <c r="H270" s="5">
        <v>2</v>
      </c>
      <c r="I270" s="6">
        <v>46144</v>
      </c>
      <c r="J270" s="6">
        <v>46148</v>
      </c>
      <c r="K270" s="5" t="s">
        <v>24</v>
      </c>
    </row>
    <row r="271" spans="1:11" ht="15" thickBot="1" x14ac:dyDescent="0.4">
      <c r="A271" s="5">
        <v>1184</v>
      </c>
      <c r="B271" s="5" t="s">
        <v>40</v>
      </c>
      <c r="C271" s="5" t="s">
        <v>31</v>
      </c>
      <c r="D271" s="5" t="s">
        <v>34</v>
      </c>
      <c r="E271" s="5" t="s">
        <v>39</v>
      </c>
      <c r="F271" s="5">
        <v>12</v>
      </c>
      <c r="G271" s="5">
        <v>50517</v>
      </c>
      <c r="H271" s="5">
        <v>15</v>
      </c>
      <c r="I271" s="6">
        <v>46145</v>
      </c>
      <c r="J271" s="6">
        <v>46153</v>
      </c>
      <c r="K271" s="5" t="s">
        <v>29</v>
      </c>
    </row>
    <row r="272" spans="1:11" ht="15" thickBot="1" x14ac:dyDescent="0.4">
      <c r="A272" s="5">
        <v>1333</v>
      </c>
      <c r="B272" s="5" t="s">
        <v>29</v>
      </c>
      <c r="C272" s="5" t="s">
        <v>38</v>
      </c>
      <c r="D272" s="5" t="s">
        <v>13</v>
      </c>
      <c r="E272" s="5" t="s">
        <v>53</v>
      </c>
      <c r="F272" s="5">
        <v>20</v>
      </c>
      <c r="G272" s="5">
        <v>416</v>
      </c>
      <c r="H272" s="5">
        <v>12</v>
      </c>
      <c r="I272" s="6">
        <v>46145</v>
      </c>
      <c r="J272" s="6">
        <v>46146</v>
      </c>
      <c r="K272" s="5" t="s">
        <v>51</v>
      </c>
    </row>
    <row r="273" spans="1:11" ht="15" thickBot="1" x14ac:dyDescent="0.4">
      <c r="A273" s="5">
        <v>1085</v>
      </c>
      <c r="B273" s="5" t="s">
        <v>32</v>
      </c>
      <c r="C273" s="5" t="s">
        <v>38</v>
      </c>
      <c r="D273" s="5" t="s">
        <v>34</v>
      </c>
      <c r="E273" s="5" t="s">
        <v>60</v>
      </c>
      <c r="F273" s="5">
        <v>19</v>
      </c>
      <c r="G273" s="5">
        <v>45307</v>
      </c>
      <c r="H273" s="5">
        <v>12</v>
      </c>
      <c r="I273" s="6">
        <v>46146</v>
      </c>
      <c r="J273" s="6">
        <v>46150</v>
      </c>
      <c r="K273" s="5" t="s">
        <v>24</v>
      </c>
    </row>
    <row r="274" spans="1:11" ht="15" thickBot="1" x14ac:dyDescent="0.4">
      <c r="A274" s="5">
        <v>1305</v>
      </c>
      <c r="B274" s="5" t="s">
        <v>58</v>
      </c>
      <c r="C274" s="5" t="s">
        <v>31</v>
      </c>
      <c r="D274" s="5" t="s">
        <v>34</v>
      </c>
      <c r="E274" s="5" t="s">
        <v>60</v>
      </c>
      <c r="F274" s="5">
        <v>20</v>
      </c>
      <c r="G274" s="5">
        <v>31406</v>
      </c>
      <c r="H274" s="5">
        <v>15</v>
      </c>
      <c r="I274" s="6">
        <v>46146</v>
      </c>
      <c r="J274" s="6">
        <v>46154</v>
      </c>
      <c r="K274" s="5" t="s">
        <v>51</v>
      </c>
    </row>
    <row r="275" spans="1:11" ht="15" thickBot="1" x14ac:dyDescent="0.4">
      <c r="A275" s="5">
        <v>1360</v>
      </c>
      <c r="B275" s="5" t="s">
        <v>11</v>
      </c>
      <c r="C275" s="5" t="s">
        <v>43</v>
      </c>
      <c r="D275" s="5" t="s">
        <v>18</v>
      </c>
      <c r="E275" s="5" t="s">
        <v>23</v>
      </c>
      <c r="F275" s="5">
        <v>19</v>
      </c>
      <c r="G275" s="5">
        <v>6681</v>
      </c>
      <c r="H275" s="5">
        <v>2</v>
      </c>
      <c r="I275" s="6">
        <v>46146</v>
      </c>
      <c r="J275" s="6">
        <v>46150</v>
      </c>
      <c r="K275" s="5" t="s">
        <v>15</v>
      </c>
    </row>
    <row r="276" spans="1:11" ht="15" thickBot="1" x14ac:dyDescent="0.4">
      <c r="A276" s="5">
        <v>1117</v>
      </c>
      <c r="B276" s="5" t="s">
        <v>55</v>
      </c>
      <c r="C276" s="5" t="s">
        <v>43</v>
      </c>
      <c r="D276" s="5" t="s">
        <v>34</v>
      </c>
      <c r="E276" s="5" t="s">
        <v>39</v>
      </c>
      <c r="F276" s="5">
        <v>16</v>
      </c>
      <c r="G276" s="5">
        <v>33162</v>
      </c>
      <c r="H276" s="5">
        <v>7</v>
      </c>
      <c r="I276" s="6">
        <v>46147</v>
      </c>
      <c r="J276" s="6">
        <v>46155</v>
      </c>
      <c r="K276" s="5" t="s">
        <v>29</v>
      </c>
    </row>
    <row r="277" spans="1:11" ht="15" thickBot="1" x14ac:dyDescent="0.4">
      <c r="A277" s="5">
        <v>1063</v>
      </c>
      <c r="B277" s="5" t="s">
        <v>54</v>
      </c>
      <c r="C277" s="5" t="s">
        <v>22</v>
      </c>
      <c r="D277" s="5" t="s">
        <v>34</v>
      </c>
      <c r="E277" s="5" t="s">
        <v>45</v>
      </c>
      <c r="F277" s="5">
        <v>7</v>
      </c>
      <c r="G277" s="5">
        <v>66744</v>
      </c>
      <c r="H277" s="5">
        <v>7</v>
      </c>
      <c r="I277" s="6">
        <v>46148</v>
      </c>
      <c r="J277" s="6">
        <v>46155</v>
      </c>
      <c r="K277" s="5" t="s">
        <v>15</v>
      </c>
    </row>
    <row r="278" spans="1:11" ht="15" thickBot="1" x14ac:dyDescent="0.4">
      <c r="A278" s="5">
        <v>1134</v>
      </c>
      <c r="B278" s="5" t="s">
        <v>57</v>
      </c>
      <c r="C278" s="5" t="s">
        <v>31</v>
      </c>
      <c r="D278" s="5" t="s">
        <v>34</v>
      </c>
      <c r="E278" s="5" t="s">
        <v>61</v>
      </c>
      <c r="F278" s="5">
        <v>10</v>
      </c>
      <c r="G278" s="5">
        <v>29217</v>
      </c>
      <c r="H278" s="5">
        <v>15</v>
      </c>
      <c r="I278" s="6">
        <v>46148</v>
      </c>
      <c r="J278" s="6">
        <v>46150</v>
      </c>
      <c r="K278" s="5" t="s">
        <v>24</v>
      </c>
    </row>
    <row r="279" spans="1:11" ht="15" thickBot="1" x14ac:dyDescent="0.4">
      <c r="A279" s="5">
        <v>1312</v>
      </c>
      <c r="B279" s="5" t="s">
        <v>57</v>
      </c>
      <c r="C279" s="5" t="s">
        <v>22</v>
      </c>
      <c r="D279" s="5" t="s">
        <v>18</v>
      </c>
      <c r="E279" s="5" t="s">
        <v>56</v>
      </c>
      <c r="F279" s="5">
        <v>20</v>
      </c>
      <c r="G279" s="5">
        <v>3274</v>
      </c>
      <c r="H279" s="5">
        <v>2</v>
      </c>
      <c r="I279" s="6">
        <v>46148</v>
      </c>
      <c r="J279" s="6">
        <v>46156</v>
      </c>
      <c r="K279" s="5" t="s">
        <v>24</v>
      </c>
    </row>
    <row r="280" spans="1:11" ht="15" thickBot="1" x14ac:dyDescent="0.4">
      <c r="A280" s="5">
        <v>1191</v>
      </c>
      <c r="B280" s="5" t="s">
        <v>52</v>
      </c>
      <c r="C280" s="5" t="s">
        <v>33</v>
      </c>
      <c r="D280" s="5" t="s">
        <v>18</v>
      </c>
      <c r="E280" s="5" t="s">
        <v>56</v>
      </c>
      <c r="F280" s="5">
        <v>9</v>
      </c>
      <c r="G280" s="5">
        <v>8631</v>
      </c>
      <c r="H280" s="5">
        <v>10</v>
      </c>
      <c r="I280" s="6">
        <v>46149</v>
      </c>
      <c r="J280" s="6">
        <v>46156</v>
      </c>
      <c r="K280" s="5" t="s">
        <v>20</v>
      </c>
    </row>
    <row r="281" spans="1:11" ht="15" thickBot="1" x14ac:dyDescent="0.4">
      <c r="A281" s="5">
        <v>1115</v>
      </c>
      <c r="B281" s="5" t="s">
        <v>59</v>
      </c>
      <c r="C281" s="5" t="s">
        <v>43</v>
      </c>
      <c r="D281" s="5" t="s">
        <v>13</v>
      </c>
      <c r="E281" s="5" t="s">
        <v>50</v>
      </c>
      <c r="F281" s="5">
        <v>9</v>
      </c>
      <c r="G281" s="5">
        <v>303</v>
      </c>
      <c r="H281" s="5">
        <v>10</v>
      </c>
      <c r="I281" s="6">
        <v>46149</v>
      </c>
      <c r="J281" s="6">
        <v>46157</v>
      </c>
      <c r="K281" s="5" t="s">
        <v>29</v>
      </c>
    </row>
    <row r="282" spans="1:11" ht="15" thickBot="1" x14ac:dyDescent="0.4">
      <c r="A282" s="5">
        <v>1327</v>
      </c>
      <c r="B282" s="5" t="s">
        <v>48</v>
      </c>
      <c r="C282" s="5" t="s">
        <v>12</v>
      </c>
      <c r="D282" s="5" t="s">
        <v>13</v>
      </c>
      <c r="E282" s="5" t="s">
        <v>53</v>
      </c>
      <c r="F282" s="5">
        <v>15</v>
      </c>
      <c r="G282" s="5">
        <v>449</v>
      </c>
      <c r="H282" s="5">
        <v>5</v>
      </c>
      <c r="I282" s="6">
        <v>46152</v>
      </c>
      <c r="J282" s="6">
        <v>46153</v>
      </c>
      <c r="K282" s="5" t="s">
        <v>15</v>
      </c>
    </row>
    <row r="283" spans="1:11" ht="15" thickBot="1" x14ac:dyDescent="0.4">
      <c r="A283" s="5">
        <v>1046</v>
      </c>
      <c r="B283" s="5" t="s">
        <v>57</v>
      </c>
      <c r="C283" s="5" t="s">
        <v>38</v>
      </c>
      <c r="D283" s="5" t="s">
        <v>34</v>
      </c>
      <c r="E283" s="5" t="s">
        <v>45</v>
      </c>
      <c r="F283" s="5">
        <v>3</v>
      </c>
      <c r="G283" s="5">
        <v>19443</v>
      </c>
      <c r="H283" s="5">
        <v>10</v>
      </c>
      <c r="I283" s="6">
        <v>46153</v>
      </c>
      <c r="J283" s="6">
        <v>46158</v>
      </c>
      <c r="K283" s="5" t="s">
        <v>29</v>
      </c>
    </row>
    <row r="284" spans="1:11" ht="15" thickBot="1" x14ac:dyDescent="0.4">
      <c r="A284" s="5">
        <v>1185</v>
      </c>
      <c r="B284" s="5" t="s">
        <v>58</v>
      </c>
      <c r="C284" s="5" t="s">
        <v>22</v>
      </c>
      <c r="D284" s="5" t="s">
        <v>34</v>
      </c>
      <c r="E284" s="5" t="s">
        <v>60</v>
      </c>
      <c r="F284" s="5">
        <v>16</v>
      </c>
      <c r="G284" s="5">
        <v>15536</v>
      </c>
      <c r="H284" s="5">
        <v>2</v>
      </c>
      <c r="I284" s="6">
        <v>46153</v>
      </c>
      <c r="J284" s="6">
        <v>46156</v>
      </c>
      <c r="K284" s="5" t="s">
        <v>15</v>
      </c>
    </row>
    <row r="285" spans="1:11" ht="15" thickBot="1" x14ac:dyDescent="0.4">
      <c r="A285" s="5">
        <v>1147</v>
      </c>
      <c r="B285" s="5" t="s">
        <v>11</v>
      </c>
      <c r="C285" s="5" t="s">
        <v>22</v>
      </c>
      <c r="D285" s="5" t="s">
        <v>18</v>
      </c>
      <c r="E285" s="5" t="s">
        <v>28</v>
      </c>
      <c r="F285" s="5">
        <v>7</v>
      </c>
      <c r="G285" s="5">
        <v>9581</v>
      </c>
      <c r="H285" s="5">
        <v>5</v>
      </c>
      <c r="I285" s="6">
        <v>46154</v>
      </c>
      <c r="J285" s="6">
        <v>46155</v>
      </c>
      <c r="K285" s="5" t="s">
        <v>20</v>
      </c>
    </row>
    <row r="286" spans="1:11" ht="15" thickBot="1" x14ac:dyDescent="0.4">
      <c r="A286" s="5">
        <v>1222</v>
      </c>
      <c r="B286" s="5" t="s">
        <v>30</v>
      </c>
      <c r="C286" s="5" t="s">
        <v>33</v>
      </c>
      <c r="D286" s="5" t="s">
        <v>18</v>
      </c>
      <c r="E286" s="5" t="s">
        <v>23</v>
      </c>
      <c r="F286" s="5">
        <v>9</v>
      </c>
      <c r="G286" s="5">
        <v>2712</v>
      </c>
      <c r="H286" s="5">
        <v>12</v>
      </c>
      <c r="I286" s="6">
        <v>46154</v>
      </c>
      <c r="J286" s="6">
        <v>46163</v>
      </c>
      <c r="K286" s="5" t="s">
        <v>15</v>
      </c>
    </row>
    <row r="287" spans="1:11" ht="15" thickBot="1" x14ac:dyDescent="0.4">
      <c r="A287" s="5">
        <v>1332</v>
      </c>
      <c r="B287" s="5" t="s">
        <v>29</v>
      </c>
      <c r="C287" s="5" t="s">
        <v>43</v>
      </c>
      <c r="D287" s="5" t="s">
        <v>13</v>
      </c>
      <c r="E287" s="5" t="s">
        <v>50</v>
      </c>
      <c r="F287" s="5">
        <v>7</v>
      </c>
      <c r="G287" s="5">
        <v>439</v>
      </c>
      <c r="H287" s="5">
        <v>2</v>
      </c>
      <c r="I287" s="6">
        <v>46154</v>
      </c>
      <c r="J287" s="6">
        <v>46157</v>
      </c>
      <c r="K287" s="5" t="s">
        <v>15</v>
      </c>
    </row>
    <row r="288" spans="1:11" ht="15" thickBot="1" x14ac:dyDescent="0.4">
      <c r="A288" s="5">
        <v>1179</v>
      </c>
      <c r="B288" s="5" t="s">
        <v>47</v>
      </c>
      <c r="C288" s="5" t="s">
        <v>17</v>
      </c>
      <c r="D288" s="5" t="s">
        <v>34</v>
      </c>
      <c r="E288" s="5" t="s">
        <v>39</v>
      </c>
      <c r="F288" s="5">
        <v>6</v>
      </c>
      <c r="G288" s="5">
        <v>10400</v>
      </c>
      <c r="H288" s="5">
        <v>2</v>
      </c>
      <c r="I288" s="6">
        <v>46155</v>
      </c>
      <c r="J288" s="6">
        <v>46158</v>
      </c>
      <c r="K288" s="5" t="s">
        <v>15</v>
      </c>
    </row>
    <row r="289" spans="1:11" ht="15" thickBot="1" x14ac:dyDescent="0.4">
      <c r="A289" s="5">
        <v>1196</v>
      </c>
      <c r="B289" s="5" t="s">
        <v>48</v>
      </c>
      <c r="C289" s="5" t="s">
        <v>22</v>
      </c>
      <c r="D289" s="5" t="s">
        <v>34</v>
      </c>
      <c r="E289" s="5" t="s">
        <v>35</v>
      </c>
      <c r="F289" s="5">
        <v>20</v>
      </c>
      <c r="G289" s="5">
        <v>3172</v>
      </c>
      <c r="H289" s="5">
        <v>5</v>
      </c>
      <c r="I289" s="6">
        <v>46155</v>
      </c>
      <c r="J289" s="6">
        <v>46159</v>
      </c>
      <c r="K289" s="5" t="s">
        <v>20</v>
      </c>
    </row>
    <row r="290" spans="1:11" ht="15" thickBot="1" x14ac:dyDescent="0.4">
      <c r="A290" s="5">
        <v>1027</v>
      </c>
      <c r="B290" s="5" t="s">
        <v>29</v>
      </c>
      <c r="C290" s="5" t="s">
        <v>43</v>
      </c>
      <c r="D290" s="5" t="s">
        <v>13</v>
      </c>
      <c r="E290" s="5" t="s">
        <v>50</v>
      </c>
      <c r="F290" s="5">
        <v>4</v>
      </c>
      <c r="G290" s="5">
        <v>264</v>
      </c>
      <c r="H290" s="5">
        <v>0</v>
      </c>
      <c r="I290" s="6">
        <v>46155</v>
      </c>
      <c r="J290" s="6">
        <v>46161</v>
      </c>
      <c r="K290" s="5" t="s">
        <v>51</v>
      </c>
    </row>
    <row r="291" spans="1:11" ht="15" thickBot="1" x14ac:dyDescent="0.4">
      <c r="A291" s="5">
        <v>1344</v>
      </c>
      <c r="B291" s="5" t="s">
        <v>30</v>
      </c>
      <c r="C291" s="5" t="s">
        <v>17</v>
      </c>
      <c r="D291" s="5" t="s">
        <v>13</v>
      </c>
      <c r="E291" s="5" t="s">
        <v>53</v>
      </c>
      <c r="F291" s="5">
        <v>18</v>
      </c>
      <c r="G291" s="5">
        <v>240</v>
      </c>
      <c r="H291" s="5">
        <v>10</v>
      </c>
      <c r="I291" s="6">
        <v>46155</v>
      </c>
      <c r="J291" s="6">
        <v>46156</v>
      </c>
      <c r="K291" s="5" t="s">
        <v>24</v>
      </c>
    </row>
    <row r="292" spans="1:11" ht="15" thickBot="1" x14ac:dyDescent="0.4">
      <c r="A292" s="5">
        <v>1171</v>
      </c>
      <c r="B292" s="5" t="s">
        <v>57</v>
      </c>
      <c r="C292" s="5" t="s">
        <v>25</v>
      </c>
      <c r="D292" s="5" t="s">
        <v>13</v>
      </c>
      <c r="E292" s="5" t="s">
        <v>50</v>
      </c>
      <c r="F292" s="5">
        <v>17</v>
      </c>
      <c r="G292" s="5">
        <v>147</v>
      </c>
      <c r="H292" s="5">
        <v>12</v>
      </c>
      <c r="I292" s="6">
        <v>46155</v>
      </c>
      <c r="J292" s="6">
        <v>46160</v>
      </c>
      <c r="K292" s="5" t="s">
        <v>20</v>
      </c>
    </row>
    <row r="293" spans="1:11" ht="15" thickBot="1" x14ac:dyDescent="0.4">
      <c r="A293" s="5">
        <v>1295</v>
      </c>
      <c r="B293" s="5" t="s">
        <v>52</v>
      </c>
      <c r="C293" s="5" t="s">
        <v>38</v>
      </c>
      <c r="D293" s="5" t="s">
        <v>18</v>
      </c>
      <c r="E293" s="5" t="s">
        <v>28</v>
      </c>
      <c r="F293" s="5">
        <v>16</v>
      </c>
      <c r="G293" s="5">
        <v>11935</v>
      </c>
      <c r="H293" s="5">
        <v>12</v>
      </c>
      <c r="I293" s="6">
        <v>46157</v>
      </c>
      <c r="J293" s="6">
        <v>46162</v>
      </c>
      <c r="K293" s="5" t="s">
        <v>15</v>
      </c>
    </row>
    <row r="294" spans="1:11" ht="15" thickBot="1" x14ac:dyDescent="0.4">
      <c r="A294" s="5">
        <v>1367</v>
      </c>
      <c r="B294" s="5" t="s">
        <v>54</v>
      </c>
      <c r="C294" s="5" t="s">
        <v>25</v>
      </c>
      <c r="D294" s="5" t="s">
        <v>13</v>
      </c>
      <c r="E294" s="5" t="s">
        <v>53</v>
      </c>
      <c r="F294" s="5">
        <v>1</v>
      </c>
      <c r="G294" s="5">
        <v>371</v>
      </c>
      <c r="H294" s="5">
        <v>5</v>
      </c>
      <c r="I294" s="6">
        <v>46158</v>
      </c>
      <c r="J294" s="6">
        <v>46168</v>
      </c>
      <c r="K294" s="5" t="s">
        <v>29</v>
      </c>
    </row>
    <row r="295" spans="1:11" ht="15" thickBot="1" x14ac:dyDescent="0.4">
      <c r="A295" s="5">
        <v>1317</v>
      </c>
      <c r="B295" s="5" t="s">
        <v>59</v>
      </c>
      <c r="C295" s="5" t="s">
        <v>33</v>
      </c>
      <c r="D295" s="5" t="s">
        <v>34</v>
      </c>
      <c r="E295" s="5" t="s">
        <v>41</v>
      </c>
      <c r="F295" s="5">
        <v>7</v>
      </c>
      <c r="G295" s="5">
        <v>67339</v>
      </c>
      <c r="H295" s="5">
        <v>5</v>
      </c>
      <c r="I295" s="6">
        <v>46159</v>
      </c>
      <c r="J295" s="6">
        <v>46169</v>
      </c>
      <c r="K295" s="5" t="s">
        <v>51</v>
      </c>
    </row>
    <row r="296" spans="1:11" ht="15" thickBot="1" x14ac:dyDescent="0.4">
      <c r="A296" s="5">
        <v>1052</v>
      </c>
      <c r="B296" s="5" t="s">
        <v>55</v>
      </c>
      <c r="C296" s="5" t="s">
        <v>12</v>
      </c>
      <c r="D296" s="5" t="s">
        <v>13</v>
      </c>
      <c r="E296" s="5" t="s">
        <v>14</v>
      </c>
      <c r="F296" s="5">
        <v>17</v>
      </c>
      <c r="G296" s="5">
        <v>172</v>
      </c>
      <c r="H296" s="5">
        <v>10</v>
      </c>
      <c r="I296" s="6">
        <v>46159</v>
      </c>
      <c r="J296" s="6">
        <v>46165</v>
      </c>
      <c r="K296" s="5" t="s">
        <v>20</v>
      </c>
    </row>
    <row r="297" spans="1:11" ht="15" thickBot="1" x14ac:dyDescent="0.4">
      <c r="A297" s="5">
        <v>1143</v>
      </c>
      <c r="B297" s="5" t="s">
        <v>29</v>
      </c>
      <c r="C297" s="5" t="s">
        <v>17</v>
      </c>
      <c r="D297" s="5" t="s">
        <v>13</v>
      </c>
      <c r="E297" s="5" t="s">
        <v>37</v>
      </c>
      <c r="F297" s="5">
        <v>13</v>
      </c>
      <c r="G297" s="5">
        <v>456</v>
      </c>
      <c r="H297" s="5">
        <v>2</v>
      </c>
      <c r="I297" s="6">
        <v>46160</v>
      </c>
      <c r="J297" s="6">
        <v>46167</v>
      </c>
      <c r="K297" s="5" t="s">
        <v>24</v>
      </c>
    </row>
    <row r="298" spans="1:11" ht="15" thickBot="1" x14ac:dyDescent="0.4">
      <c r="A298" s="5">
        <v>1167</v>
      </c>
      <c r="B298" s="5" t="s">
        <v>48</v>
      </c>
      <c r="C298" s="5" t="s">
        <v>17</v>
      </c>
      <c r="D298" s="5" t="s">
        <v>13</v>
      </c>
      <c r="E298" s="5" t="s">
        <v>37</v>
      </c>
      <c r="F298" s="5">
        <v>20</v>
      </c>
      <c r="G298" s="5">
        <v>251</v>
      </c>
      <c r="H298" s="5">
        <v>5</v>
      </c>
      <c r="I298" s="6">
        <v>46160</v>
      </c>
      <c r="J298" s="6">
        <v>46170</v>
      </c>
      <c r="K298" s="5" t="s">
        <v>29</v>
      </c>
    </row>
    <row r="299" spans="1:11" ht="15" thickBot="1" x14ac:dyDescent="0.4">
      <c r="A299" s="5">
        <v>1129</v>
      </c>
      <c r="B299" s="5" t="s">
        <v>58</v>
      </c>
      <c r="C299" s="5" t="s">
        <v>17</v>
      </c>
      <c r="D299" s="5" t="s">
        <v>13</v>
      </c>
      <c r="E299" s="5" t="s">
        <v>50</v>
      </c>
      <c r="F299" s="5">
        <v>15</v>
      </c>
      <c r="G299" s="5">
        <v>75</v>
      </c>
      <c r="H299" s="5">
        <v>7</v>
      </c>
      <c r="I299" s="6">
        <v>46160</v>
      </c>
      <c r="J299" s="6">
        <v>46164</v>
      </c>
      <c r="K299" s="5" t="s">
        <v>29</v>
      </c>
    </row>
    <row r="300" spans="1:11" ht="15" thickBot="1" x14ac:dyDescent="0.4">
      <c r="A300" s="5">
        <v>1257</v>
      </c>
      <c r="B300" s="5" t="s">
        <v>54</v>
      </c>
      <c r="C300" s="5" t="s">
        <v>25</v>
      </c>
      <c r="D300" s="5" t="s">
        <v>34</v>
      </c>
      <c r="E300" s="5" t="s">
        <v>61</v>
      </c>
      <c r="F300" s="5">
        <v>7</v>
      </c>
      <c r="G300" s="5">
        <v>53243</v>
      </c>
      <c r="H300" s="5">
        <v>12</v>
      </c>
      <c r="I300" s="6">
        <v>46161</v>
      </c>
      <c r="J300" s="6">
        <v>46171</v>
      </c>
      <c r="K300" s="5" t="s">
        <v>15</v>
      </c>
    </row>
    <row r="301" spans="1:11" ht="15" thickBot="1" x14ac:dyDescent="0.4">
      <c r="A301" s="5">
        <v>1372</v>
      </c>
      <c r="B301" s="5" t="s">
        <v>48</v>
      </c>
      <c r="C301" s="5" t="s">
        <v>17</v>
      </c>
      <c r="D301" s="5" t="s">
        <v>34</v>
      </c>
      <c r="E301" s="5" t="s">
        <v>39</v>
      </c>
      <c r="F301" s="5">
        <v>9</v>
      </c>
      <c r="G301" s="5">
        <v>9551</v>
      </c>
      <c r="H301" s="5">
        <v>10</v>
      </c>
      <c r="I301" s="6">
        <v>46161</v>
      </c>
      <c r="J301" s="6">
        <v>46168</v>
      </c>
      <c r="K301" s="5" t="s">
        <v>15</v>
      </c>
    </row>
    <row r="302" spans="1:11" ht="15" thickBot="1" x14ac:dyDescent="0.4">
      <c r="A302" s="5">
        <v>1024</v>
      </c>
      <c r="B302" s="5" t="s">
        <v>32</v>
      </c>
      <c r="C302" s="5" t="s">
        <v>38</v>
      </c>
      <c r="D302" s="5" t="s">
        <v>34</v>
      </c>
      <c r="E302" s="5" t="s">
        <v>41</v>
      </c>
      <c r="F302" s="5">
        <v>12</v>
      </c>
      <c r="G302" s="5">
        <v>1682</v>
      </c>
      <c r="H302" s="5">
        <v>5</v>
      </c>
      <c r="I302" s="6">
        <v>46161</v>
      </c>
      <c r="J302" s="6">
        <v>46165</v>
      </c>
      <c r="K302" s="5" t="s">
        <v>15</v>
      </c>
    </row>
    <row r="303" spans="1:11" ht="15" thickBot="1" x14ac:dyDescent="0.4">
      <c r="A303" s="5">
        <v>1248</v>
      </c>
      <c r="B303" s="5" t="s">
        <v>27</v>
      </c>
      <c r="C303" s="5" t="s">
        <v>43</v>
      </c>
      <c r="D303" s="5" t="s">
        <v>13</v>
      </c>
      <c r="E303" s="5" t="s">
        <v>37</v>
      </c>
      <c r="F303" s="5">
        <v>5</v>
      </c>
      <c r="G303" s="5">
        <v>398</v>
      </c>
      <c r="H303" s="5">
        <v>7</v>
      </c>
      <c r="I303" s="6">
        <v>46161</v>
      </c>
      <c r="J303" s="6">
        <v>46171</v>
      </c>
      <c r="K303" s="5" t="s">
        <v>29</v>
      </c>
    </row>
    <row r="304" spans="1:11" ht="15" thickBot="1" x14ac:dyDescent="0.4">
      <c r="A304" s="5">
        <v>1011</v>
      </c>
      <c r="B304" s="5" t="s">
        <v>11</v>
      </c>
      <c r="C304" s="5" t="s">
        <v>17</v>
      </c>
      <c r="D304" s="5" t="s">
        <v>13</v>
      </c>
      <c r="E304" s="5" t="s">
        <v>37</v>
      </c>
      <c r="F304" s="5">
        <v>14</v>
      </c>
      <c r="G304" s="5">
        <v>88</v>
      </c>
      <c r="H304" s="5">
        <v>12</v>
      </c>
      <c r="I304" s="6">
        <v>46161</v>
      </c>
      <c r="J304" s="6">
        <v>46163</v>
      </c>
      <c r="K304" s="5" t="s">
        <v>15</v>
      </c>
    </row>
    <row r="305" spans="1:11" ht="15" thickBot="1" x14ac:dyDescent="0.4">
      <c r="A305" s="5">
        <v>1386</v>
      </c>
      <c r="B305" s="5" t="s">
        <v>27</v>
      </c>
      <c r="C305" s="5" t="s">
        <v>31</v>
      </c>
      <c r="D305" s="5" t="s">
        <v>18</v>
      </c>
      <c r="E305" s="5" t="s">
        <v>28</v>
      </c>
      <c r="F305" s="5">
        <v>9</v>
      </c>
      <c r="G305" s="5">
        <v>7509</v>
      </c>
      <c r="H305" s="5">
        <v>5</v>
      </c>
      <c r="I305" s="6">
        <v>46162</v>
      </c>
      <c r="J305" s="6">
        <v>46171</v>
      </c>
      <c r="K305" s="5" t="s">
        <v>51</v>
      </c>
    </row>
    <row r="306" spans="1:11" ht="15" thickBot="1" x14ac:dyDescent="0.4">
      <c r="A306" s="5">
        <v>1007</v>
      </c>
      <c r="B306" s="5" t="s">
        <v>21</v>
      </c>
      <c r="C306" s="5" t="s">
        <v>22</v>
      </c>
      <c r="D306" s="5" t="s">
        <v>13</v>
      </c>
      <c r="E306" s="5" t="s">
        <v>14</v>
      </c>
      <c r="F306" s="5">
        <v>19</v>
      </c>
      <c r="G306" s="5">
        <v>149</v>
      </c>
      <c r="H306" s="5">
        <v>7</v>
      </c>
      <c r="I306" s="6">
        <v>46162</v>
      </c>
      <c r="J306" s="6">
        <v>46168</v>
      </c>
      <c r="K306" s="5" t="s">
        <v>24</v>
      </c>
    </row>
    <row r="307" spans="1:11" ht="15" thickBot="1" x14ac:dyDescent="0.4">
      <c r="A307" s="5">
        <v>1032</v>
      </c>
      <c r="B307" s="5" t="s">
        <v>54</v>
      </c>
      <c r="C307" s="5" t="s">
        <v>43</v>
      </c>
      <c r="D307" s="5" t="s">
        <v>34</v>
      </c>
      <c r="E307" s="5" t="s">
        <v>39</v>
      </c>
      <c r="F307" s="5">
        <v>20</v>
      </c>
      <c r="G307" s="5">
        <v>11305</v>
      </c>
      <c r="H307" s="5">
        <v>2</v>
      </c>
      <c r="I307" s="6">
        <v>46163</v>
      </c>
      <c r="J307" s="6">
        <v>46165</v>
      </c>
      <c r="K307" s="5" t="s">
        <v>29</v>
      </c>
    </row>
    <row r="308" spans="1:11" ht="15" thickBot="1" x14ac:dyDescent="0.4">
      <c r="A308" s="5">
        <v>1302</v>
      </c>
      <c r="B308" s="5" t="s">
        <v>57</v>
      </c>
      <c r="C308" s="5" t="s">
        <v>12</v>
      </c>
      <c r="D308" s="5" t="s">
        <v>34</v>
      </c>
      <c r="E308" s="5" t="s">
        <v>35</v>
      </c>
      <c r="F308" s="5">
        <v>9</v>
      </c>
      <c r="G308" s="5">
        <v>8500</v>
      </c>
      <c r="H308" s="5">
        <v>15</v>
      </c>
      <c r="I308" s="6">
        <v>46163</v>
      </c>
      <c r="J308" s="6">
        <v>46172</v>
      </c>
      <c r="K308" s="5" t="s">
        <v>24</v>
      </c>
    </row>
    <row r="309" spans="1:11" ht="15" thickBot="1" x14ac:dyDescent="0.4">
      <c r="A309" s="5">
        <v>1249</v>
      </c>
      <c r="B309" s="5" t="s">
        <v>16</v>
      </c>
      <c r="C309" s="5" t="s">
        <v>25</v>
      </c>
      <c r="D309" s="5" t="s">
        <v>34</v>
      </c>
      <c r="E309" s="5" t="s">
        <v>41</v>
      </c>
      <c r="F309" s="5">
        <v>18</v>
      </c>
      <c r="G309" s="5">
        <v>6360</v>
      </c>
      <c r="H309" s="5">
        <v>12</v>
      </c>
      <c r="I309" s="6">
        <v>46163</v>
      </c>
      <c r="J309" s="6">
        <v>46165</v>
      </c>
      <c r="K309" s="5" t="s">
        <v>20</v>
      </c>
    </row>
    <row r="310" spans="1:11" ht="15" thickBot="1" x14ac:dyDescent="0.4">
      <c r="A310" s="5">
        <v>1207</v>
      </c>
      <c r="B310" s="5" t="s">
        <v>55</v>
      </c>
      <c r="C310" s="5" t="s">
        <v>25</v>
      </c>
      <c r="D310" s="5" t="s">
        <v>13</v>
      </c>
      <c r="E310" s="5" t="s">
        <v>53</v>
      </c>
      <c r="F310" s="5">
        <v>7</v>
      </c>
      <c r="G310" s="5">
        <v>244</v>
      </c>
      <c r="H310" s="5">
        <v>2</v>
      </c>
      <c r="I310" s="6">
        <v>46164</v>
      </c>
      <c r="J310" s="6">
        <v>46173</v>
      </c>
      <c r="K310" s="5" t="s">
        <v>24</v>
      </c>
    </row>
    <row r="311" spans="1:11" ht="15" thickBot="1" x14ac:dyDescent="0.4">
      <c r="A311" s="5">
        <v>1236</v>
      </c>
      <c r="B311" s="5" t="s">
        <v>54</v>
      </c>
      <c r="C311" s="5" t="s">
        <v>43</v>
      </c>
      <c r="D311" s="5" t="s">
        <v>13</v>
      </c>
      <c r="E311" s="5" t="s">
        <v>37</v>
      </c>
      <c r="F311" s="5">
        <v>12</v>
      </c>
      <c r="G311" s="5">
        <v>189</v>
      </c>
      <c r="H311" s="5">
        <v>7</v>
      </c>
      <c r="I311" s="6">
        <v>46164</v>
      </c>
      <c r="J311" s="6">
        <v>46169</v>
      </c>
      <c r="K311" s="5" t="s">
        <v>29</v>
      </c>
    </row>
    <row r="312" spans="1:11" ht="15" thickBot="1" x14ac:dyDescent="0.4">
      <c r="A312" s="5">
        <v>1326</v>
      </c>
      <c r="B312" s="5" t="s">
        <v>26</v>
      </c>
      <c r="C312" s="5" t="s">
        <v>17</v>
      </c>
      <c r="D312" s="5" t="s">
        <v>18</v>
      </c>
      <c r="E312" s="5" t="s">
        <v>44</v>
      </c>
      <c r="F312" s="5">
        <v>18</v>
      </c>
      <c r="G312" s="5">
        <v>1830</v>
      </c>
      <c r="H312" s="5">
        <v>10</v>
      </c>
      <c r="I312" s="6">
        <v>46165</v>
      </c>
      <c r="J312" s="6">
        <v>46172</v>
      </c>
      <c r="K312" s="5" t="s">
        <v>15</v>
      </c>
    </row>
    <row r="313" spans="1:11" ht="15" thickBot="1" x14ac:dyDescent="0.4">
      <c r="A313" s="5">
        <v>1252</v>
      </c>
      <c r="B313" s="5" t="s">
        <v>47</v>
      </c>
      <c r="C313" s="5" t="s">
        <v>25</v>
      </c>
      <c r="D313" s="5" t="s">
        <v>13</v>
      </c>
      <c r="E313" s="5" t="s">
        <v>36</v>
      </c>
      <c r="F313" s="5">
        <v>15</v>
      </c>
      <c r="G313" s="5">
        <v>257</v>
      </c>
      <c r="H313" s="5">
        <v>5</v>
      </c>
      <c r="I313" s="6">
        <v>46166</v>
      </c>
      <c r="J313" s="6">
        <v>46173</v>
      </c>
      <c r="K313" s="5" t="s">
        <v>20</v>
      </c>
    </row>
    <row r="314" spans="1:11" ht="15" thickBot="1" x14ac:dyDescent="0.4">
      <c r="A314" s="5">
        <v>1206</v>
      </c>
      <c r="B314" s="5" t="s">
        <v>55</v>
      </c>
      <c r="C314" s="5" t="s">
        <v>33</v>
      </c>
      <c r="D314" s="5" t="s">
        <v>13</v>
      </c>
      <c r="E314" s="5" t="s">
        <v>14</v>
      </c>
      <c r="F314" s="5">
        <v>9</v>
      </c>
      <c r="G314" s="5">
        <v>60</v>
      </c>
      <c r="H314" s="5">
        <v>0</v>
      </c>
      <c r="I314" s="6">
        <v>46166</v>
      </c>
      <c r="J314" s="6">
        <v>46174</v>
      </c>
      <c r="K314" s="5" t="s">
        <v>15</v>
      </c>
    </row>
    <row r="315" spans="1:11" ht="15" thickBot="1" x14ac:dyDescent="0.4">
      <c r="A315" s="5">
        <v>1095</v>
      </c>
      <c r="B315" s="5" t="s">
        <v>47</v>
      </c>
      <c r="C315" s="5" t="s">
        <v>25</v>
      </c>
      <c r="D315" s="5" t="s">
        <v>34</v>
      </c>
      <c r="E315" s="5" t="s">
        <v>41</v>
      </c>
      <c r="F315" s="5">
        <v>18</v>
      </c>
      <c r="G315" s="5">
        <v>587</v>
      </c>
      <c r="H315" s="5">
        <v>2</v>
      </c>
      <c r="I315" s="6">
        <v>46167</v>
      </c>
      <c r="J315" s="6">
        <v>46171</v>
      </c>
      <c r="K315" s="5" t="s">
        <v>20</v>
      </c>
    </row>
    <row r="316" spans="1:11" ht="15" thickBot="1" x14ac:dyDescent="0.4">
      <c r="A316" s="5">
        <v>1131</v>
      </c>
      <c r="B316" s="5" t="s">
        <v>21</v>
      </c>
      <c r="C316" s="5" t="s">
        <v>31</v>
      </c>
      <c r="D316" s="5" t="s">
        <v>18</v>
      </c>
      <c r="E316" s="5" t="s">
        <v>23</v>
      </c>
      <c r="F316" s="5">
        <v>13</v>
      </c>
      <c r="G316" s="5">
        <v>3083</v>
      </c>
      <c r="H316" s="5">
        <v>7</v>
      </c>
      <c r="I316" s="6">
        <v>46168</v>
      </c>
      <c r="J316" s="6">
        <v>46173</v>
      </c>
      <c r="K316" s="5" t="s">
        <v>51</v>
      </c>
    </row>
    <row r="317" spans="1:11" ht="15" thickBot="1" x14ac:dyDescent="0.4">
      <c r="A317" s="5">
        <v>1335</v>
      </c>
      <c r="B317" s="5" t="s">
        <v>47</v>
      </c>
      <c r="C317" s="5" t="s">
        <v>17</v>
      </c>
      <c r="D317" s="5" t="s">
        <v>18</v>
      </c>
      <c r="E317" s="5" t="s">
        <v>19</v>
      </c>
      <c r="F317" s="5">
        <v>9</v>
      </c>
      <c r="G317" s="5">
        <v>1495</v>
      </c>
      <c r="H317" s="5">
        <v>12</v>
      </c>
      <c r="I317" s="6">
        <v>46168</v>
      </c>
      <c r="J317" s="6">
        <v>46173</v>
      </c>
      <c r="K317" s="5" t="s">
        <v>15</v>
      </c>
    </row>
    <row r="318" spans="1:11" ht="15" thickBot="1" x14ac:dyDescent="0.4">
      <c r="A318" s="5">
        <v>1286</v>
      </c>
      <c r="B318" s="5" t="s">
        <v>46</v>
      </c>
      <c r="C318" s="5" t="s">
        <v>17</v>
      </c>
      <c r="D318" s="5" t="s">
        <v>18</v>
      </c>
      <c r="E318" s="5" t="s">
        <v>56</v>
      </c>
      <c r="F318" s="5">
        <v>9</v>
      </c>
      <c r="G318" s="5">
        <v>1340</v>
      </c>
      <c r="H318" s="5">
        <v>2</v>
      </c>
      <c r="I318" s="6">
        <v>46168</v>
      </c>
      <c r="J318" s="6">
        <v>46173</v>
      </c>
      <c r="K318" s="5" t="s">
        <v>15</v>
      </c>
    </row>
    <row r="319" spans="1:11" ht="15" thickBot="1" x14ac:dyDescent="0.4">
      <c r="A319" s="5">
        <v>1177</v>
      </c>
      <c r="B319" s="5" t="s">
        <v>29</v>
      </c>
      <c r="C319" s="5" t="s">
        <v>22</v>
      </c>
      <c r="D319" s="5" t="s">
        <v>18</v>
      </c>
      <c r="E319" s="5" t="s">
        <v>19</v>
      </c>
      <c r="F319" s="5">
        <v>14</v>
      </c>
      <c r="G319" s="5">
        <v>7501</v>
      </c>
      <c r="H319" s="5">
        <v>7</v>
      </c>
      <c r="I319" s="6">
        <v>46169</v>
      </c>
      <c r="J319" s="6">
        <v>46179</v>
      </c>
      <c r="K319" s="5" t="s">
        <v>20</v>
      </c>
    </row>
    <row r="320" spans="1:11" ht="15" thickBot="1" x14ac:dyDescent="0.4">
      <c r="A320" s="5">
        <v>1318</v>
      </c>
      <c r="B320" s="5" t="s">
        <v>11</v>
      </c>
      <c r="C320" s="5" t="s">
        <v>43</v>
      </c>
      <c r="D320" s="5" t="s">
        <v>13</v>
      </c>
      <c r="E320" s="5" t="s">
        <v>50</v>
      </c>
      <c r="F320" s="5">
        <v>4</v>
      </c>
      <c r="G320" s="5">
        <v>38</v>
      </c>
      <c r="H320" s="5">
        <v>12</v>
      </c>
      <c r="I320" s="6">
        <v>46169</v>
      </c>
      <c r="J320" s="6">
        <v>46175</v>
      </c>
      <c r="K320" s="5" t="s">
        <v>29</v>
      </c>
    </row>
    <row r="321" spans="1:11" ht="15" thickBot="1" x14ac:dyDescent="0.4">
      <c r="A321" s="5">
        <v>1079</v>
      </c>
      <c r="B321" s="5" t="s">
        <v>26</v>
      </c>
      <c r="C321" s="5" t="s">
        <v>38</v>
      </c>
      <c r="D321" s="5" t="s">
        <v>34</v>
      </c>
      <c r="E321" s="5" t="s">
        <v>41</v>
      </c>
      <c r="F321" s="5">
        <v>19</v>
      </c>
      <c r="G321" s="5">
        <v>48956</v>
      </c>
      <c r="H321" s="5">
        <v>12</v>
      </c>
      <c r="I321" s="6">
        <v>46170</v>
      </c>
      <c r="J321" s="6">
        <v>46177</v>
      </c>
      <c r="K321" s="5" t="s">
        <v>51</v>
      </c>
    </row>
    <row r="322" spans="1:11" ht="15" thickBot="1" x14ac:dyDescent="0.4">
      <c r="A322" s="5">
        <v>1127</v>
      </c>
      <c r="B322" s="5" t="s">
        <v>26</v>
      </c>
      <c r="C322" s="5" t="s">
        <v>33</v>
      </c>
      <c r="D322" s="5" t="s">
        <v>18</v>
      </c>
      <c r="E322" s="5" t="s">
        <v>28</v>
      </c>
      <c r="F322" s="5">
        <v>15</v>
      </c>
      <c r="G322" s="5">
        <v>11694</v>
      </c>
      <c r="H322" s="5">
        <v>12</v>
      </c>
      <c r="I322" s="6">
        <v>46170</v>
      </c>
      <c r="J322" s="6">
        <v>46179</v>
      </c>
      <c r="K322" s="5" t="s">
        <v>29</v>
      </c>
    </row>
    <row r="323" spans="1:11" ht="15" thickBot="1" x14ac:dyDescent="0.4">
      <c r="A323" s="5">
        <v>1398</v>
      </c>
      <c r="B323" s="5" t="s">
        <v>58</v>
      </c>
      <c r="C323" s="5" t="s">
        <v>43</v>
      </c>
      <c r="D323" s="5" t="s">
        <v>34</v>
      </c>
      <c r="E323" s="5" t="s">
        <v>39</v>
      </c>
      <c r="F323" s="5">
        <v>12</v>
      </c>
      <c r="G323" s="5">
        <v>10668</v>
      </c>
      <c r="H323" s="5">
        <v>0</v>
      </c>
      <c r="I323" s="6">
        <v>46170</v>
      </c>
      <c r="J323" s="6">
        <v>46176</v>
      </c>
      <c r="K323" s="5" t="s">
        <v>15</v>
      </c>
    </row>
    <row r="324" spans="1:11" ht="15" thickBot="1" x14ac:dyDescent="0.4">
      <c r="A324" s="5">
        <v>1220</v>
      </c>
      <c r="B324" s="5" t="s">
        <v>11</v>
      </c>
      <c r="C324" s="5" t="s">
        <v>25</v>
      </c>
      <c r="D324" s="5" t="s">
        <v>18</v>
      </c>
      <c r="E324" s="5" t="s">
        <v>56</v>
      </c>
      <c r="F324" s="5">
        <v>2</v>
      </c>
      <c r="G324" s="5">
        <v>8861</v>
      </c>
      <c r="H324" s="5">
        <v>2</v>
      </c>
      <c r="I324" s="6">
        <v>46170</v>
      </c>
      <c r="J324" s="6">
        <v>46174</v>
      </c>
      <c r="K324" s="5" t="s">
        <v>24</v>
      </c>
    </row>
    <row r="325" spans="1:11" ht="15" thickBot="1" x14ac:dyDescent="0.4">
      <c r="A325" s="5">
        <v>1040</v>
      </c>
      <c r="B325" s="5" t="s">
        <v>49</v>
      </c>
      <c r="C325" s="5" t="s">
        <v>38</v>
      </c>
      <c r="D325" s="5" t="s">
        <v>18</v>
      </c>
      <c r="E325" s="5" t="s">
        <v>28</v>
      </c>
      <c r="F325" s="5">
        <v>10</v>
      </c>
      <c r="G325" s="5">
        <v>7531</v>
      </c>
      <c r="H325" s="5">
        <v>2</v>
      </c>
      <c r="I325" s="6">
        <v>46171</v>
      </c>
      <c r="J325" s="6">
        <v>46178</v>
      </c>
      <c r="K325" s="5" t="s">
        <v>24</v>
      </c>
    </row>
    <row r="326" spans="1:11" ht="15" thickBot="1" x14ac:dyDescent="0.4">
      <c r="A326" s="5">
        <v>1087</v>
      </c>
      <c r="B326" s="5" t="s">
        <v>11</v>
      </c>
      <c r="C326" s="5" t="s">
        <v>31</v>
      </c>
      <c r="D326" s="5" t="s">
        <v>13</v>
      </c>
      <c r="E326" s="5" t="s">
        <v>37</v>
      </c>
      <c r="F326" s="5">
        <v>13</v>
      </c>
      <c r="G326" s="5">
        <v>387</v>
      </c>
      <c r="H326" s="5">
        <v>7</v>
      </c>
      <c r="I326" s="6">
        <v>46171</v>
      </c>
      <c r="J326" s="6">
        <v>46176</v>
      </c>
      <c r="K326" s="5" t="s">
        <v>24</v>
      </c>
    </row>
    <row r="327" spans="1:11" ht="15" thickBot="1" x14ac:dyDescent="0.4">
      <c r="A327" s="5">
        <v>1005</v>
      </c>
      <c r="B327" s="5" t="s">
        <v>26</v>
      </c>
      <c r="C327" s="5" t="s">
        <v>17</v>
      </c>
      <c r="D327" s="5" t="s">
        <v>13</v>
      </c>
      <c r="E327" s="5" t="s">
        <v>14</v>
      </c>
      <c r="F327" s="5">
        <v>18</v>
      </c>
      <c r="G327" s="5">
        <v>70</v>
      </c>
      <c r="H327" s="5">
        <v>0</v>
      </c>
      <c r="I327" s="6">
        <v>46171</v>
      </c>
      <c r="J327" s="6">
        <v>46179</v>
      </c>
      <c r="K327" s="5" t="s">
        <v>24</v>
      </c>
    </row>
    <row r="328" spans="1:11" ht="15" thickBot="1" x14ac:dyDescent="0.4">
      <c r="A328" s="5">
        <v>1217</v>
      </c>
      <c r="B328" s="5" t="s">
        <v>30</v>
      </c>
      <c r="C328" s="5" t="s">
        <v>22</v>
      </c>
      <c r="D328" s="5" t="s">
        <v>13</v>
      </c>
      <c r="E328" s="5" t="s">
        <v>50</v>
      </c>
      <c r="F328" s="5">
        <v>18</v>
      </c>
      <c r="G328" s="5">
        <v>60</v>
      </c>
      <c r="H328" s="5">
        <v>0</v>
      </c>
      <c r="I328" s="6">
        <v>46171</v>
      </c>
      <c r="J328" s="6">
        <v>46172</v>
      </c>
      <c r="K328" s="5" t="s">
        <v>29</v>
      </c>
    </row>
    <row r="329" spans="1:11" ht="15" thickBot="1" x14ac:dyDescent="0.4">
      <c r="A329" s="5">
        <v>1259</v>
      </c>
      <c r="B329" s="5" t="s">
        <v>42</v>
      </c>
      <c r="C329" s="5" t="s">
        <v>22</v>
      </c>
      <c r="D329" s="5" t="s">
        <v>34</v>
      </c>
      <c r="E329" s="5" t="s">
        <v>45</v>
      </c>
      <c r="F329" s="5">
        <v>10</v>
      </c>
      <c r="G329" s="5">
        <v>38771</v>
      </c>
      <c r="H329" s="5">
        <v>15</v>
      </c>
      <c r="I329" s="6">
        <v>46172</v>
      </c>
      <c r="J329" s="6">
        <v>46182</v>
      </c>
      <c r="K329" s="5" t="s">
        <v>15</v>
      </c>
    </row>
    <row r="330" spans="1:11" ht="15" thickBot="1" x14ac:dyDescent="0.4">
      <c r="A330" s="5">
        <v>1273</v>
      </c>
      <c r="B330" s="5" t="s">
        <v>46</v>
      </c>
      <c r="C330" s="5" t="s">
        <v>25</v>
      </c>
      <c r="D330" s="5" t="s">
        <v>34</v>
      </c>
      <c r="E330" s="5" t="s">
        <v>39</v>
      </c>
      <c r="F330" s="5">
        <v>12</v>
      </c>
      <c r="G330" s="5">
        <v>20618</v>
      </c>
      <c r="H330" s="5">
        <v>12</v>
      </c>
      <c r="I330" s="6">
        <v>46172</v>
      </c>
      <c r="J330" s="6">
        <v>46174</v>
      </c>
      <c r="K330" s="5" t="s">
        <v>20</v>
      </c>
    </row>
    <row r="331" spans="1:11" ht="15" thickBot="1" x14ac:dyDescent="0.4">
      <c r="A331" s="5">
        <v>1235</v>
      </c>
      <c r="B331" s="5" t="s">
        <v>57</v>
      </c>
      <c r="C331" s="5" t="s">
        <v>25</v>
      </c>
      <c r="D331" s="5" t="s">
        <v>13</v>
      </c>
      <c r="E331" s="5" t="s">
        <v>50</v>
      </c>
      <c r="F331" s="5">
        <v>15</v>
      </c>
      <c r="G331" s="5">
        <v>267</v>
      </c>
      <c r="H331" s="5">
        <v>15</v>
      </c>
      <c r="I331" s="6">
        <v>46172</v>
      </c>
      <c r="J331" s="6">
        <v>46177</v>
      </c>
      <c r="K331" s="5" t="s">
        <v>29</v>
      </c>
    </row>
    <row r="332" spans="1:11" ht="15" thickBot="1" x14ac:dyDescent="0.4">
      <c r="A332" s="5">
        <v>1044</v>
      </c>
      <c r="B332" s="5" t="s">
        <v>48</v>
      </c>
      <c r="C332" s="5" t="s">
        <v>38</v>
      </c>
      <c r="D332" s="5" t="s">
        <v>18</v>
      </c>
      <c r="E332" s="5" t="s">
        <v>19</v>
      </c>
      <c r="F332" s="5">
        <v>4</v>
      </c>
      <c r="G332" s="5">
        <v>14731</v>
      </c>
      <c r="H332" s="5">
        <v>2</v>
      </c>
      <c r="I332" s="6">
        <v>46173</v>
      </c>
      <c r="J332" s="6">
        <v>46176</v>
      </c>
      <c r="K332" s="5" t="s">
        <v>20</v>
      </c>
    </row>
    <row r="333" spans="1:11" ht="15" thickBot="1" x14ac:dyDescent="0.4">
      <c r="A333" s="5">
        <v>1247</v>
      </c>
      <c r="B333" s="5" t="s">
        <v>26</v>
      </c>
      <c r="C333" s="5" t="s">
        <v>12</v>
      </c>
      <c r="D333" s="5" t="s">
        <v>13</v>
      </c>
      <c r="E333" s="5" t="s">
        <v>50</v>
      </c>
      <c r="F333" s="5">
        <v>10</v>
      </c>
      <c r="G333" s="5">
        <v>336</v>
      </c>
      <c r="H333" s="5">
        <v>7</v>
      </c>
      <c r="I333" s="6">
        <v>46173</v>
      </c>
      <c r="J333" s="6">
        <v>46175</v>
      </c>
      <c r="K333" s="5" t="s">
        <v>20</v>
      </c>
    </row>
    <row r="334" spans="1:11" ht="15" thickBot="1" x14ac:dyDescent="0.4">
      <c r="A334" s="5">
        <v>1311</v>
      </c>
      <c r="B334" s="5" t="s">
        <v>55</v>
      </c>
      <c r="C334" s="5" t="s">
        <v>12</v>
      </c>
      <c r="D334" s="5" t="s">
        <v>13</v>
      </c>
      <c r="E334" s="5" t="s">
        <v>14</v>
      </c>
      <c r="F334" s="5">
        <v>2</v>
      </c>
      <c r="G334" s="5">
        <v>209</v>
      </c>
      <c r="H334" s="5">
        <v>0</v>
      </c>
      <c r="I334" s="6">
        <v>46173</v>
      </c>
      <c r="J334" s="6">
        <v>46176</v>
      </c>
      <c r="K334" s="5" t="s">
        <v>20</v>
      </c>
    </row>
    <row r="335" spans="1:11" ht="15" thickBot="1" x14ac:dyDescent="0.4">
      <c r="A335" s="5">
        <v>1343</v>
      </c>
      <c r="B335" s="5" t="s">
        <v>59</v>
      </c>
      <c r="C335" s="5" t="s">
        <v>31</v>
      </c>
      <c r="D335" s="5" t="s">
        <v>34</v>
      </c>
      <c r="E335" s="5" t="s">
        <v>39</v>
      </c>
      <c r="F335" s="5">
        <v>14</v>
      </c>
      <c r="G335" s="5">
        <v>32719</v>
      </c>
      <c r="H335" s="5">
        <v>15</v>
      </c>
      <c r="I335" s="6">
        <v>46174</v>
      </c>
      <c r="J335" s="6">
        <v>46179</v>
      </c>
      <c r="K335" s="5" t="s">
        <v>15</v>
      </c>
    </row>
    <row r="336" spans="1:11" ht="15" thickBot="1" x14ac:dyDescent="0.4">
      <c r="A336" s="5">
        <v>1002</v>
      </c>
      <c r="B336" s="5" t="s">
        <v>16</v>
      </c>
      <c r="C336" s="5" t="s">
        <v>17</v>
      </c>
      <c r="D336" s="5" t="s">
        <v>18</v>
      </c>
      <c r="E336" s="5" t="s">
        <v>19</v>
      </c>
      <c r="F336" s="5">
        <v>7</v>
      </c>
      <c r="G336" s="5">
        <v>8448</v>
      </c>
      <c r="H336" s="5">
        <v>12</v>
      </c>
      <c r="I336" s="6">
        <v>46174</v>
      </c>
      <c r="J336" s="6">
        <v>46179</v>
      </c>
      <c r="K336" s="5" t="s">
        <v>20</v>
      </c>
    </row>
    <row r="337" spans="1:11" ht="15" thickBot="1" x14ac:dyDescent="0.4">
      <c r="A337" s="5">
        <v>1262</v>
      </c>
      <c r="B337" s="5" t="s">
        <v>16</v>
      </c>
      <c r="C337" s="5" t="s">
        <v>22</v>
      </c>
      <c r="D337" s="5" t="s">
        <v>18</v>
      </c>
      <c r="E337" s="5" t="s">
        <v>28</v>
      </c>
      <c r="F337" s="5">
        <v>9</v>
      </c>
      <c r="G337" s="5">
        <v>2231</v>
      </c>
      <c r="H337" s="5">
        <v>15</v>
      </c>
      <c r="I337" s="6">
        <v>46174</v>
      </c>
      <c r="J337" s="6">
        <v>46183</v>
      </c>
      <c r="K337" s="5" t="s">
        <v>15</v>
      </c>
    </row>
    <row r="338" spans="1:11" ht="15" thickBot="1" x14ac:dyDescent="0.4">
      <c r="A338" s="5">
        <v>1015</v>
      </c>
      <c r="B338" s="5" t="s">
        <v>42</v>
      </c>
      <c r="C338" s="5" t="s">
        <v>43</v>
      </c>
      <c r="D338" s="5" t="s">
        <v>18</v>
      </c>
      <c r="E338" s="5" t="s">
        <v>44</v>
      </c>
      <c r="F338" s="5">
        <v>11</v>
      </c>
      <c r="G338" s="5">
        <v>14511</v>
      </c>
      <c r="H338" s="5">
        <v>2</v>
      </c>
      <c r="I338" s="6">
        <v>46175</v>
      </c>
      <c r="J338" s="6">
        <v>46185</v>
      </c>
      <c r="K338" s="5" t="s">
        <v>20</v>
      </c>
    </row>
    <row r="339" spans="1:11" ht="15" thickBot="1" x14ac:dyDescent="0.4">
      <c r="A339" s="5">
        <v>1093</v>
      </c>
      <c r="B339" s="5" t="s">
        <v>47</v>
      </c>
      <c r="C339" s="5" t="s">
        <v>25</v>
      </c>
      <c r="D339" s="5" t="s">
        <v>18</v>
      </c>
      <c r="E339" s="5" t="s">
        <v>23</v>
      </c>
      <c r="F339" s="5">
        <v>6</v>
      </c>
      <c r="G339" s="5">
        <v>8224</v>
      </c>
      <c r="H339" s="5">
        <v>15</v>
      </c>
      <c r="I339" s="6">
        <v>46175</v>
      </c>
      <c r="J339" s="6">
        <v>46185</v>
      </c>
      <c r="K339" s="5" t="s">
        <v>51</v>
      </c>
    </row>
    <row r="340" spans="1:11" ht="15" thickBot="1" x14ac:dyDescent="0.4">
      <c r="A340" s="5">
        <v>1025</v>
      </c>
      <c r="B340" s="5" t="s">
        <v>21</v>
      </c>
      <c r="C340" s="5" t="s">
        <v>12</v>
      </c>
      <c r="D340" s="5" t="s">
        <v>18</v>
      </c>
      <c r="E340" s="5" t="s">
        <v>19</v>
      </c>
      <c r="F340" s="5">
        <v>18</v>
      </c>
      <c r="G340" s="5">
        <v>7924</v>
      </c>
      <c r="H340" s="5">
        <v>0</v>
      </c>
      <c r="I340" s="6">
        <v>46175</v>
      </c>
      <c r="J340" s="6">
        <v>46181</v>
      </c>
      <c r="K340" s="5" t="s">
        <v>15</v>
      </c>
    </row>
    <row r="341" spans="1:11" ht="15" thickBot="1" x14ac:dyDescent="0.4">
      <c r="A341" s="5">
        <v>1211</v>
      </c>
      <c r="B341" s="5" t="s">
        <v>48</v>
      </c>
      <c r="C341" s="5" t="s">
        <v>17</v>
      </c>
      <c r="D341" s="5" t="s">
        <v>34</v>
      </c>
      <c r="E341" s="5" t="s">
        <v>35</v>
      </c>
      <c r="F341" s="5">
        <v>3</v>
      </c>
      <c r="G341" s="5">
        <v>5962</v>
      </c>
      <c r="H341" s="5">
        <v>7</v>
      </c>
      <c r="I341" s="6">
        <v>46175</v>
      </c>
      <c r="J341" s="6">
        <v>46183</v>
      </c>
      <c r="K341" s="5" t="s">
        <v>15</v>
      </c>
    </row>
    <row r="342" spans="1:11" ht="15" thickBot="1" x14ac:dyDescent="0.4">
      <c r="A342" s="5">
        <v>1245</v>
      </c>
      <c r="B342" s="5" t="s">
        <v>55</v>
      </c>
      <c r="C342" s="5" t="s">
        <v>43</v>
      </c>
      <c r="D342" s="5" t="s">
        <v>34</v>
      </c>
      <c r="E342" s="5" t="s">
        <v>41</v>
      </c>
      <c r="F342" s="5">
        <v>19</v>
      </c>
      <c r="G342" s="5">
        <v>69029</v>
      </c>
      <c r="H342" s="5">
        <v>7</v>
      </c>
      <c r="I342" s="6">
        <v>46176</v>
      </c>
      <c r="J342" s="6">
        <v>46179</v>
      </c>
      <c r="K342" s="5" t="s">
        <v>29</v>
      </c>
    </row>
    <row r="343" spans="1:11" ht="15" thickBot="1" x14ac:dyDescent="0.4">
      <c r="A343" s="5">
        <v>1282</v>
      </c>
      <c r="B343" s="5" t="s">
        <v>57</v>
      </c>
      <c r="C343" s="5" t="s">
        <v>43</v>
      </c>
      <c r="D343" s="5" t="s">
        <v>18</v>
      </c>
      <c r="E343" s="5" t="s">
        <v>44</v>
      </c>
      <c r="F343" s="5">
        <v>12</v>
      </c>
      <c r="G343" s="5">
        <v>3178</v>
      </c>
      <c r="H343" s="5">
        <v>10</v>
      </c>
      <c r="I343" s="6">
        <v>46176</v>
      </c>
      <c r="J343" s="6">
        <v>46177</v>
      </c>
      <c r="K343" s="5" t="s">
        <v>29</v>
      </c>
    </row>
    <row r="344" spans="1:11" ht="15" thickBot="1" x14ac:dyDescent="0.4">
      <c r="A344" s="5">
        <v>1338</v>
      </c>
      <c r="B344" s="5" t="s">
        <v>59</v>
      </c>
      <c r="C344" s="5" t="s">
        <v>25</v>
      </c>
      <c r="D344" s="5" t="s">
        <v>34</v>
      </c>
      <c r="E344" s="5" t="s">
        <v>60</v>
      </c>
      <c r="F344" s="5">
        <v>10</v>
      </c>
      <c r="G344" s="5">
        <v>16719</v>
      </c>
      <c r="H344" s="5">
        <v>5</v>
      </c>
      <c r="I344" s="6">
        <v>46177</v>
      </c>
      <c r="J344" s="6">
        <v>46179</v>
      </c>
      <c r="K344" s="5" t="s">
        <v>15</v>
      </c>
    </row>
    <row r="345" spans="1:11" ht="15" thickBot="1" x14ac:dyDescent="0.4">
      <c r="A345" s="5">
        <v>1187</v>
      </c>
      <c r="B345" s="5" t="s">
        <v>54</v>
      </c>
      <c r="C345" s="5" t="s">
        <v>22</v>
      </c>
      <c r="D345" s="5" t="s">
        <v>34</v>
      </c>
      <c r="E345" s="5" t="s">
        <v>45</v>
      </c>
      <c r="F345" s="5">
        <v>18</v>
      </c>
      <c r="G345" s="5">
        <v>68527</v>
      </c>
      <c r="H345" s="5">
        <v>12</v>
      </c>
      <c r="I345" s="6">
        <v>46178</v>
      </c>
      <c r="J345" s="6">
        <v>46184</v>
      </c>
      <c r="K345" s="5" t="s">
        <v>51</v>
      </c>
    </row>
    <row r="346" spans="1:11" ht="15" thickBot="1" x14ac:dyDescent="0.4">
      <c r="A346" s="5">
        <v>1297</v>
      </c>
      <c r="B346" s="5" t="s">
        <v>54</v>
      </c>
      <c r="C346" s="5" t="s">
        <v>25</v>
      </c>
      <c r="D346" s="5" t="s">
        <v>34</v>
      </c>
      <c r="E346" s="5" t="s">
        <v>35</v>
      </c>
      <c r="F346" s="5">
        <v>14</v>
      </c>
      <c r="G346" s="5">
        <v>24524</v>
      </c>
      <c r="H346" s="5">
        <v>10</v>
      </c>
      <c r="I346" s="6">
        <v>46178</v>
      </c>
      <c r="J346" s="6">
        <v>46187</v>
      </c>
      <c r="K346" s="5" t="s">
        <v>29</v>
      </c>
    </row>
    <row r="347" spans="1:11" ht="15" thickBot="1" x14ac:dyDescent="0.4">
      <c r="A347" s="5">
        <v>1231</v>
      </c>
      <c r="B347" s="5" t="s">
        <v>48</v>
      </c>
      <c r="C347" s="5" t="s">
        <v>38</v>
      </c>
      <c r="D347" s="5" t="s">
        <v>18</v>
      </c>
      <c r="E347" s="5" t="s">
        <v>19</v>
      </c>
      <c r="F347" s="5">
        <v>13</v>
      </c>
      <c r="G347" s="5">
        <v>10297</v>
      </c>
      <c r="H347" s="5">
        <v>12</v>
      </c>
      <c r="I347" s="6">
        <v>46178</v>
      </c>
      <c r="J347" s="6">
        <v>46186</v>
      </c>
      <c r="K347" s="5" t="s">
        <v>20</v>
      </c>
    </row>
    <row r="348" spans="1:11" ht="15" thickBot="1" x14ac:dyDescent="0.4">
      <c r="A348" s="5">
        <v>1118</v>
      </c>
      <c r="B348" s="5" t="s">
        <v>21</v>
      </c>
      <c r="C348" s="5" t="s">
        <v>22</v>
      </c>
      <c r="D348" s="5" t="s">
        <v>18</v>
      </c>
      <c r="E348" s="5" t="s">
        <v>23</v>
      </c>
      <c r="F348" s="5">
        <v>18</v>
      </c>
      <c r="G348" s="5">
        <v>9118</v>
      </c>
      <c r="H348" s="5">
        <v>5</v>
      </c>
      <c r="I348" s="6">
        <v>46178</v>
      </c>
      <c r="J348" s="6">
        <v>46187</v>
      </c>
      <c r="K348" s="5" t="s">
        <v>29</v>
      </c>
    </row>
    <row r="349" spans="1:11" ht="15" thickBot="1" x14ac:dyDescent="0.4">
      <c r="A349" s="5">
        <v>1154</v>
      </c>
      <c r="B349" s="5" t="s">
        <v>32</v>
      </c>
      <c r="C349" s="5" t="s">
        <v>17</v>
      </c>
      <c r="D349" s="5" t="s">
        <v>18</v>
      </c>
      <c r="E349" s="5" t="s">
        <v>56</v>
      </c>
      <c r="F349" s="5">
        <v>15</v>
      </c>
      <c r="G349" s="5">
        <v>6101</v>
      </c>
      <c r="H349" s="5">
        <v>0</v>
      </c>
      <c r="I349" s="6">
        <v>46178</v>
      </c>
      <c r="J349" s="6">
        <v>46183</v>
      </c>
      <c r="K349" s="5" t="s">
        <v>51</v>
      </c>
    </row>
    <row r="350" spans="1:11" ht="15" thickBot="1" x14ac:dyDescent="0.4">
      <c r="A350" s="5">
        <v>1199</v>
      </c>
      <c r="B350" s="5" t="s">
        <v>11</v>
      </c>
      <c r="C350" s="5" t="s">
        <v>25</v>
      </c>
      <c r="D350" s="5" t="s">
        <v>34</v>
      </c>
      <c r="E350" s="5" t="s">
        <v>45</v>
      </c>
      <c r="F350" s="5">
        <v>2</v>
      </c>
      <c r="G350" s="5">
        <v>4375</v>
      </c>
      <c r="H350" s="5">
        <v>7</v>
      </c>
      <c r="I350" s="6">
        <v>46178</v>
      </c>
      <c r="J350" s="6">
        <v>46180</v>
      </c>
      <c r="K350" s="5" t="s">
        <v>24</v>
      </c>
    </row>
    <row r="351" spans="1:11" ht="15" thickBot="1" x14ac:dyDescent="0.4">
      <c r="A351" s="5">
        <v>1376</v>
      </c>
      <c r="B351" s="5" t="s">
        <v>52</v>
      </c>
      <c r="C351" s="5" t="s">
        <v>31</v>
      </c>
      <c r="D351" s="5" t="s">
        <v>13</v>
      </c>
      <c r="E351" s="5" t="s">
        <v>50</v>
      </c>
      <c r="F351" s="5">
        <v>20</v>
      </c>
      <c r="G351" s="5">
        <v>429</v>
      </c>
      <c r="H351" s="5">
        <v>5</v>
      </c>
      <c r="I351" s="6">
        <v>46178</v>
      </c>
      <c r="J351" s="6">
        <v>46184</v>
      </c>
      <c r="K351" s="5" t="s">
        <v>20</v>
      </c>
    </row>
    <row r="352" spans="1:11" ht="15" thickBot="1" x14ac:dyDescent="0.4">
      <c r="A352" s="5">
        <v>1274</v>
      </c>
      <c r="B352" s="5" t="s">
        <v>26</v>
      </c>
      <c r="C352" s="5" t="s">
        <v>25</v>
      </c>
      <c r="D352" s="5" t="s">
        <v>34</v>
      </c>
      <c r="E352" s="5" t="s">
        <v>41</v>
      </c>
      <c r="F352" s="5">
        <v>13</v>
      </c>
      <c r="G352" s="5">
        <v>36652</v>
      </c>
      <c r="H352" s="5">
        <v>12</v>
      </c>
      <c r="I352" s="6">
        <v>46179</v>
      </c>
      <c r="J352" s="6">
        <v>46186</v>
      </c>
      <c r="K352" s="5" t="s">
        <v>20</v>
      </c>
    </row>
    <row r="353" spans="1:11" ht="15" thickBot="1" x14ac:dyDescent="0.4">
      <c r="A353" s="5">
        <v>1288</v>
      </c>
      <c r="B353" s="5" t="s">
        <v>54</v>
      </c>
      <c r="C353" s="5" t="s">
        <v>22</v>
      </c>
      <c r="D353" s="5" t="s">
        <v>34</v>
      </c>
      <c r="E353" s="5" t="s">
        <v>60</v>
      </c>
      <c r="F353" s="5">
        <v>14</v>
      </c>
      <c r="G353" s="5">
        <v>35601</v>
      </c>
      <c r="H353" s="5">
        <v>10</v>
      </c>
      <c r="I353" s="6">
        <v>46179</v>
      </c>
      <c r="J353" s="6">
        <v>46187</v>
      </c>
      <c r="K353" s="5" t="s">
        <v>29</v>
      </c>
    </row>
    <row r="354" spans="1:11" ht="15" thickBot="1" x14ac:dyDescent="0.4">
      <c r="A354" s="5">
        <v>1278</v>
      </c>
      <c r="B354" s="5" t="s">
        <v>47</v>
      </c>
      <c r="C354" s="5" t="s">
        <v>22</v>
      </c>
      <c r="D354" s="5" t="s">
        <v>34</v>
      </c>
      <c r="E354" s="5" t="s">
        <v>61</v>
      </c>
      <c r="F354" s="5">
        <v>4</v>
      </c>
      <c r="G354" s="5">
        <v>20639</v>
      </c>
      <c r="H354" s="5">
        <v>7</v>
      </c>
      <c r="I354" s="6">
        <v>46180</v>
      </c>
      <c r="J354" s="6">
        <v>46186</v>
      </c>
      <c r="K354" s="5" t="s">
        <v>20</v>
      </c>
    </row>
    <row r="355" spans="1:11" ht="15" thickBot="1" x14ac:dyDescent="0.4">
      <c r="A355" s="5">
        <v>1048</v>
      </c>
      <c r="B355" s="5" t="s">
        <v>59</v>
      </c>
      <c r="C355" s="5" t="s">
        <v>25</v>
      </c>
      <c r="D355" s="5" t="s">
        <v>34</v>
      </c>
      <c r="E355" s="5" t="s">
        <v>60</v>
      </c>
      <c r="F355" s="5">
        <v>14</v>
      </c>
      <c r="G355" s="5">
        <v>11762</v>
      </c>
      <c r="H355" s="5">
        <v>7</v>
      </c>
      <c r="I355" s="6">
        <v>46180</v>
      </c>
      <c r="J355" s="6">
        <v>46186</v>
      </c>
      <c r="K355" s="5" t="s">
        <v>24</v>
      </c>
    </row>
    <row r="356" spans="1:11" ht="15" thickBot="1" x14ac:dyDescent="0.4">
      <c r="A356" s="5">
        <v>1294</v>
      </c>
      <c r="B356" s="5" t="s">
        <v>21</v>
      </c>
      <c r="C356" s="5" t="s">
        <v>12</v>
      </c>
      <c r="D356" s="5" t="s">
        <v>18</v>
      </c>
      <c r="E356" s="5" t="s">
        <v>19</v>
      </c>
      <c r="F356" s="5">
        <v>8</v>
      </c>
      <c r="G356" s="5">
        <v>14448</v>
      </c>
      <c r="H356" s="5">
        <v>10</v>
      </c>
      <c r="I356" s="6">
        <v>46181</v>
      </c>
      <c r="J356" s="6">
        <v>46189</v>
      </c>
      <c r="K356" s="5" t="s">
        <v>15</v>
      </c>
    </row>
    <row r="357" spans="1:11" ht="15" thickBot="1" x14ac:dyDescent="0.4">
      <c r="A357" s="5">
        <v>1310</v>
      </c>
      <c r="B357" s="5" t="s">
        <v>49</v>
      </c>
      <c r="C357" s="5" t="s">
        <v>17</v>
      </c>
      <c r="D357" s="5" t="s">
        <v>18</v>
      </c>
      <c r="E357" s="5" t="s">
        <v>56</v>
      </c>
      <c r="F357" s="5">
        <v>19</v>
      </c>
      <c r="G357" s="5">
        <v>12691</v>
      </c>
      <c r="H357" s="5">
        <v>0</v>
      </c>
      <c r="I357" s="6">
        <v>46181</v>
      </c>
      <c r="J357" s="6">
        <v>46189</v>
      </c>
      <c r="K357" s="5" t="s">
        <v>29</v>
      </c>
    </row>
    <row r="358" spans="1:11" ht="15" thickBot="1" x14ac:dyDescent="0.4">
      <c r="A358" s="5">
        <v>1124</v>
      </c>
      <c r="B358" s="5" t="s">
        <v>27</v>
      </c>
      <c r="C358" s="5" t="s">
        <v>38</v>
      </c>
      <c r="D358" s="5" t="s">
        <v>18</v>
      </c>
      <c r="E358" s="5" t="s">
        <v>56</v>
      </c>
      <c r="F358" s="5">
        <v>4</v>
      </c>
      <c r="G358" s="5">
        <v>14195</v>
      </c>
      <c r="H358" s="5">
        <v>15</v>
      </c>
      <c r="I358" s="6">
        <v>46182</v>
      </c>
      <c r="J358" s="6">
        <v>46189</v>
      </c>
      <c r="K358" s="5" t="s">
        <v>51</v>
      </c>
    </row>
    <row r="359" spans="1:11" ht="15" thickBot="1" x14ac:dyDescent="0.4">
      <c r="A359" s="5">
        <v>1009</v>
      </c>
      <c r="B359" s="5" t="s">
        <v>32</v>
      </c>
      <c r="C359" s="5" t="s">
        <v>33</v>
      </c>
      <c r="D359" s="5" t="s">
        <v>34</v>
      </c>
      <c r="E359" s="5" t="s">
        <v>35</v>
      </c>
      <c r="F359" s="5">
        <v>10</v>
      </c>
      <c r="G359" s="5">
        <v>40671</v>
      </c>
      <c r="H359" s="5">
        <v>12</v>
      </c>
      <c r="I359" s="6">
        <v>46183</v>
      </c>
      <c r="J359" s="6">
        <v>46193</v>
      </c>
      <c r="K359" s="5" t="s">
        <v>24</v>
      </c>
    </row>
    <row r="360" spans="1:11" ht="15" thickBot="1" x14ac:dyDescent="0.4">
      <c r="A360" s="5">
        <v>1003</v>
      </c>
      <c r="B360" s="5" t="s">
        <v>21</v>
      </c>
      <c r="C360" s="5" t="s">
        <v>22</v>
      </c>
      <c r="D360" s="5" t="s">
        <v>18</v>
      </c>
      <c r="E360" s="5" t="s">
        <v>23</v>
      </c>
      <c r="F360" s="5">
        <v>20</v>
      </c>
      <c r="G360" s="5">
        <v>2123</v>
      </c>
      <c r="H360" s="5">
        <v>15</v>
      </c>
      <c r="I360" s="6">
        <v>46183</v>
      </c>
      <c r="J360" s="6">
        <v>46192</v>
      </c>
      <c r="K360" s="5" t="s">
        <v>24</v>
      </c>
    </row>
    <row r="361" spans="1:11" ht="15" thickBot="1" x14ac:dyDescent="0.4">
      <c r="A361" s="5">
        <v>1320</v>
      </c>
      <c r="B361" s="5" t="s">
        <v>47</v>
      </c>
      <c r="C361" s="5" t="s">
        <v>38</v>
      </c>
      <c r="D361" s="5" t="s">
        <v>13</v>
      </c>
      <c r="E361" s="5" t="s">
        <v>36</v>
      </c>
      <c r="F361" s="5">
        <v>20</v>
      </c>
      <c r="G361" s="5">
        <v>55</v>
      </c>
      <c r="H361" s="5">
        <v>7</v>
      </c>
      <c r="I361" s="6">
        <v>46183</v>
      </c>
      <c r="J361" s="6">
        <v>46186</v>
      </c>
      <c r="K361" s="5" t="s">
        <v>20</v>
      </c>
    </row>
    <row r="362" spans="1:11" ht="15" thickBot="1" x14ac:dyDescent="0.4">
      <c r="A362" s="5">
        <v>1159</v>
      </c>
      <c r="B362" s="5" t="s">
        <v>32</v>
      </c>
      <c r="C362" s="5" t="s">
        <v>43</v>
      </c>
      <c r="D362" s="5" t="s">
        <v>18</v>
      </c>
      <c r="E362" s="5" t="s">
        <v>28</v>
      </c>
      <c r="F362" s="5">
        <v>20</v>
      </c>
      <c r="G362" s="5">
        <v>14000</v>
      </c>
      <c r="H362" s="5">
        <v>15</v>
      </c>
      <c r="I362" s="6">
        <v>46184</v>
      </c>
      <c r="J362" s="6">
        <v>46187</v>
      </c>
      <c r="K362" s="5" t="s">
        <v>15</v>
      </c>
    </row>
    <row r="363" spans="1:11" ht="15" thickBot="1" x14ac:dyDescent="0.4">
      <c r="A363" s="5">
        <v>1189</v>
      </c>
      <c r="B363" s="5" t="s">
        <v>49</v>
      </c>
      <c r="C363" s="5" t="s">
        <v>31</v>
      </c>
      <c r="D363" s="5" t="s">
        <v>18</v>
      </c>
      <c r="E363" s="5" t="s">
        <v>56</v>
      </c>
      <c r="F363" s="5">
        <v>12</v>
      </c>
      <c r="G363" s="5">
        <v>8327</v>
      </c>
      <c r="H363" s="5">
        <v>10</v>
      </c>
      <c r="I363" s="6">
        <v>46184</v>
      </c>
      <c r="J363" s="6">
        <v>46185</v>
      </c>
      <c r="K363" s="5" t="s">
        <v>29</v>
      </c>
    </row>
    <row r="364" spans="1:11" ht="15" thickBot="1" x14ac:dyDescent="0.4">
      <c r="A364" s="5">
        <v>1119</v>
      </c>
      <c r="B364" s="5" t="s">
        <v>30</v>
      </c>
      <c r="C364" s="5" t="s">
        <v>43</v>
      </c>
      <c r="D364" s="5" t="s">
        <v>18</v>
      </c>
      <c r="E364" s="5" t="s">
        <v>28</v>
      </c>
      <c r="F364" s="5">
        <v>2</v>
      </c>
      <c r="G364" s="5">
        <v>3706</v>
      </c>
      <c r="H364" s="5">
        <v>5</v>
      </c>
      <c r="I364" s="6">
        <v>46184</v>
      </c>
      <c r="J364" s="6">
        <v>46192</v>
      </c>
      <c r="K364" s="5" t="s">
        <v>51</v>
      </c>
    </row>
    <row r="365" spans="1:11" ht="15" thickBot="1" x14ac:dyDescent="0.4">
      <c r="A365" s="5">
        <v>1370</v>
      </c>
      <c r="B365" s="5" t="s">
        <v>59</v>
      </c>
      <c r="C365" s="5" t="s">
        <v>38</v>
      </c>
      <c r="D365" s="5" t="s">
        <v>13</v>
      </c>
      <c r="E365" s="5" t="s">
        <v>53</v>
      </c>
      <c r="F365" s="5">
        <v>13</v>
      </c>
      <c r="G365" s="5">
        <v>337</v>
      </c>
      <c r="H365" s="5">
        <v>7</v>
      </c>
      <c r="I365" s="6">
        <v>46184</v>
      </c>
      <c r="J365" s="6">
        <v>46188</v>
      </c>
      <c r="K365" s="5" t="s">
        <v>15</v>
      </c>
    </row>
    <row r="366" spans="1:11" ht="15" thickBot="1" x14ac:dyDescent="0.4">
      <c r="A366" s="5">
        <v>1137</v>
      </c>
      <c r="B366" s="5" t="s">
        <v>52</v>
      </c>
      <c r="C366" s="5" t="s">
        <v>12</v>
      </c>
      <c r="D366" s="5" t="s">
        <v>13</v>
      </c>
      <c r="E366" s="5" t="s">
        <v>37</v>
      </c>
      <c r="F366" s="5">
        <v>16</v>
      </c>
      <c r="G366" s="5">
        <v>270</v>
      </c>
      <c r="H366" s="5">
        <v>10</v>
      </c>
      <c r="I366" s="6">
        <v>46184</v>
      </c>
      <c r="J366" s="6">
        <v>46190</v>
      </c>
      <c r="K366" s="5" t="s">
        <v>29</v>
      </c>
    </row>
    <row r="367" spans="1:11" ht="15" thickBot="1" x14ac:dyDescent="0.4">
      <c r="A367" s="5">
        <v>1075</v>
      </c>
      <c r="B367" s="5" t="s">
        <v>42</v>
      </c>
      <c r="C367" s="5" t="s">
        <v>43</v>
      </c>
      <c r="D367" s="5" t="s">
        <v>34</v>
      </c>
      <c r="E367" s="5" t="s">
        <v>61</v>
      </c>
      <c r="F367" s="5">
        <v>4</v>
      </c>
      <c r="G367" s="5">
        <v>64773</v>
      </c>
      <c r="H367" s="5">
        <v>10</v>
      </c>
      <c r="I367" s="6">
        <v>46185</v>
      </c>
      <c r="J367" s="6">
        <v>46186</v>
      </c>
      <c r="K367" s="5" t="s">
        <v>51</v>
      </c>
    </row>
    <row r="368" spans="1:11" ht="15" thickBot="1" x14ac:dyDescent="0.4">
      <c r="A368" s="5">
        <v>1350</v>
      </c>
      <c r="B368" s="5" t="s">
        <v>26</v>
      </c>
      <c r="C368" s="5" t="s">
        <v>43</v>
      </c>
      <c r="D368" s="5" t="s">
        <v>18</v>
      </c>
      <c r="E368" s="5" t="s">
        <v>28</v>
      </c>
      <c r="F368" s="5">
        <v>16</v>
      </c>
      <c r="G368" s="5">
        <v>11790</v>
      </c>
      <c r="H368" s="5">
        <v>12</v>
      </c>
      <c r="I368" s="6">
        <v>46185</v>
      </c>
      <c r="J368" s="6">
        <v>46190</v>
      </c>
      <c r="K368" s="5" t="s">
        <v>29</v>
      </c>
    </row>
    <row r="369" spans="1:11" ht="15" thickBot="1" x14ac:dyDescent="0.4">
      <c r="A369" s="5">
        <v>1083</v>
      </c>
      <c r="B369" s="5" t="s">
        <v>55</v>
      </c>
      <c r="C369" s="5" t="s">
        <v>33</v>
      </c>
      <c r="D369" s="5" t="s">
        <v>13</v>
      </c>
      <c r="E369" s="5" t="s">
        <v>53</v>
      </c>
      <c r="F369" s="5">
        <v>4</v>
      </c>
      <c r="G369" s="5">
        <v>397</v>
      </c>
      <c r="H369" s="5">
        <v>7</v>
      </c>
      <c r="I369" s="6">
        <v>46185</v>
      </c>
      <c r="J369" s="6">
        <v>46193</v>
      </c>
      <c r="K369" s="5" t="s">
        <v>15</v>
      </c>
    </row>
    <row r="370" spans="1:11" ht="15" thickBot="1" x14ac:dyDescent="0.4">
      <c r="A370" s="5">
        <v>1064</v>
      </c>
      <c r="B370" s="5" t="s">
        <v>26</v>
      </c>
      <c r="C370" s="5" t="s">
        <v>17</v>
      </c>
      <c r="D370" s="5" t="s">
        <v>13</v>
      </c>
      <c r="E370" s="5" t="s">
        <v>50</v>
      </c>
      <c r="F370" s="5">
        <v>20</v>
      </c>
      <c r="G370" s="5">
        <v>191</v>
      </c>
      <c r="H370" s="5">
        <v>7</v>
      </c>
      <c r="I370" s="6">
        <v>46185</v>
      </c>
      <c r="J370" s="6">
        <v>46195</v>
      </c>
      <c r="K370" s="5" t="s">
        <v>29</v>
      </c>
    </row>
    <row r="371" spans="1:11" ht="15" thickBot="1" x14ac:dyDescent="0.4">
      <c r="A371" s="5">
        <v>1041</v>
      </c>
      <c r="B371" s="5" t="s">
        <v>54</v>
      </c>
      <c r="C371" s="5" t="s">
        <v>38</v>
      </c>
      <c r="D371" s="5" t="s">
        <v>13</v>
      </c>
      <c r="E371" s="5" t="s">
        <v>50</v>
      </c>
      <c r="F371" s="5">
        <v>9</v>
      </c>
      <c r="G371" s="5">
        <v>71</v>
      </c>
      <c r="H371" s="5">
        <v>7</v>
      </c>
      <c r="I371" s="6">
        <v>46185</v>
      </c>
      <c r="J371" s="6">
        <v>46188</v>
      </c>
      <c r="K371" s="5" t="s">
        <v>15</v>
      </c>
    </row>
    <row r="372" spans="1:11" ht="15" thickBot="1" x14ac:dyDescent="0.4">
      <c r="A372" s="5">
        <v>1315</v>
      </c>
      <c r="B372" s="5" t="s">
        <v>49</v>
      </c>
      <c r="C372" s="5" t="s">
        <v>31</v>
      </c>
      <c r="D372" s="5" t="s">
        <v>34</v>
      </c>
      <c r="E372" s="5" t="s">
        <v>41</v>
      </c>
      <c r="F372" s="5">
        <v>14</v>
      </c>
      <c r="G372" s="5">
        <v>57670</v>
      </c>
      <c r="H372" s="5">
        <v>2</v>
      </c>
      <c r="I372" s="6">
        <v>46186</v>
      </c>
      <c r="J372" s="6">
        <v>46196</v>
      </c>
      <c r="K372" s="5" t="s">
        <v>15</v>
      </c>
    </row>
    <row r="373" spans="1:11" ht="15" thickBot="1" x14ac:dyDescent="0.4">
      <c r="A373" s="5">
        <v>1292</v>
      </c>
      <c r="B373" s="5" t="s">
        <v>54</v>
      </c>
      <c r="C373" s="5" t="s">
        <v>33</v>
      </c>
      <c r="D373" s="5" t="s">
        <v>34</v>
      </c>
      <c r="E373" s="5" t="s">
        <v>61</v>
      </c>
      <c r="F373" s="5">
        <v>11</v>
      </c>
      <c r="G373" s="5">
        <v>25158</v>
      </c>
      <c r="H373" s="5">
        <v>5</v>
      </c>
      <c r="I373" s="6">
        <v>46186</v>
      </c>
      <c r="J373" s="6">
        <v>46193</v>
      </c>
      <c r="K373" s="5" t="s">
        <v>20</v>
      </c>
    </row>
    <row r="374" spans="1:11" ht="15" thickBot="1" x14ac:dyDescent="0.4">
      <c r="A374" s="5">
        <v>1186</v>
      </c>
      <c r="B374" s="5" t="s">
        <v>16</v>
      </c>
      <c r="C374" s="5" t="s">
        <v>25</v>
      </c>
      <c r="D374" s="5" t="s">
        <v>18</v>
      </c>
      <c r="E374" s="5" t="s">
        <v>44</v>
      </c>
      <c r="F374" s="5">
        <v>10</v>
      </c>
      <c r="G374" s="5">
        <v>14951</v>
      </c>
      <c r="H374" s="5">
        <v>2</v>
      </c>
      <c r="I374" s="6">
        <v>46188</v>
      </c>
      <c r="J374" s="6">
        <v>46196</v>
      </c>
      <c r="K374" s="5" t="s">
        <v>24</v>
      </c>
    </row>
    <row r="375" spans="1:11" ht="15" thickBot="1" x14ac:dyDescent="0.4">
      <c r="A375" s="5">
        <v>1146</v>
      </c>
      <c r="B375" s="5" t="s">
        <v>16</v>
      </c>
      <c r="C375" s="5" t="s">
        <v>43</v>
      </c>
      <c r="D375" s="5" t="s">
        <v>34</v>
      </c>
      <c r="E375" s="5" t="s">
        <v>45</v>
      </c>
      <c r="F375" s="5">
        <v>7</v>
      </c>
      <c r="G375" s="5">
        <v>68217</v>
      </c>
      <c r="H375" s="5">
        <v>0</v>
      </c>
      <c r="I375" s="6">
        <v>46190</v>
      </c>
      <c r="J375" s="6">
        <v>46197</v>
      </c>
      <c r="K375" s="5" t="s">
        <v>29</v>
      </c>
    </row>
    <row r="376" spans="1:11" ht="15" thickBot="1" x14ac:dyDescent="0.4">
      <c r="A376" s="5">
        <v>1331</v>
      </c>
      <c r="B376" s="5" t="s">
        <v>21</v>
      </c>
      <c r="C376" s="5" t="s">
        <v>25</v>
      </c>
      <c r="D376" s="5" t="s">
        <v>34</v>
      </c>
      <c r="E376" s="5" t="s">
        <v>61</v>
      </c>
      <c r="F376" s="5">
        <v>2</v>
      </c>
      <c r="G376" s="5">
        <v>43557</v>
      </c>
      <c r="H376" s="5">
        <v>2</v>
      </c>
      <c r="I376" s="6">
        <v>46190</v>
      </c>
      <c r="J376" s="6">
        <v>46200</v>
      </c>
      <c r="K376" s="5" t="s">
        <v>15</v>
      </c>
    </row>
    <row r="377" spans="1:11" ht="15" thickBot="1" x14ac:dyDescent="0.4">
      <c r="A377" s="5">
        <v>1062</v>
      </c>
      <c r="B377" s="5" t="s">
        <v>40</v>
      </c>
      <c r="C377" s="5" t="s">
        <v>43</v>
      </c>
      <c r="D377" s="5" t="s">
        <v>18</v>
      </c>
      <c r="E377" s="5" t="s">
        <v>23</v>
      </c>
      <c r="F377" s="5">
        <v>8</v>
      </c>
      <c r="G377" s="5">
        <v>8360</v>
      </c>
      <c r="H377" s="5">
        <v>2</v>
      </c>
      <c r="I377" s="6">
        <v>46190</v>
      </c>
      <c r="J377" s="6">
        <v>46200</v>
      </c>
      <c r="K377" s="5" t="s">
        <v>51</v>
      </c>
    </row>
    <row r="378" spans="1:11" ht="15" thickBot="1" x14ac:dyDescent="0.4">
      <c r="A378" s="5">
        <v>1373</v>
      </c>
      <c r="B378" s="5" t="s">
        <v>54</v>
      </c>
      <c r="C378" s="5" t="s">
        <v>25</v>
      </c>
      <c r="D378" s="5" t="s">
        <v>34</v>
      </c>
      <c r="E378" s="5" t="s">
        <v>60</v>
      </c>
      <c r="F378" s="5">
        <v>11</v>
      </c>
      <c r="G378" s="5">
        <v>47930</v>
      </c>
      <c r="H378" s="5">
        <v>12</v>
      </c>
      <c r="I378" s="6">
        <v>46191</v>
      </c>
      <c r="J378" s="6">
        <v>46201</v>
      </c>
      <c r="K378" s="5" t="s">
        <v>20</v>
      </c>
    </row>
    <row r="379" spans="1:11" ht="15" thickBot="1" x14ac:dyDescent="0.4">
      <c r="A379" s="5">
        <v>1306</v>
      </c>
      <c r="B379" s="5" t="s">
        <v>54</v>
      </c>
      <c r="C379" s="5" t="s">
        <v>43</v>
      </c>
      <c r="D379" s="5" t="s">
        <v>13</v>
      </c>
      <c r="E379" s="5" t="s">
        <v>36</v>
      </c>
      <c r="F379" s="5">
        <v>1</v>
      </c>
      <c r="G379" s="5">
        <v>332</v>
      </c>
      <c r="H379" s="5">
        <v>0</v>
      </c>
      <c r="I379" s="6">
        <v>46191</v>
      </c>
      <c r="J379" s="6">
        <v>46194</v>
      </c>
      <c r="K379" s="5" t="s">
        <v>20</v>
      </c>
    </row>
    <row r="380" spans="1:11" ht="15" thickBot="1" x14ac:dyDescent="0.4">
      <c r="A380" s="5">
        <v>1242</v>
      </c>
      <c r="B380" s="5" t="s">
        <v>54</v>
      </c>
      <c r="C380" s="5" t="s">
        <v>38</v>
      </c>
      <c r="D380" s="5" t="s">
        <v>13</v>
      </c>
      <c r="E380" s="5" t="s">
        <v>50</v>
      </c>
      <c r="F380" s="5">
        <v>7</v>
      </c>
      <c r="G380" s="5">
        <v>168</v>
      </c>
      <c r="H380" s="5">
        <v>10</v>
      </c>
      <c r="I380" s="6">
        <v>46191</v>
      </c>
      <c r="J380" s="6">
        <v>46196</v>
      </c>
      <c r="K380" s="5" t="s">
        <v>51</v>
      </c>
    </row>
    <row r="381" spans="1:11" ht="15" thickBot="1" x14ac:dyDescent="0.4">
      <c r="A381" s="5">
        <v>1065</v>
      </c>
      <c r="B381" s="5" t="s">
        <v>42</v>
      </c>
      <c r="C381" s="5" t="s">
        <v>43</v>
      </c>
      <c r="D381" s="5" t="s">
        <v>18</v>
      </c>
      <c r="E381" s="5" t="s">
        <v>44</v>
      </c>
      <c r="F381" s="5">
        <v>1</v>
      </c>
      <c r="G381" s="5">
        <v>7730</v>
      </c>
      <c r="H381" s="5">
        <v>5</v>
      </c>
      <c r="I381" s="6">
        <v>46192</v>
      </c>
      <c r="J381" s="6">
        <v>46195</v>
      </c>
      <c r="K381" s="5" t="s">
        <v>51</v>
      </c>
    </row>
    <row r="382" spans="1:11" ht="15" thickBot="1" x14ac:dyDescent="0.4">
      <c r="A382" s="5">
        <v>1023</v>
      </c>
      <c r="B382" s="5" t="s">
        <v>40</v>
      </c>
      <c r="C382" s="5" t="s">
        <v>12</v>
      </c>
      <c r="D382" s="5" t="s">
        <v>18</v>
      </c>
      <c r="E382" s="5" t="s">
        <v>44</v>
      </c>
      <c r="F382" s="5">
        <v>15</v>
      </c>
      <c r="G382" s="5">
        <v>3506</v>
      </c>
      <c r="H382" s="5">
        <v>2</v>
      </c>
      <c r="I382" s="6">
        <v>46193</v>
      </c>
      <c r="J382" s="6">
        <v>46194</v>
      </c>
      <c r="K382" s="5" t="s">
        <v>29</v>
      </c>
    </row>
    <row r="383" spans="1:11" ht="15" thickBot="1" x14ac:dyDescent="0.4">
      <c r="A383" s="5">
        <v>1212</v>
      </c>
      <c r="B383" s="5" t="s">
        <v>59</v>
      </c>
      <c r="C383" s="5" t="s">
        <v>25</v>
      </c>
      <c r="D383" s="5" t="s">
        <v>34</v>
      </c>
      <c r="E383" s="5" t="s">
        <v>60</v>
      </c>
      <c r="F383" s="5">
        <v>10</v>
      </c>
      <c r="G383" s="5">
        <v>34380</v>
      </c>
      <c r="H383" s="5">
        <v>7</v>
      </c>
      <c r="I383" s="6">
        <v>46194</v>
      </c>
      <c r="J383" s="6">
        <v>46195</v>
      </c>
      <c r="K383" s="5" t="s">
        <v>29</v>
      </c>
    </row>
    <row r="384" spans="1:11" ht="15" thickBot="1" x14ac:dyDescent="0.4">
      <c r="A384" s="5">
        <v>1397</v>
      </c>
      <c r="B384" s="5" t="s">
        <v>21</v>
      </c>
      <c r="C384" s="5" t="s">
        <v>33</v>
      </c>
      <c r="D384" s="5" t="s">
        <v>18</v>
      </c>
      <c r="E384" s="5" t="s">
        <v>23</v>
      </c>
      <c r="F384" s="5">
        <v>1</v>
      </c>
      <c r="G384" s="5">
        <v>8948</v>
      </c>
      <c r="H384" s="5">
        <v>5</v>
      </c>
      <c r="I384" s="6">
        <v>46194</v>
      </c>
      <c r="J384" s="6">
        <v>46201</v>
      </c>
      <c r="K384" s="5" t="s">
        <v>51</v>
      </c>
    </row>
    <row r="385" spans="1:11" ht="15" thickBot="1" x14ac:dyDescent="0.4">
      <c r="A385" s="5">
        <v>1353</v>
      </c>
      <c r="B385" s="5" t="s">
        <v>47</v>
      </c>
      <c r="C385" s="5" t="s">
        <v>43</v>
      </c>
      <c r="D385" s="5" t="s">
        <v>13</v>
      </c>
      <c r="E385" s="5" t="s">
        <v>14</v>
      </c>
      <c r="F385" s="5">
        <v>6</v>
      </c>
      <c r="G385" s="5">
        <v>495</v>
      </c>
      <c r="H385" s="5">
        <v>2</v>
      </c>
      <c r="I385" s="6">
        <v>46194</v>
      </c>
      <c r="J385" s="6">
        <v>46200</v>
      </c>
      <c r="K385" s="5" t="s">
        <v>24</v>
      </c>
    </row>
    <row r="386" spans="1:11" ht="15" thickBot="1" x14ac:dyDescent="0.4">
      <c r="A386" s="5">
        <v>1164</v>
      </c>
      <c r="B386" s="5" t="s">
        <v>40</v>
      </c>
      <c r="C386" s="5" t="s">
        <v>43</v>
      </c>
      <c r="D386" s="5" t="s">
        <v>34</v>
      </c>
      <c r="E386" s="5" t="s">
        <v>61</v>
      </c>
      <c r="F386" s="5">
        <v>7</v>
      </c>
      <c r="G386" s="5">
        <v>24615</v>
      </c>
      <c r="H386" s="5">
        <v>12</v>
      </c>
      <c r="I386" s="6">
        <v>46196</v>
      </c>
      <c r="J386" s="6">
        <v>46203</v>
      </c>
      <c r="K386" s="5" t="s">
        <v>51</v>
      </c>
    </row>
    <row r="387" spans="1:11" ht="15" thickBot="1" x14ac:dyDescent="0.4">
      <c r="A387" s="5">
        <v>1068</v>
      </c>
      <c r="B387" s="5" t="s">
        <v>52</v>
      </c>
      <c r="C387" s="5" t="s">
        <v>43</v>
      </c>
      <c r="D387" s="5" t="s">
        <v>34</v>
      </c>
      <c r="E387" s="5" t="s">
        <v>60</v>
      </c>
      <c r="F387" s="5">
        <v>15</v>
      </c>
      <c r="G387" s="5">
        <v>14534</v>
      </c>
      <c r="H387" s="5">
        <v>5</v>
      </c>
      <c r="I387" s="6">
        <v>46196</v>
      </c>
      <c r="J387" s="6">
        <v>46199</v>
      </c>
      <c r="K387" s="5" t="s">
        <v>29</v>
      </c>
    </row>
    <row r="388" spans="1:11" ht="15" thickBot="1" x14ac:dyDescent="0.4">
      <c r="A388" s="5">
        <v>1314</v>
      </c>
      <c r="B388" s="5" t="s">
        <v>52</v>
      </c>
      <c r="C388" s="5" t="s">
        <v>33</v>
      </c>
      <c r="D388" s="5" t="s">
        <v>18</v>
      </c>
      <c r="E388" s="5" t="s">
        <v>19</v>
      </c>
      <c r="F388" s="5">
        <v>10</v>
      </c>
      <c r="G388" s="5">
        <v>6328</v>
      </c>
      <c r="H388" s="5">
        <v>2</v>
      </c>
      <c r="I388" s="6">
        <v>46196</v>
      </c>
      <c r="J388" s="6">
        <v>46197</v>
      </c>
      <c r="K388" s="5" t="s">
        <v>29</v>
      </c>
    </row>
    <row r="389" spans="1:11" ht="15" thickBot="1" x14ac:dyDescent="0.4">
      <c r="A389" s="5">
        <v>1340</v>
      </c>
      <c r="B389" s="5" t="s">
        <v>48</v>
      </c>
      <c r="C389" s="5" t="s">
        <v>17</v>
      </c>
      <c r="D389" s="5" t="s">
        <v>18</v>
      </c>
      <c r="E389" s="5" t="s">
        <v>19</v>
      </c>
      <c r="F389" s="5">
        <v>12</v>
      </c>
      <c r="G389" s="5">
        <v>3857</v>
      </c>
      <c r="H389" s="5">
        <v>12</v>
      </c>
      <c r="I389" s="6">
        <v>46196</v>
      </c>
      <c r="J389" s="6">
        <v>46198</v>
      </c>
      <c r="K389" s="5" t="s">
        <v>51</v>
      </c>
    </row>
    <row r="390" spans="1:11" ht="15" thickBot="1" x14ac:dyDescent="0.4">
      <c r="A390" s="5">
        <v>1383</v>
      </c>
      <c r="B390" s="5" t="s">
        <v>32</v>
      </c>
      <c r="C390" s="5" t="s">
        <v>12</v>
      </c>
      <c r="D390" s="5" t="s">
        <v>13</v>
      </c>
      <c r="E390" s="5" t="s">
        <v>53</v>
      </c>
      <c r="F390" s="5">
        <v>14</v>
      </c>
      <c r="G390" s="5">
        <v>334</v>
      </c>
      <c r="H390" s="5">
        <v>10</v>
      </c>
      <c r="I390" s="6">
        <v>46196</v>
      </c>
      <c r="J390" s="6">
        <v>46203</v>
      </c>
      <c r="K390" s="5" t="s">
        <v>15</v>
      </c>
    </row>
    <row r="391" spans="1:11" ht="15" thickBot="1" x14ac:dyDescent="0.4">
      <c r="A391" s="5">
        <v>1309</v>
      </c>
      <c r="B391" s="5" t="s">
        <v>29</v>
      </c>
      <c r="C391" s="5" t="s">
        <v>31</v>
      </c>
      <c r="D391" s="5" t="s">
        <v>13</v>
      </c>
      <c r="E391" s="5" t="s">
        <v>50</v>
      </c>
      <c r="F391" s="5">
        <v>2</v>
      </c>
      <c r="G391" s="5">
        <v>35</v>
      </c>
      <c r="H391" s="5">
        <v>5</v>
      </c>
      <c r="I391" s="6">
        <v>46197</v>
      </c>
      <c r="J391" s="6">
        <v>46198</v>
      </c>
      <c r="K391" s="5" t="s">
        <v>24</v>
      </c>
    </row>
    <row r="392" spans="1:11" ht="15" thickBot="1" x14ac:dyDescent="0.4">
      <c r="A392" s="5">
        <v>1233</v>
      </c>
      <c r="B392" s="5" t="s">
        <v>58</v>
      </c>
      <c r="C392" s="5" t="s">
        <v>22</v>
      </c>
      <c r="D392" s="5" t="s">
        <v>18</v>
      </c>
      <c r="E392" s="5" t="s">
        <v>19</v>
      </c>
      <c r="F392" s="5">
        <v>20</v>
      </c>
      <c r="G392" s="5">
        <v>13941</v>
      </c>
      <c r="H392" s="5">
        <v>15</v>
      </c>
      <c r="I392" s="6">
        <v>46198</v>
      </c>
      <c r="J392" s="6">
        <v>46202</v>
      </c>
      <c r="K392" s="5" t="s">
        <v>24</v>
      </c>
    </row>
    <row r="393" spans="1:11" ht="15" thickBot="1" x14ac:dyDescent="0.4">
      <c r="A393" s="5">
        <v>1195</v>
      </c>
      <c r="B393" s="5" t="s">
        <v>59</v>
      </c>
      <c r="C393" s="5" t="s">
        <v>17</v>
      </c>
      <c r="D393" s="5" t="s">
        <v>13</v>
      </c>
      <c r="E393" s="5" t="s">
        <v>50</v>
      </c>
      <c r="F393" s="5">
        <v>19</v>
      </c>
      <c r="G393" s="5">
        <v>313</v>
      </c>
      <c r="H393" s="5">
        <v>2</v>
      </c>
      <c r="I393" s="6">
        <v>46198</v>
      </c>
      <c r="J393" s="6">
        <v>46206</v>
      </c>
      <c r="K393" s="5" t="s">
        <v>51</v>
      </c>
    </row>
    <row r="394" spans="1:11" ht="15" thickBot="1" x14ac:dyDescent="0.4">
      <c r="A394" s="5">
        <v>1268</v>
      </c>
      <c r="B394" s="5" t="s">
        <v>42</v>
      </c>
      <c r="C394" s="5" t="s">
        <v>38</v>
      </c>
      <c r="D394" s="5" t="s">
        <v>34</v>
      </c>
      <c r="E394" s="5" t="s">
        <v>45</v>
      </c>
      <c r="F394" s="5">
        <v>10</v>
      </c>
      <c r="G394" s="5">
        <v>46291</v>
      </c>
      <c r="H394" s="5">
        <v>12</v>
      </c>
      <c r="I394" s="6">
        <v>46199</v>
      </c>
      <c r="J394" s="6">
        <v>46202</v>
      </c>
      <c r="K394" s="5" t="s">
        <v>20</v>
      </c>
    </row>
    <row r="395" spans="1:11" ht="15" thickBot="1" x14ac:dyDescent="0.4">
      <c r="A395" s="5">
        <v>1047</v>
      </c>
      <c r="B395" s="5" t="s">
        <v>58</v>
      </c>
      <c r="C395" s="5" t="s">
        <v>38</v>
      </c>
      <c r="D395" s="5" t="s">
        <v>18</v>
      </c>
      <c r="E395" s="5" t="s">
        <v>56</v>
      </c>
      <c r="F395" s="5">
        <v>11</v>
      </c>
      <c r="G395" s="5">
        <v>9976</v>
      </c>
      <c r="H395" s="5">
        <v>12</v>
      </c>
      <c r="I395" s="6">
        <v>46200</v>
      </c>
      <c r="J395" s="6">
        <v>46209</v>
      </c>
      <c r="K395" s="5" t="s">
        <v>15</v>
      </c>
    </row>
    <row r="396" spans="1:11" ht="15" thickBot="1" x14ac:dyDescent="0.4">
      <c r="A396" s="5">
        <v>1054</v>
      </c>
      <c r="B396" s="5" t="s">
        <v>26</v>
      </c>
      <c r="C396" s="5" t="s">
        <v>25</v>
      </c>
      <c r="D396" s="5" t="s">
        <v>18</v>
      </c>
      <c r="E396" s="5" t="s">
        <v>23</v>
      </c>
      <c r="F396" s="5">
        <v>8</v>
      </c>
      <c r="G396" s="5">
        <v>9798</v>
      </c>
      <c r="H396" s="5">
        <v>12</v>
      </c>
      <c r="I396" s="6">
        <v>46200</v>
      </c>
      <c r="J396" s="6">
        <v>46201</v>
      </c>
      <c r="K396" s="5" t="s">
        <v>51</v>
      </c>
    </row>
    <row r="397" spans="1:11" ht="15" thickBot="1" x14ac:dyDescent="0.4">
      <c r="A397" s="5">
        <v>1264</v>
      </c>
      <c r="B397" s="5" t="s">
        <v>11</v>
      </c>
      <c r="C397" s="5" t="s">
        <v>22</v>
      </c>
      <c r="D397" s="5" t="s">
        <v>18</v>
      </c>
      <c r="E397" s="5" t="s">
        <v>28</v>
      </c>
      <c r="F397" s="5">
        <v>15</v>
      </c>
      <c r="G397" s="5">
        <v>6365</v>
      </c>
      <c r="H397" s="5">
        <v>10</v>
      </c>
      <c r="I397" s="6">
        <v>46200</v>
      </c>
      <c r="J397" s="6">
        <v>46206</v>
      </c>
      <c r="K397" s="5" t="s">
        <v>20</v>
      </c>
    </row>
    <row r="398" spans="1:11" ht="15" thickBot="1" x14ac:dyDescent="0.4">
      <c r="A398" s="5">
        <v>1244</v>
      </c>
      <c r="B398" s="5" t="s">
        <v>57</v>
      </c>
      <c r="C398" s="5" t="s">
        <v>38</v>
      </c>
      <c r="D398" s="5" t="s">
        <v>18</v>
      </c>
      <c r="E398" s="5" t="s">
        <v>28</v>
      </c>
      <c r="F398" s="5">
        <v>10</v>
      </c>
      <c r="G398" s="5">
        <v>6339</v>
      </c>
      <c r="H398" s="5">
        <v>12</v>
      </c>
      <c r="I398" s="6">
        <v>46200</v>
      </c>
      <c r="J398" s="6">
        <v>46205</v>
      </c>
      <c r="K398" s="5" t="s">
        <v>15</v>
      </c>
    </row>
    <row r="399" spans="1:11" ht="15" thickBot="1" x14ac:dyDescent="0.4">
      <c r="A399" s="5">
        <v>1356</v>
      </c>
      <c r="B399" s="5" t="s">
        <v>26</v>
      </c>
      <c r="C399" s="5" t="s">
        <v>38</v>
      </c>
      <c r="D399" s="5" t="s">
        <v>34</v>
      </c>
      <c r="E399" s="5" t="s">
        <v>60</v>
      </c>
      <c r="F399" s="5">
        <v>16</v>
      </c>
      <c r="G399" s="5">
        <v>53457</v>
      </c>
      <c r="H399" s="5">
        <v>10</v>
      </c>
      <c r="I399" s="6">
        <v>46201</v>
      </c>
      <c r="J399" s="6">
        <v>46204</v>
      </c>
      <c r="K399" s="5" t="s">
        <v>15</v>
      </c>
    </row>
    <row r="400" spans="1:11" ht="15" thickBot="1" x14ac:dyDescent="0.4">
      <c r="A400" s="5">
        <v>1126</v>
      </c>
      <c r="B400" s="5" t="s">
        <v>46</v>
      </c>
      <c r="C400" s="5" t="s">
        <v>22</v>
      </c>
      <c r="D400" s="5" t="s">
        <v>34</v>
      </c>
      <c r="E400" s="5" t="s">
        <v>39</v>
      </c>
      <c r="F400" s="5">
        <v>17</v>
      </c>
      <c r="G400" s="5">
        <v>19390</v>
      </c>
      <c r="H400" s="5">
        <v>12</v>
      </c>
      <c r="I400" s="6">
        <v>46201</v>
      </c>
      <c r="J400" s="6">
        <v>46206</v>
      </c>
      <c r="K400" s="5" t="s">
        <v>29</v>
      </c>
    </row>
    <row r="401" spans="1:11" ht="15" thickBot="1" x14ac:dyDescent="0.4">
      <c r="A401" s="5">
        <v>1219</v>
      </c>
      <c r="B401" s="5" t="s">
        <v>46</v>
      </c>
      <c r="C401" s="5" t="s">
        <v>22</v>
      </c>
      <c r="D401" s="5" t="s">
        <v>13</v>
      </c>
      <c r="E401" s="5" t="s">
        <v>14</v>
      </c>
      <c r="F401" s="5">
        <v>4</v>
      </c>
      <c r="G401" s="5">
        <v>117</v>
      </c>
      <c r="H401" s="5">
        <v>15</v>
      </c>
      <c r="I401" s="6">
        <v>46202</v>
      </c>
      <c r="J401" s="6">
        <v>46206</v>
      </c>
      <c r="K401" s="5" t="s">
        <v>29</v>
      </c>
    </row>
  </sheetData>
  <sortState xmlns:xlrd2="http://schemas.microsoft.com/office/spreadsheetml/2017/richdata2" ref="A2:K401">
    <sortCondition ref="I2:I401"/>
    <sortCondition descending="1" ref="G2:G401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D8A7E9-FF11-4B87-AB45-410BAD3ACA64}">
  <dimension ref="A1:K7"/>
  <sheetViews>
    <sheetView workbookViewId="0">
      <selection activeCell="G16" sqref="G16"/>
    </sheetView>
  </sheetViews>
  <sheetFormatPr defaultRowHeight="14.5" x14ac:dyDescent="0.35"/>
  <cols>
    <col min="1" max="1" width="8.54296875" bestFit="1" customWidth="1"/>
    <col min="2" max="2" width="10.453125" customWidth="1"/>
    <col min="3" max="3" width="5" bestFit="1" customWidth="1"/>
    <col min="4" max="4" width="9.7265625" bestFit="1" customWidth="1"/>
    <col min="6" max="6" width="8" bestFit="1" customWidth="1"/>
    <col min="7" max="7" width="9.26953125" bestFit="1" customWidth="1"/>
    <col min="8" max="8" width="10.54296875" bestFit="1" customWidth="1"/>
    <col min="9" max="9" width="10.6328125" bestFit="1" customWidth="1"/>
    <col min="10" max="10" width="12.453125" customWidth="1"/>
    <col min="11" max="11" width="10.81640625" bestFit="1" customWidth="1"/>
  </cols>
  <sheetData>
    <row r="1" spans="1:11" ht="15" thickBot="1" x14ac:dyDescent="0.4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7" t="s">
        <v>10</v>
      </c>
    </row>
    <row r="2" spans="1:11" ht="15" thickBot="1" x14ac:dyDescent="0.4">
      <c r="A2" s="5">
        <v>1019</v>
      </c>
      <c r="B2" s="5" t="s">
        <v>11</v>
      </c>
      <c r="C2" s="5" t="s">
        <v>43</v>
      </c>
      <c r="D2" s="5" t="s">
        <v>34</v>
      </c>
      <c r="E2" s="5" t="s">
        <v>41</v>
      </c>
      <c r="F2" s="5">
        <v>18</v>
      </c>
      <c r="G2" s="5">
        <v>45652</v>
      </c>
      <c r="H2" s="5">
        <v>10</v>
      </c>
      <c r="I2" s="6">
        <v>46023</v>
      </c>
      <c r="J2" s="6">
        <v>46030</v>
      </c>
      <c r="K2" s="5" t="s">
        <v>20</v>
      </c>
    </row>
    <row r="3" spans="1:11" ht="15" thickBot="1" x14ac:dyDescent="0.4">
      <c r="A3" s="5">
        <v>1075</v>
      </c>
      <c r="B3" s="5" t="s">
        <v>42</v>
      </c>
      <c r="C3" s="5" t="s">
        <v>43</v>
      </c>
      <c r="D3" s="5" t="s">
        <v>34</v>
      </c>
      <c r="E3" s="5" t="s">
        <v>61</v>
      </c>
      <c r="F3" s="5">
        <v>4</v>
      </c>
      <c r="G3" s="5">
        <v>64773</v>
      </c>
      <c r="H3" s="5">
        <v>10</v>
      </c>
      <c r="I3" s="6">
        <v>46185</v>
      </c>
      <c r="J3" s="6">
        <v>46186</v>
      </c>
      <c r="K3" s="5" t="s">
        <v>51</v>
      </c>
    </row>
    <row r="4" spans="1:11" ht="15" thickBot="1" x14ac:dyDescent="0.4">
      <c r="A4" s="5">
        <v>1164</v>
      </c>
      <c r="B4" s="5" t="s">
        <v>40</v>
      </c>
      <c r="C4" s="5" t="s">
        <v>43</v>
      </c>
      <c r="D4" s="5" t="s">
        <v>34</v>
      </c>
      <c r="E4" s="5" t="s">
        <v>61</v>
      </c>
      <c r="F4" s="5">
        <v>7</v>
      </c>
      <c r="G4" s="5">
        <v>24615</v>
      </c>
      <c r="H4" s="5">
        <v>12</v>
      </c>
      <c r="I4" s="6">
        <v>46196</v>
      </c>
      <c r="J4" s="6">
        <v>46203</v>
      </c>
      <c r="K4" s="5" t="s">
        <v>51</v>
      </c>
    </row>
    <row r="5" spans="1:11" ht="15" thickBot="1" x14ac:dyDescent="0.4">
      <c r="A5" s="5">
        <v>1307</v>
      </c>
      <c r="B5" s="5" t="s">
        <v>57</v>
      </c>
      <c r="C5" s="5" t="s">
        <v>43</v>
      </c>
      <c r="D5" s="5" t="s">
        <v>34</v>
      </c>
      <c r="E5" s="5" t="s">
        <v>35</v>
      </c>
      <c r="F5" s="5">
        <v>18</v>
      </c>
      <c r="G5" s="5">
        <v>7541</v>
      </c>
      <c r="H5" s="5">
        <v>12</v>
      </c>
      <c r="I5" s="6">
        <v>46048</v>
      </c>
      <c r="J5" s="6">
        <v>46051</v>
      </c>
      <c r="K5" s="5" t="s">
        <v>51</v>
      </c>
    </row>
    <row r="6" spans="1:11" ht="15" thickBot="1" x14ac:dyDescent="0.4">
      <c r="A6" s="5">
        <v>1325</v>
      </c>
      <c r="B6" s="5" t="s">
        <v>48</v>
      </c>
      <c r="C6" s="5" t="s">
        <v>43</v>
      </c>
      <c r="D6" s="5" t="s">
        <v>34</v>
      </c>
      <c r="E6" s="5" t="s">
        <v>39</v>
      </c>
      <c r="F6" s="5">
        <v>9</v>
      </c>
      <c r="G6" s="5">
        <v>58442</v>
      </c>
      <c r="H6" s="5">
        <v>12</v>
      </c>
      <c r="I6" s="6">
        <v>46076</v>
      </c>
      <c r="J6" s="6">
        <v>46085</v>
      </c>
      <c r="K6" s="5" t="s">
        <v>20</v>
      </c>
    </row>
    <row r="7" spans="1:11" ht="15" thickBot="1" x14ac:dyDescent="0.4">
      <c r="A7" s="5">
        <v>1354</v>
      </c>
      <c r="B7" s="5" t="s">
        <v>47</v>
      </c>
      <c r="C7" s="5" t="s">
        <v>43</v>
      </c>
      <c r="D7" s="5" t="s">
        <v>34</v>
      </c>
      <c r="E7" s="5" t="s">
        <v>35</v>
      </c>
      <c r="F7" s="5">
        <v>15</v>
      </c>
      <c r="G7" s="5">
        <v>14927</v>
      </c>
      <c r="H7" s="5">
        <v>15</v>
      </c>
      <c r="I7" s="6">
        <v>46118</v>
      </c>
      <c r="J7" s="6">
        <v>46120</v>
      </c>
      <c r="K7" s="5" t="s">
        <v>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048752-D0D4-4D9C-84B3-681650461B0C}">
  <dimension ref="A1:E2"/>
  <sheetViews>
    <sheetView workbookViewId="0">
      <selection sqref="A1:E1"/>
    </sheetView>
  </sheetViews>
  <sheetFormatPr defaultRowHeight="14.5" x14ac:dyDescent="0.35"/>
  <cols>
    <col min="1" max="1" width="19.7265625" bestFit="1" customWidth="1"/>
    <col min="2" max="2" width="18.1796875" bestFit="1" customWidth="1"/>
    <col min="3" max="3" width="14" bestFit="1" customWidth="1"/>
    <col min="4" max="4" width="13.6328125" bestFit="1" customWidth="1"/>
    <col min="5" max="5" width="19.08984375" bestFit="1" customWidth="1"/>
  </cols>
  <sheetData>
    <row r="1" spans="1:5" x14ac:dyDescent="0.35">
      <c r="A1" s="33" t="s">
        <v>62</v>
      </c>
      <c r="B1" s="33" t="s">
        <v>63</v>
      </c>
      <c r="C1" s="33" t="s">
        <v>64</v>
      </c>
      <c r="D1" s="33" t="s">
        <v>65</v>
      </c>
      <c r="E1" s="33" t="s">
        <v>66</v>
      </c>
    </row>
    <row r="2" spans="1:5" x14ac:dyDescent="0.35">
      <c r="A2" s="8">
        <f>SUM(Sales_Dataset!$F$2:$F$401)</f>
        <v>4446</v>
      </c>
      <c r="B2" s="8">
        <f>AVERAGE(Sales_Dataset!$G$2:$G$401)</f>
        <v>16067.842500000001</v>
      </c>
      <c r="C2" s="8">
        <f>MAX(Sales_Dataset!$G$2:$G$401)</f>
        <v>69793</v>
      </c>
      <c r="D2" s="8">
        <f>MIN(Sales_Dataset!$G$2:$G$401)</f>
        <v>30</v>
      </c>
      <c r="E2" s="8">
        <f>COUNT(Sales_Dataset!$A$2:$A$401)</f>
        <v>400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CCC7EC-44A6-4D8A-BFE8-DC3ACA7E34C8}">
  <dimension ref="A1:L401"/>
  <sheetViews>
    <sheetView workbookViewId="0">
      <selection sqref="A1:L1"/>
    </sheetView>
  </sheetViews>
  <sheetFormatPr defaultRowHeight="14.5" x14ac:dyDescent="0.35"/>
  <cols>
    <col min="1" max="1" width="8.54296875" bestFit="1" customWidth="1"/>
    <col min="2" max="2" width="9" bestFit="1" customWidth="1"/>
    <col min="3" max="3" width="11.08984375" customWidth="1"/>
    <col min="4" max="4" width="11.453125" customWidth="1"/>
    <col min="5" max="5" width="10.81640625" customWidth="1"/>
    <col min="6" max="6" width="8.1796875" bestFit="1" customWidth="1"/>
    <col min="7" max="7" width="9.453125" bestFit="1" customWidth="1"/>
    <col min="8" max="8" width="10.6328125" bestFit="1" customWidth="1"/>
    <col min="9" max="9" width="10.7265625" bestFit="1" customWidth="1"/>
    <col min="10" max="10" width="12.54296875" bestFit="1" customWidth="1"/>
    <col min="11" max="11" width="10.81640625" bestFit="1" customWidth="1"/>
    <col min="12" max="12" width="12.90625" customWidth="1"/>
  </cols>
  <sheetData>
    <row r="1" spans="1:12" ht="15" thickBot="1" x14ac:dyDescent="0.4">
      <c r="A1" s="31" t="s">
        <v>0</v>
      </c>
      <c r="B1" s="31" t="s">
        <v>1</v>
      </c>
      <c r="C1" s="31" t="s">
        <v>2</v>
      </c>
      <c r="D1" s="31" t="s">
        <v>3</v>
      </c>
      <c r="E1" s="31" t="s">
        <v>4</v>
      </c>
      <c r="F1" s="31" t="s">
        <v>5</v>
      </c>
      <c r="G1" s="31" t="s">
        <v>6</v>
      </c>
      <c r="H1" s="31" t="s">
        <v>7</v>
      </c>
      <c r="I1" s="31" t="s">
        <v>8</v>
      </c>
      <c r="J1" s="31" t="s">
        <v>9</v>
      </c>
      <c r="K1" s="32" t="s">
        <v>10</v>
      </c>
      <c r="L1" s="34" t="s">
        <v>67</v>
      </c>
    </row>
    <row r="2" spans="1:12" ht="15" thickBot="1" x14ac:dyDescent="0.4">
      <c r="A2" s="5">
        <v>1019</v>
      </c>
      <c r="B2" s="5" t="s">
        <v>11</v>
      </c>
      <c r="C2" s="5" t="s">
        <v>43</v>
      </c>
      <c r="D2" s="5" t="s">
        <v>34</v>
      </c>
      <c r="E2" s="5" t="s">
        <v>41</v>
      </c>
      <c r="F2" s="5">
        <v>18</v>
      </c>
      <c r="G2" s="5">
        <v>45652</v>
      </c>
      <c r="H2" s="5">
        <v>10</v>
      </c>
      <c r="I2" s="6">
        <v>46023</v>
      </c>
      <c r="J2" s="6">
        <v>46030</v>
      </c>
      <c r="K2" s="10" t="s">
        <v>20</v>
      </c>
      <c r="L2" s="18" t="str" cm="1">
        <f t="array" ref="L2">_xlfn.IFS(F2&gt;=15,"Bulk Order",AND(F2&gt;=5,F2&lt;=14),"Medium Order",F2&lt;5,"Regular Order")</f>
        <v>Bulk Order</v>
      </c>
    </row>
    <row r="3" spans="1:12" ht="15" thickBot="1" x14ac:dyDescent="0.4">
      <c r="A3" s="5">
        <v>1355</v>
      </c>
      <c r="B3" s="5" t="s">
        <v>27</v>
      </c>
      <c r="C3" s="5" t="s">
        <v>12</v>
      </c>
      <c r="D3" s="5" t="s">
        <v>34</v>
      </c>
      <c r="E3" s="5" t="s">
        <v>60</v>
      </c>
      <c r="F3" s="5">
        <v>18</v>
      </c>
      <c r="G3" s="5">
        <v>35997</v>
      </c>
      <c r="H3" s="5">
        <v>2</v>
      </c>
      <c r="I3" s="6">
        <v>46024</v>
      </c>
      <c r="J3" s="6">
        <v>46031</v>
      </c>
      <c r="K3" s="10" t="s">
        <v>51</v>
      </c>
      <c r="L3" s="18" t="str" cm="1">
        <f t="array" ref="L3">_xlfn.IFS(F3&gt;=15,"Bulk Order",AND(F3&gt;=5,F3&lt;=14),"Medium Order",F3&lt;5,"Regular Order")</f>
        <v>Bulk Order</v>
      </c>
    </row>
    <row r="4" spans="1:12" ht="15" thickBot="1" x14ac:dyDescent="0.4">
      <c r="A4" s="5">
        <v>1060</v>
      </c>
      <c r="B4" s="5" t="s">
        <v>49</v>
      </c>
      <c r="C4" s="5" t="s">
        <v>12</v>
      </c>
      <c r="D4" s="5" t="s">
        <v>18</v>
      </c>
      <c r="E4" s="5" t="s">
        <v>44</v>
      </c>
      <c r="F4" s="5">
        <v>9</v>
      </c>
      <c r="G4" s="5">
        <v>9727</v>
      </c>
      <c r="H4" s="5">
        <v>2</v>
      </c>
      <c r="I4" s="6">
        <v>46024</v>
      </c>
      <c r="J4" s="6">
        <v>46030</v>
      </c>
      <c r="K4" s="10" t="s">
        <v>20</v>
      </c>
      <c r="L4" s="18" t="str" cm="1">
        <f t="array" ref="L4">_xlfn.IFS(F4&gt;=15,"Bulk Order",AND(F4&gt;=5,F4&lt;=14),"Medium Order",F4&lt;5,"Regular Order")</f>
        <v>Medium Order</v>
      </c>
    </row>
    <row r="5" spans="1:12" ht="15" thickBot="1" x14ac:dyDescent="0.4">
      <c r="A5" s="5">
        <v>1151</v>
      </c>
      <c r="B5" s="5" t="s">
        <v>46</v>
      </c>
      <c r="C5" s="5" t="s">
        <v>43</v>
      </c>
      <c r="D5" s="5" t="s">
        <v>13</v>
      </c>
      <c r="E5" s="5" t="s">
        <v>50</v>
      </c>
      <c r="F5" s="5">
        <v>20</v>
      </c>
      <c r="G5" s="5">
        <v>272</v>
      </c>
      <c r="H5" s="5">
        <v>15</v>
      </c>
      <c r="I5" s="6">
        <v>46024</v>
      </c>
      <c r="J5" s="6">
        <v>46029</v>
      </c>
      <c r="K5" s="10" t="s">
        <v>51</v>
      </c>
      <c r="L5" s="18" t="str" cm="1">
        <f t="array" ref="L5">_xlfn.IFS(F5&gt;=15,"Bulk Order",AND(F5&gt;=5,F5&lt;=14),"Medium Order",F5&lt;5,"Regular Order")</f>
        <v>Bulk Order</v>
      </c>
    </row>
    <row r="6" spans="1:12" ht="15" thickBot="1" x14ac:dyDescent="0.4">
      <c r="A6" s="5">
        <v>1132</v>
      </c>
      <c r="B6" s="5" t="s">
        <v>11</v>
      </c>
      <c r="C6" s="5" t="s">
        <v>31</v>
      </c>
      <c r="D6" s="5" t="s">
        <v>13</v>
      </c>
      <c r="E6" s="5" t="s">
        <v>50</v>
      </c>
      <c r="F6" s="5">
        <v>10</v>
      </c>
      <c r="G6" s="5">
        <v>270</v>
      </c>
      <c r="H6" s="5">
        <v>7</v>
      </c>
      <c r="I6" s="6">
        <v>46024</v>
      </c>
      <c r="J6" s="6">
        <v>46034</v>
      </c>
      <c r="K6" s="10" t="s">
        <v>24</v>
      </c>
      <c r="L6" s="18" t="str" cm="1">
        <f t="array" ref="L6">_xlfn.IFS(F6&gt;=15,"Bulk Order",AND(F6&gt;=5,F6&lt;=14),"Medium Order",F6&lt;5,"Regular Order")</f>
        <v>Medium Order</v>
      </c>
    </row>
    <row r="7" spans="1:12" ht="15" thickBot="1" x14ac:dyDescent="0.4">
      <c r="A7" s="5">
        <v>1352</v>
      </c>
      <c r="B7" s="5" t="s">
        <v>54</v>
      </c>
      <c r="C7" s="5" t="s">
        <v>22</v>
      </c>
      <c r="D7" s="5" t="s">
        <v>13</v>
      </c>
      <c r="E7" s="5" t="s">
        <v>14</v>
      </c>
      <c r="F7" s="5">
        <v>12</v>
      </c>
      <c r="G7" s="5">
        <v>203</v>
      </c>
      <c r="H7" s="5">
        <v>5</v>
      </c>
      <c r="I7" s="6">
        <v>46024</v>
      </c>
      <c r="J7" s="6">
        <v>46033</v>
      </c>
      <c r="K7" s="10" t="s">
        <v>15</v>
      </c>
      <c r="L7" s="18" t="str" cm="1">
        <f t="array" ref="L7">_xlfn.IFS(F7&gt;=15,"Bulk Order",AND(F7&gt;=5,F7&lt;=14),"Medium Order",F7&lt;5,"Regular Order")</f>
        <v>Medium Order</v>
      </c>
    </row>
    <row r="8" spans="1:12" ht="15" thickBot="1" x14ac:dyDescent="0.4">
      <c r="A8" s="5">
        <v>1156</v>
      </c>
      <c r="B8" s="5" t="s">
        <v>54</v>
      </c>
      <c r="C8" s="5" t="s">
        <v>38</v>
      </c>
      <c r="D8" s="5" t="s">
        <v>13</v>
      </c>
      <c r="E8" s="5" t="s">
        <v>36</v>
      </c>
      <c r="F8" s="5">
        <v>5</v>
      </c>
      <c r="G8" s="5">
        <v>466</v>
      </c>
      <c r="H8" s="5">
        <v>15</v>
      </c>
      <c r="I8" s="6">
        <v>46025</v>
      </c>
      <c r="J8" s="6">
        <v>46029</v>
      </c>
      <c r="K8" s="10" t="s">
        <v>15</v>
      </c>
      <c r="L8" s="18" t="str" cm="1">
        <f t="array" ref="L8">_xlfn.IFS(F8&gt;=15,"Bulk Order",AND(F8&gt;=5,F8&lt;=14),"Medium Order",F8&lt;5,"Regular Order")</f>
        <v>Medium Order</v>
      </c>
    </row>
    <row r="9" spans="1:12" ht="15" thickBot="1" x14ac:dyDescent="0.4">
      <c r="A9" s="5">
        <v>1341</v>
      </c>
      <c r="B9" s="5" t="s">
        <v>57</v>
      </c>
      <c r="C9" s="5" t="s">
        <v>38</v>
      </c>
      <c r="D9" s="5" t="s">
        <v>18</v>
      </c>
      <c r="E9" s="5" t="s">
        <v>19</v>
      </c>
      <c r="F9" s="5">
        <v>19</v>
      </c>
      <c r="G9" s="5">
        <v>6488</v>
      </c>
      <c r="H9" s="5">
        <v>15</v>
      </c>
      <c r="I9" s="6">
        <v>46026</v>
      </c>
      <c r="J9" s="6">
        <v>46030</v>
      </c>
      <c r="K9" s="10" t="s">
        <v>20</v>
      </c>
      <c r="L9" s="18" t="str" cm="1">
        <f t="array" ref="L9">_xlfn.IFS(F9&gt;=15,"Bulk Order",AND(F9&gt;=5,F9&lt;=14),"Medium Order",F9&lt;5,"Regular Order")</f>
        <v>Bulk Order</v>
      </c>
    </row>
    <row r="10" spans="1:12" ht="15" thickBot="1" x14ac:dyDescent="0.4">
      <c r="A10" s="5">
        <v>1351</v>
      </c>
      <c r="B10" s="5" t="s">
        <v>42</v>
      </c>
      <c r="C10" s="5" t="s">
        <v>33</v>
      </c>
      <c r="D10" s="5" t="s">
        <v>34</v>
      </c>
      <c r="E10" s="5" t="s">
        <v>45</v>
      </c>
      <c r="F10" s="5">
        <v>12</v>
      </c>
      <c r="G10" s="5">
        <v>1272</v>
      </c>
      <c r="H10" s="5">
        <v>0</v>
      </c>
      <c r="I10" s="6">
        <v>46026</v>
      </c>
      <c r="J10" s="6">
        <v>46029</v>
      </c>
      <c r="K10" s="10" t="s">
        <v>15</v>
      </c>
      <c r="L10" s="18" t="str" cm="1">
        <f t="array" ref="L10">_xlfn.IFS(F10&gt;=15,"Bulk Order",AND(F10&gt;=5,F10&lt;=14),"Medium Order",F10&lt;5,"Regular Order")</f>
        <v>Medium Order</v>
      </c>
    </row>
    <row r="11" spans="1:12" ht="15" thickBot="1" x14ac:dyDescent="0.4">
      <c r="A11" s="5">
        <v>1229</v>
      </c>
      <c r="B11" s="5" t="s">
        <v>57</v>
      </c>
      <c r="C11" s="5" t="s">
        <v>12</v>
      </c>
      <c r="D11" s="5" t="s">
        <v>18</v>
      </c>
      <c r="E11" s="5" t="s">
        <v>56</v>
      </c>
      <c r="F11" s="5">
        <v>14</v>
      </c>
      <c r="G11" s="5">
        <v>5859</v>
      </c>
      <c r="H11" s="5">
        <v>12</v>
      </c>
      <c r="I11" s="6">
        <v>46027</v>
      </c>
      <c r="J11" s="6">
        <v>46036</v>
      </c>
      <c r="K11" s="10" t="s">
        <v>20</v>
      </c>
      <c r="L11" s="18" t="str" cm="1">
        <f t="array" ref="L11">_xlfn.IFS(F11&gt;=15,"Bulk Order",AND(F11&gt;=5,F11&lt;=14),"Medium Order",F11&lt;5,"Regular Order")</f>
        <v>Medium Order</v>
      </c>
    </row>
    <row r="12" spans="1:12" ht="15" thickBot="1" x14ac:dyDescent="0.4">
      <c r="A12" s="5">
        <v>1100</v>
      </c>
      <c r="B12" s="5" t="s">
        <v>11</v>
      </c>
      <c r="C12" s="5" t="s">
        <v>31</v>
      </c>
      <c r="D12" s="5" t="s">
        <v>13</v>
      </c>
      <c r="E12" s="5" t="s">
        <v>14</v>
      </c>
      <c r="F12" s="5">
        <v>11</v>
      </c>
      <c r="G12" s="5">
        <v>296</v>
      </c>
      <c r="H12" s="5">
        <v>10</v>
      </c>
      <c r="I12" s="6">
        <v>46027</v>
      </c>
      <c r="J12" s="6">
        <v>46031</v>
      </c>
      <c r="K12" s="10" t="s">
        <v>51</v>
      </c>
      <c r="L12" s="18" t="str" cm="1">
        <f t="array" ref="L12">_xlfn.IFS(F12&gt;=15,"Bulk Order",AND(F12&gt;=5,F12&lt;=14),"Medium Order",F12&lt;5,"Regular Order")</f>
        <v>Medium Order</v>
      </c>
    </row>
    <row r="13" spans="1:12" ht="15" thickBot="1" x14ac:dyDescent="0.4">
      <c r="A13" s="5">
        <v>1301</v>
      </c>
      <c r="B13" s="5" t="s">
        <v>54</v>
      </c>
      <c r="C13" s="5" t="s">
        <v>17</v>
      </c>
      <c r="D13" s="5" t="s">
        <v>18</v>
      </c>
      <c r="E13" s="5" t="s">
        <v>28</v>
      </c>
      <c r="F13" s="5">
        <v>3</v>
      </c>
      <c r="G13" s="5">
        <v>7020</v>
      </c>
      <c r="H13" s="5">
        <v>10</v>
      </c>
      <c r="I13" s="6">
        <v>46028</v>
      </c>
      <c r="J13" s="6">
        <v>46038</v>
      </c>
      <c r="K13" s="10" t="s">
        <v>24</v>
      </c>
      <c r="L13" s="18" t="str" cm="1">
        <f t="array" ref="L13">_xlfn.IFS(F13&gt;=15,"Bulk Order",AND(F13&gt;=5,F13&lt;=14),"Medium Order",F13&lt;5,"Regular Order")</f>
        <v>Regular Order</v>
      </c>
    </row>
    <row r="14" spans="1:12" ht="15" thickBot="1" x14ac:dyDescent="0.4">
      <c r="A14" s="5">
        <v>1148</v>
      </c>
      <c r="B14" s="5" t="s">
        <v>59</v>
      </c>
      <c r="C14" s="5" t="s">
        <v>33</v>
      </c>
      <c r="D14" s="5" t="s">
        <v>18</v>
      </c>
      <c r="E14" s="5" t="s">
        <v>28</v>
      </c>
      <c r="F14" s="5">
        <v>11</v>
      </c>
      <c r="G14" s="5">
        <v>3023</v>
      </c>
      <c r="H14" s="5">
        <v>7</v>
      </c>
      <c r="I14" s="6">
        <v>46030</v>
      </c>
      <c r="J14" s="6">
        <v>46032</v>
      </c>
      <c r="K14" s="10" t="s">
        <v>24</v>
      </c>
      <c r="L14" s="18" t="str" cm="1">
        <f t="array" ref="L14">_xlfn.IFS(F14&gt;=15,"Bulk Order",AND(F14&gt;=5,F14&lt;=14),"Medium Order",F14&lt;5,"Regular Order")</f>
        <v>Medium Order</v>
      </c>
    </row>
    <row r="15" spans="1:12" ht="15" thickBot="1" x14ac:dyDescent="0.4">
      <c r="A15" s="5">
        <v>1038</v>
      </c>
      <c r="B15" s="5" t="s">
        <v>55</v>
      </c>
      <c r="C15" s="5" t="s">
        <v>17</v>
      </c>
      <c r="D15" s="5" t="s">
        <v>13</v>
      </c>
      <c r="E15" s="5" t="s">
        <v>36</v>
      </c>
      <c r="F15" s="5">
        <v>17</v>
      </c>
      <c r="G15" s="5">
        <v>223</v>
      </c>
      <c r="H15" s="5">
        <v>7</v>
      </c>
      <c r="I15" s="6">
        <v>46030</v>
      </c>
      <c r="J15" s="6">
        <v>46031</v>
      </c>
      <c r="K15" s="10" t="s">
        <v>51</v>
      </c>
      <c r="L15" s="18" t="str" cm="1">
        <f t="array" ref="L15">_xlfn.IFS(F15&gt;=15,"Bulk Order",AND(F15&gt;=5,F15&lt;=14),"Medium Order",F15&lt;5,"Regular Order")</f>
        <v>Bulk Order</v>
      </c>
    </row>
    <row r="16" spans="1:12" ht="15" thickBot="1" x14ac:dyDescent="0.4">
      <c r="A16" s="5">
        <v>1035</v>
      </c>
      <c r="B16" s="5" t="s">
        <v>49</v>
      </c>
      <c r="C16" s="5" t="s">
        <v>43</v>
      </c>
      <c r="D16" s="5" t="s">
        <v>18</v>
      </c>
      <c r="E16" s="5" t="s">
        <v>56</v>
      </c>
      <c r="F16" s="5">
        <v>3</v>
      </c>
      <c r="G16" s="5">
        <v>9149</v>
      </c>
      <c r="H16" s="5">
        <v>0</v>
      </c>
      <c r="I16" s="6">
        <v>46031</v>
      </c>
      <c r="J16" s="6">
        <v>46034</v>
      </c>
      <c r="K16" s="10" t="s">
        <v>24</v>
      </c>
      <c r="L16" s="18" t="str" cm="1">
        <f t="array" ref="L16">_xlfn.IFS(F16&gt;=15,"Bulk Order",AND(F16&gt;=5,F16&lt;=14),"Medium Order",F16&lt;5,"Regular Order")</f>
        <v>Regular Order</v>
      </c>
    </row>
    <row r="17" spans="1:12" ht="15" thickBot="1" x14ac:dyDescent="0.4">
      <c r="A17" s="5">
        <v>1364</v>
      </c>
      <c r="B17" s="5" t="s">
        <v>30</v>
      </c>
      <c r="C17" s="5" t="s">
        <v>22</v>
      </c>
      <c r="D17" s="5" t="s">
        <v>18</v>
      </c>
      <c r="E17" s="5" t="s">
        <v>56</v>
      </c>
      <c r="F17" s="5">
        <v>16</v>
      </c>
      <c r="G17" s="5">
        <v>1744</v>
      </c>
      <c r="H17" s="5">
        <v>15</v>
      </c>
      <c r="I17" s="6">
        <v>46031</v>
      </c>
      <c r="J17" s="6">
        <v>46033</v>
      </c>
      <c r="K17" s="10" t="s">
        <v>51</v>
      </c>
      <c r="L17" s="18" t="str" cm="1">
        <f t="array" ref="L17">_xlfn.IFS(F17&gt;=15,"Bulk Order",AND(F17&gt;=5,F17&lt;=14),"Medium Order",F17&lt;5,"Regular Order")</f>
        <v>Bulk Order</v>
      </c>
    </row>
    <row r="18" spans="1:12" ht="15" thickBot="1" x14ac:dyDescent="0.4">
      <c r="A18" s="5">
        <v>1396</v>
      </c>
      <c r="B18" s="5" t="s">
        <v>21</v>
      </c>
      <c r="C18" s="5" t="s">
        <v>38</v>
      </c>
      <c r="D18" s="5" t="s">
        <v>13</v>
      </c>
      <c r="E18" s="5" t="s">
        <v>53</v>
      </c>
      <c r="F18" s="5">
        <v>8</v>
      </c>
      <c r="G18" s="5">
        <v>54</v>
      </c>
      <c r="H18" s="5">
        <v>15</v>
      </c>
      <c r="I18" s="6">
        <v>46031</v>
      </c>
      <c r="J18" s="6">
        <v>46035</v>
      </c>
      <c r="K18" s="10" t="s">
        <v>15</v>
      </c>
      <c r="L18" s="18" t="str" cm="1">
        <f t="array" ref="L18">_xlfn.IFS(F18&gt;=15,"Bulk Order",AND(F18&gt;=5,F18&lt;=14),"Medium Order",F18&lt;5,"Regular Order")</f>
        <v>Medium Order</v>
      </c>
    </row>
    <row r="19" spans="1:12" ht="15" thickBot="1" x14ac:dyDescent="0.4">
      <c r="A19" s="5">
        <v>1330</v>
      </c>
      <c r="B19" s="5" t="s">
        <v>49</v>
      </c>
      <c r="C19" s="5" t="s">
        <v>17</v>
      </c>
      <c r="D19" s="5" t="s">
        <v>18</v>
      </c>
      <c r="E19" s="5" t="s">
        <v>19</v>
      </c>
      <c r="F19" s="5">
        <v>13</v>
      </c>
      <c r="G19" s="5">
        <v>12071</v>
      </c>
      <c r="H19" s="5">
        <v>0</v>
      </c>
      <c r="I19" s="6">
        <v>46032</v>
      </c>
      <c r="J19" s="6">
        <v>46036</v>
      </c>
      <c r="K19" s="10" t="s">
        <v>51</v>
      </c>
      <c r="L19" s="18" t="str" cm="1">
        <f t="array" ref="L19">_xlfn.IFS(F19&gt;=15,"Bulk Order",AND(F19&gt;=5,F19&lt;=14),"Medium Order",F19&lt;5,"Regular Order")</f>
        <v>Medium Order</v>
      </c>
    </row>
    <row r="20" spans="1:12" ht="15" thickBot="1" x14ac:dyDescent="0.4">
      <c r="A20" s="5">
        <v>1037</v>
      </c>
      <c r="B20" s="5" t="s">
        <v>46</v>
      </c>
      <c r="C20" s="5" t="s">
        <v>43</v>
      </c>
      <c r="D20" s="5" t="s">
        <v>18</v>
      </c>
      <c r="E20" s="5" t="s">
        <v>56</v>
      </c>
      <c r="F20" s="5">
        <v>6</v>
      </c>
      <c r="G20" s="5">
        <v>14385</v>
      </c>
      <c r="H20" s="5">
        <v>12</v>
      </c>
      <c r="I20" s="6">
        <v>46033</v>
      </c>
      <c r="J20" s="6">
        <v>46043</v>
      </c>
      <c r="K20" s="10" t="s">
        <v>24</v>
      </c>
      <c r="L20" s="18" t="str" cm="1">
        <f t="array" ref="L20">_xlfn.IFS(F20&gt;=15,"Bulk Order",AND(F20&gt;=5,F20&lt;=14),"Medium Order",F20&lt;5,"Regular Order")</f>
        <v>Medium Order</v>
      </c>
    </row>
    <row r="21" spans="1:12" ht="15" thickBot="1" x14ac:dyDescent="0.4">
      <c r="A21" s="5">
        <v>1109</v>
      </c>
      <c r="B21" s="5" t="s">
        <v>21</v>
      </c>
      <c r="C21" s="5" t="s">
        <v>31</v>
      </c>
      <c r="D21" s="5" t="s">
        <v>18</v>
      </c>
      <c r="E21" s="5" t="s">
        <v>44</v>
      </c>
      <c r="F21" s="5">
        <v>19</v>
      </c>
      <c r="G21" s="5">
        <v>6512</v>
      </c>
      <c r="H21" s="5">
        <v>10</v>
      </c>
      <c r="I21" s="6">
        <v>46033</v>
      </c>
      <c r="J21" s="6">
        <v>46037</v>
      </c>
      <c r="K21" s="10" t="s">
        <v>20</v>
      </c>
      <c r="L21" s="18" t="str" cm="1">
        <f t="array" ref="L21">_xlfn.IFS(F21&gt;=15,"Bulk Order",AND(F21&gt;=5,F21&lt;=14),"Medium Order",F21&lt;5,"Regular Order")</f>
        <v>Bulk Order</v>
      </c>
    </row>
    <row r="22" spans="1:12" ht="15" thickBot="1" x14ac:dyDescent="0.4">
      <c r="A22" s="5">
        <v>1008</v>
      </c>
      <c r="B22" s="5" t="s">
        <v>30</v>
      </c>
      <c r="C22" s="5" t="s">
        <v>31</v>
      </c>
      <c r="D22" s="5" t="s">
        <v>18</v>
      </c>
      <c r="E22" s="5" t="s">
        <v>28</v>
      </c>
      <c r="F22" s="5">
        <v>1</v>
      </c>
      <c r="G22" s="5">
        <v>1134</v>
      </c>
      <c r="H22" s="5">
        <v>0</v>
      </c>
      <c r="I22" s="6">
        <v>46033</v>
      </c>
      <c r="J22" s="6">
        <v>46041</v>
      </c>
      <c r="K22" s="10" t="s">
        <v>24</v>
      </c>
      <c r="L22" s="18" t="str" cm="1">
        <f t="array" ref="L22">_xlfn.IFS(F22&gt;=15,"Bulk Order",AND(F22&gt;=5,F22&lt;=14),"Medium Order",F22&lt;5,"Regular Order")</f>
        <v>Regular Order</v>
      </c>
    </row>
    <row r="23" spans="1:12" ht="15" thickBot="1" x14ac:dyDescent="0.4">
      <c r="A23" s="5">
        <v>1181</v>
      </c>
      <c r="B23" s="5" t="s">
        <v>58</v>
      </c>
      <c r="C23" s="5" t="s">
        <v>33</v>
      </c>
      <c r="D23" s="5" t="s">
        <v>13</v>
      </c>
      <c r="E23" s="5" t="s">
        <v>36</v>
      </c>
      <c r="F23" s="5">
        <v>4</v>
      </c>
      <c r="G23" s="5">
        <v>357</v>
      </c>
      <c r="H23" s="5">
        <v>2</v>
      </c>
      <c r="I23" s="6">
        <v>46033</v>
      </c>
      <c r="J23" s="6">
        <v>46035</v>
      </c>
      <c r="K23" s="10" t="s">
        <v>15</v>
      </c>
      <c r="L23" s="18" t="str" cm="1">
        <f t="array" ref="L23">_xlfn.IFS(F23&gt;=15,"Bulk Order",AND(F23&gt;=5,F23&lt;=14),"Medium Order",F23&lt;5,"Regular Order")</f>
        <v>Regular Order</v>
      </c>
    </row>
    <row r="24" spans="1:12" ht="15" thickBot="1" x14ac:dyDescent="0.4">
      <c r="A24" s="5">
        <v>1205</v>
      </c>
      <c r="B24" s="5" t="s">
        <v>21</v>
      </c>
      <c r="C24" s="5" t="s">
        <v>38</v>
      </c>
      <c r="D24" s="5" t="s">
        <v>13</v>
      </c>
      <c r="E24" s="5" t="s">
        <v>36</v>
      </c>
      <c r="F24" s="5">
        <v>1</v>
      </c>
      <c r="G24" s="5">
        <v>112</v>
      </c>
      <c r="H24" s="5">
        <v>7</v>
      </c>
      <c r="I24" s="6">
        <v>46033</v>
      </c>
      <c r="J24" s="6">
        <v>46040</v>
      </c>
      <c r="K24" s="10" t="s">
        <v>51</v>
      </c>
      <c r="L24" s="18" t="str" cm="1">
        <f t="array" ref="L24">_xlfn.IFS(F24&gt;=15,"Bulk Order",AND(F24&gt;=5,F24&lt;=14),"Medium Order",F24&lt;5,"Regular Order")</f>
        <v>Regular Order</v>
      </c>
    </row>
    <row r="25" spans="1:12" ht="15" thickBot="1" x14ac:dyDescent="0.4">
      <c r="A25" s="5">
        <v>1004</v>
      </c>
      <c r="B25" s="5" t="s">
        <v>16</v>
      </c>
      <c r="C25" s="5" t="s">
        <v>25</v>
      </c>
      <c r="D25" s="5" t="s">
        <v>18</v>
      </c>
      <c r="E25" s="5" t="s">
        <v>23</v>
      </c>
      <c r="F25" s="5">
        <v>16</v>
      </c>
      <c r="G25" s="5">
        <v>11739</v>
      </c>
      <c r="H25" s="5">
        <v>12</v>
      </c>
      <c r="I25" s="6">
        <v>46034</v>
      </c>
      <c r="J25" s="6">
        <v>46040</v>
      </c>
      <c r="K25" s="10" t="s">
        <v>20</v>
      </c>
      <c r="L25" s="18" t="str" cm="1">
        <f t="array" ref="L25">_xlfn.IFS(F25&gt;=15,"Bulk Order",AND(F25&gt;=5,F25&lt;=14),"Medium Order",F25&lt;5,"Regular Order")</f>
        <v>Bulk Order</v>
      </c>
    </row>
    <row r="26" spans="1:12" ht="15" thickBot="1" x14ac:dyDescent="0.4">
      <c r="A26" s="5">
        <v>1072</v>
      </c>
      <c r="B26" s="5" t="s">
        <v>16</v>
      </c>
      <c r="C26" s="5" t="s">
        <v>25</v>
      </c>
      <c r="D26" s="5" t="s">
        <v>34</v>
      </c>
      <c r="E26" s="5" t="s">
        <v>61</v>
      </c>
      <c r="F26" s="5">
        <v>20</v>
      </c>
      <c r="G26" s="5">
        <v>58779</v>
      </c>
      <c r="H26" s="5">
        <v>0</v>
      </c>
      <c r="I26" s="6">
        <v>46035</v>
      </c>
      <c r="J26" s="6">
        <v>46036</v>
      </c>
      <c r="K26" s="10" t="s">
        <v>24</v>
      </c>
      <c r="L26" s="18" t="str" cm="1">
        <f t="array" ref="L26">_xlfn.IFS(F26&gt;=15,"Bulk Order",AND(F26&gt;=5,F26&lt;=14),"Medium Order",F26&lt;5,"Regular Order")</f>
        <v>Bulk Order</v>
      </c>
    </row>
    <row r="27" spans="1:12" ht="15" thickBot="1" x14ac:dyDescent="0.4">
      <c r="A27" s="5">
        <v>1368</v>
      </c>
      <c r="B27" s="5" t="s">
        <v>55</v>
      </c>
      <c r="C27" s="5" t="s">
        <v>38</v>
      </c>
      <c r="D27" s="5" t="s">
        <v>13</v>
      </c>
      <c r="E27" s="5" t="s">
        <v>36</v>
      </c>
      <c r="F27" s="5">
        <v>9</v>
      </c>
      <c r="G27" s="5">
        <v>115</v>
      </c>
      <c r="H27" s="5">
        <v>0</v>
      </c>
      <c r="I27" s="6">
        <v>46036</v>
      </c>
      <c r="J27" s="6">
        <v>46045</v>
      </c>
      <c r="K27" s="10" t="s">
        <v>24</v>
      </c>
      <c r="L27" s="18" t="str" cm="1">
        <f t="array" ref="L27">_xlfn.IFS(F27&gt;=15,"Bulk Order",AND(F27&gt;=5,F27&lt;=14),"Medium Order",F27&lt;5,"Regular Order")</f>
        <v>Medium Order</v>
      </c>
    </row>
    <row r="28" spans="1:12" ht="15" thickBot="1" x14ac:dyDescent="0.4">
      <c r="A28" s="5">
        <v>1347</v>
      </c>
      <c r="B28" s="5" t="s">
        <v>29</v>
      </c>
      <c r="C28" s="5" t="s">
        <v>22</v>
      </c>
      <c r="D28" s="5" t="s">
        <v>34</v>
      </c>
      <c r="E28" s="5" t="s">
        <v>35</v>
      </c>
      <c r="F28" s="5">
        <v>16</v>
      </c>
      <c r="G28" s="5">
        <v>6034</v>
      </c>
      <c r="H28" s="5">
        <v>15</v>
      </c>
      <c r="I28" s="6">
        <v>46037</v>
      </c>
      <c r="J28" s="6">
        <v>46044</v>
      </c>
      <c r="K28" s="10" t="s">
        <v>24</v>
      </c>
      <c r="L28" s="18" t="str" cm="1">
        <f t="array" ref="L28">_xlfn.IFS(F28&gt;=15,"Bulk Order",AND(F28&gt;=5,F28&lt;=14),"Medium Order",F28&lt;5,"Regular Order")</f>
        <v>Bulk Order</v>
      </c>
    </row>
    <row r="29" spans="1:12" ht="15" thickBot="1" x14ac:dyDescent="0.4">
      <c r="A29" s="5">
        <v>1051</v>
      </c>
      <c r="B29" s="5" t="s">
        <v>58</v>
      </c>
      <c r="C29" s="5" t="s">
        <v>17</v>
      </c>
      <c r="D29" s="5" t="s">
        <v>13</v>
      </c>
      <c r="E29" s="5" t="s">
        <v>36</v>
      </c>
      <c r="F29" s="5">
        <v>12</v>
      </c>
      <c r="G29" s="5">
        <v>47</v>
      </c>
      <c r="H29" s="5">
        <v>2</v>
      </c>
      <c r="I29" s="6">
        <v>46037</v>
      </c>
      <c r="J29" s="6">
        <v>46045</v>
      </c>
      <c r="K29" s="10" t="s">
        <v>15</v>
      </c>
      <c r="L29" s="18" t="str" cm="1">
        <f t="array" ref="L29">_xlfn.IFS(F29&gt;=15,"Bulk Order",AND(F29&gt;=5,F29&lt;=14),"Medium Order",F29&lt;5,"Regular Order")</f>
        <v>Medium Order</v>
      </c>
    </row>
    <row r="30" spans="1:12" ht="15" thickBot="1" x14ac:dyDescent="0.4">
      <c r="A30" s="5">
        <v>1045</v>
      </c>
      <c r="B30" s="5" t="s">
        <v>32</v>
      </c>
      <c r="C30" s="5" t="s">
        <v>38</v>
      </c>
      <c r="D30" s="5" t="s">
        <v>34</v>
      </c>
      <c r="E30" s="5" t="s">
        <v>35</v>
      </c>
      <c r="F30" s="5">
        <v>3</v>
      </c>
      <c r="G30" s="5">
        <v>62762</v>
      </c>
      <c r="H30" s="5">
        <v>7</v>
      </c>
      <c r="I30" s="6">
        <v>46038</v>
      </c>
      <c r="J30" s="6">
        <v>46039</v>
      </c>
      <c r="K30" s="10" t="s">
        <v>29</v>
      </c>
      <c r="L30" s="18" t="str" cm="1">
        <f t="array" ref="L30">_xlfn.IFS(F30&gt;=15,"Bulk Order",AND(F30&gt;=5,F30&lt;=14),"Medium Order",F30&lt;5,"Regular Order")</f>
        <v>Regular Order</v>
      </c>
    </row>
    <row r="31" spans="1:12" ht="15" thickBot="1" x14ac:dyDescent="0.4">
      <c r="A31" s="5">
        <v>1334</v>
      </c>
      <c r="B31" s="5" t="s">
        <v>40</v>
      </c>
      <c r="C31" s="5" t="s">
        <v>12</v>
      </c>
      <c r="D31" s="5" t="s">
        <v>34</v>
      </c>
      <c r="E31" s="5" t="s">
        <v>41</v>
      </c>
      <c r="F31" s="5">
        <v>15</v>
      </c>
      <c r="G31" s="5">
        <v>39853</v>
      </c>
      <c r="H31" s="5">
        <v>7</v>
      </c>
      <c r="I31" s="6">
        <v>46038</v>
      </c>
      <c r="J31" s="6">
        <v>46047</v>
      </c>
      <c r="K31" s="10" t="s">
        <v>51</v>
      </c>
      <c r="L31" s="18" t="str" cm="1">
        <f t="array" ref="L31">_xlfn.IFS(F31&gt;=15,"Bulk Order",AND(F31&gt;=5,F31&lt;=14),"Medium Order",F31&lt;5,"Regular Order")</f>
        <v>Bulk Order</v>
      </c>
    </row>
    <row r="32" spans="1:12" ht="15" thickBot="1" x14ac:dyDescent="0.4">
      <c r="A32" s="5">
        <v>1069</v>
      </c>
      <c r="B32" s="5" t="s">
        <v>52</v>
      </c>
      <c r="C32" s="5" t="s">
        <v>31</v>
      </c>
      <c r="D32" s="5" t="s">
        <v>18</v>
      </c>
      <c r="E32" s="5" t="s">
        <v>28</v>
      </c>
      <c r="F32" s="5">
        <v>9</v>
      </c>
      <c r="G32" s="5">
        <v>4415</v>
      </c>
      <c r="H32" s="5">
        <v>5</v>
      </c>
      <c r="I32" s="6">
        <v>46039</v>
      </c>
      <c r="J32" s="6">
        <v>46046</v>
      </c>
      <c r="K32" s="10" t="s">
        <v>15</v>
      </c>
      <c r="L32" s="18" t="str" cm="1">
        <f t="array" ref="L32">_xlfn.IFS(F32&gt;=15,"Bulk Order",AND(F32&gt;=5,F32&lt;=14),"Medium Order",F32&lt;5,"Regular Order")</f>
        <v>Medium Order</v>
      </c>
    </row>
    <row r="33" spans="1:12" ht="15" thickBot="1" x14ac:dyDescent="0.4">
      <c r="A33" s="5">
        <v>1246</v>
      </c>
      <c r="B33" s="5" t="s">
        <v>55</v>
      </c>
      <c r="C33" s="5" t="s">
        <v>22</v>
      </c>
      <c r="D33" s="5" t="s">
        <v>34</v>
      </c>
      <c r="E33" s="5" t="s">
        <v>35</v>
      </c>
      <c r="F33" s="5">
        <v>13</v>
      </c>
      <c r="G33" s="5">
        <v>1825</v>
      </c>
      <c r="H33" s="5">
        <v>2</v>
      </c>
      <c r="I33" s="6">
        <v>46039</v>
      </c>
      <c r="J33" s="6">
        <v>46045</v>
      </c>
      <c r="K33" s="10" t="s">
        <v>51</v>
      </c>
      <c r="L33" s="18" t="str" cm="1">
        <f t="array" ref="L33">_xlfn.IFS(F33&gt;=15,"Bulk Order",AND(F33&gt;=5,F33&lt;=14),"Medium Order",F33&lt;5,"Regular Order")</f>
        <v>Medium Order</v>
      </c>
    </row>
    <row r="34" spans="1:12" ht="15" thickBot="1" x14ac:dyDescent="0.4">
      <c r="A34" s="5">
        <v>1026</v>
      </c>
      <c r="B34" s="5" t="s">
        <v>49</v>
      </c>
      <c r="C34" s="5" t="s">
        <v>31</v>
      </c>
      <c r="D34" s="5" t="s">
        <v>13</v>
      </c>
      <c r="E34" s="5" t="s">
        <v>50</v>
      </c>
      <c r="F34" s="5">
        <v>17</v>
      </c>
      <c r="G34" s="5">
        <v>323</v>
      </c>
      <c r="H34" s="5">
        <v>10</v>
      </c>
      <c r="I34" s="6">
        <v>46039</v>
      </c>
      <c r="J34" s="6">
        <v>46040</v>
      </c>
      <c r="K34" s="10" t="s">
        <v>29</v>
      </c>
      <c r="L34" s="18" t="str" cm="1">
        <f t="array" ref="L34">_xlfn.IFS(F34&gt;=15,"Bulk Order",AND(F34&gt;=5,F34&lt;=14),"Medium Order",F34&lt;5,"Regular Order")</f>
        <v>Bulk Order</v>
      </c>
    </row>
    <row r="35" spans="1:12" ht="15" thickBot="1" x14ac:dyDescent="0.4">
      <c r="A35" s="5">
        <v>1260</v>
      </c>
      <c r="B35" s="5" t="s">
        <v>54</v>
      </c>
      <c r="C35" s="5" t="s">
        <v>38</v>
      </c>
      <c r="D35" s="5" t="s">
        <v>34</v>
      </c>
      <c r="E35" s="5" t="s">
        <v>41</v>
      </c>
      <c r="F35" s="5">
        <v>19</v>
      </c>
      <c r="G35" s="5">
        <v>54981</v>
      </c>
      <c r="H35" s="5">
        <v>10</v>
      </c>
      <c r="I35" s="6">
        <v>46040</v>
      </c>
      <c r="J35" s="6">
        <v>46045</v>
      </c>
      <c r="K35" s="10" t="s">
        <v>29</v>
      </c>
      <c r="L35" s="18" t="str" cm="1">
        <f t="array" ref="L35">_xlfn.IFS(F35&gt;=15,"Bulk Order",AND(F35&gt;=5,F35&lt;=14),"Medium Order",F35&lt;5,"Regular Order")</f>
        <v>Bulk Order</v>
      </c>
    </row>
    <row r="36" spans="1:12" ht="15" thickBot="1" x14ac:dyDescent="0.4">
      <c r="A36" s="5">
        <v>1103</v>
      </c>
      <c r="B36" s="5" t="s">
        <v>16</v>
      </c>
      <c r="C36" s="5" t="s">
        <v>12</v>
      </c>
      <c r="D36" s="5" t="s">
        <v>18</v>
      </c>
      <c r="E36" s="5" t="s">
        <v>23</v>
      </c>
      <c r="F36" s="5">
        <v>7</v>
      </c>
      <c r="G36" s="5">
        <v>11925</v>
      </c>
      <c r="H36" s="5">
        <v>5</v>
      </c>
      <c r="I36" s="6">
        <v>46040</v>
      </c>
      <c r="J36" s="6">
        <v>46041</v>
      </c>
      <c r="K36" s="10" t="s">
        <v>29</v>
      </c>
      <c r="L36" s="18" t="str" cm="1">
        <f t="array" ref="L36">_xlfn.IFS(F36&gt;=15,"Bulk Order",AND(F36&gt;=5,F36&lt;=14),"Medium Order",F36&lt;5,"Regular Order")</f>
        <v>Medium Order</v>
      </c>
    </row>
    <row r="37" spans="1:12" ht="15" thickBot="1" x14ac:dyDescent="0.4">
      <c r="A37" s="5">
        <v>1135</v>
      </c>
      <c r="B37" s="5" t="s">
        <v>49</v>
      </c>
      <c r="C37" s="5" t="s">
        <v>43</v>
      </c>
      <c r="D37" s="5" t="s">
        <v>34</v>
      </c>
      <c r="E37" s="5" t="s">
        <v>39</v>
      </c>
      <c r="F37" s="5">
        <v>14</v>
      </c>
      <c r="G37" s="5">
        <v>68534</v>
      </c>
      <c r="H37" s="5">
        <v>0</v>
      </c>
      <c r="I37" s="6">
        <v>46041</v>
      </c>
      <c r="J37" s="6">
        <v>46042</v>
      </c>
      <c r="K37" s="10" t="s">
        <v>15</v>
      </c>
      <c r="L37" s="18" t="str" cm="1">
        <f t="array" ref="L37">_xlfn.IFS(F37&gt;=15,"Bulk Order",AND(F37&gt;=5,F37&lt;=14),"Medium Order",F37&lt;5,"Regular Order")</f>
        <v>Medium Order</v>
      </c>
    </row>
    <row r="38" spans="1:12" ht="15" thickBot="1" x14ac:dyDescent="0.4">
      <c r="A38" s="5">
        <v>1228</v>
      </c>
      <c r="B38" s="5" t="s">
        <v>29</v>
      </c>
      <c r="C38" s="5" t="s">
        <v>25</v>
      </c>
      <c r="D38" s="5" t="s">
        <v>34</v>
      </c>
      <c r="E38" s="5" t="s">
        <v>45</v>
      </c>
      <c r="F38" s="5">
        <v>16</v>
      </c>
      <c r="G38" s="5">
        <v>17477</v>
      </c>
      <c r="H38" s="5">
        <v>10</v>
      </c>
      <c r="I38" s="6">
        <v>46041</v>
      </c>
      <c r="J38" s="6">
        <v>46043</v>
      </c>
      <c r="K38" s="10" t="s">
        <v>24</v>
      </c>
      <c r="L38" s="18" t="str" cm="1">
        <f t="array" ref="L38">_xlfn.IFS(F38&gt;=15,"Bulk Order",AND(F38&gt;=5,F38&lt;=14),"Medium Order",F38&lt;5,"Regular Order")</f>
        <v>Bulk Order</v>
      </c>
    </row>
    <row r="39" spans="1:12" ht="15" thickBot="1" x14ac:dyDescent="0.4">
      <c r="A39" s="5">
        <v>1313</v>
      </c>
      <c r="B39" s="5" t="s">
        <v>59</v>
      </c>
      <c r="C39" s="5" t="s">
        <v>22</v>
      </c>
      <c r="D39" s="5" t="s">
        <v>18</v>
      </c>
      <c r="E39" s="5" t="s">
        <v>56</v>
      </c>
      <c r="F39" s="5">
        <v>6</v>
      </c>
      <c r="G39" s="5">
        <v>10864</v>
      </c>
      <c r="H39" s="5">
        <v>10</v>
      </c>
      <c r="I39" s="6">
        <v>46041</v>
      </c>
      <c r="J39" s="6">
        <v>46049</v>
      </c>
      <c r="K39" s="10" t="s">
        <v>15</v>
      </c>
      <c r="L39" s="18" t="str" cm="1">
        <f t="array" ref="L39">_xlfn.IFS(F39&gt;=15,"Bulk Order",AND(F39&gt;=5,F39&lt;=14),"Medium Order",F39&lt;5,"Regular Order")</f>
        <v>Medium Order</v>
      </c>
    </row>
    <row r="40" spans="1:12" ht="15" thickBot="1" x14ac:dyDescent="0.4">
      <c r="A40" s="5">
        <v>1208</v>
      </c>
      <c r="B40" s="5" t="s">
        <v>54</v>
      </c>
      <c r="C40" s="5" t="s">
        <v>43</v>
      </c>
      <c r="D40" s="5" t="s">
        <v>18</v>
      </c>
      <c r="E40" s="5" t="s">
        <v>44</v>
      </c>
      <c r="F40" s="5">
        <v>6</v>
      </c>
      <c r="G40" s="5">
        <v>7627</v>
      </c>
      <c r="H40" s="5">
        <v>10</v>
      </c>
      <c r="I40" s="6">
        <v>46042</v>
      </c>
      <c r="J40" s="6">
        <v>46047</v>
      </c>
      <c r="K40" s="10" t="s">
        <v>20</v>
      </c>
      <c r="L40" s="18" t="str" cm="1">
        <f t="array" ref="L40">_xlfn.IFS(F40&gt;=15,"Bulk Order",AND(F40&gt;=5,F40&lt;=14),"Medium Order",F40&lt;5,"Regular Order")</f>
        <v>Medium Order</v>
      </c>
    </row>
    <row r="41" spans="1:12" ht="15" thickBot="1" x14ac:dyDescent="0.4">
      <c r="A41" s="5">
        <v>1165</v>
      </c>
      <c r="B41" s="5" t="s">
        <v>48</v>
      </c>
      <c r="C41" s="5" t="s">
        <v>25</v>
      </c>
      <c r="D41" s="5" t="s">
        <v>13</v>
      </c>
      <c r="E41" s="5" t="s">
        <v>37</v>
      </c>
      <c r="F41" s="5">
        <v>1</v>
      </c>
      <c r="G41" s="5">
        <v>427</v>
      </c>
      <c r="H41" s="5">
        <v>0</v>
      </c>
      <c r="I41" s="6">
        <v>46042</v>
      </c>
      <c r="J41" s="6">
        <v>46050</v>
      </c>
      <c r="K41" s="10" t="s">
        <v>51</v>
      </c>
      <c r="L41" s="18" t="str" cm="1">
        <f t="array" ref="L41">_xlfn.IFS(F41&gt;=15,"Bulk Order",AND(F41&gt;=5,F41&lt;=14),"Medium Order",F41&lt;5,"Regular Order")</f>
        <v>Regular Order</v>
      </c>
    </row>
    <row r="42" spans="1:12" ht="15" thickBot="1" x14ac:dyDescent="0.4">
      <c r="A42" s="5">
        <v>1304</v>
      </c>
      <c r="B42" s="5" t="s">
        <v>59</v>
      </c>
      <c r="C42" s="5" t="s">
        <v>25</v>
      </c>
      <c r="D42" s="5" t="s">
        <v>13</v>
      </c>
      <c r="E42" s="5" t="s">
        <v>36</v>
      </c>
      <c r="F42" s="5">
        <v>20</v>
      </c>
      <c r="G42" s="5">
        <v>368</v>
      </c>
      <c r="H42" s="5">
        <v>7</v>
      </c>
      <c r="I42" s="6">
        <v>46042</v>
      </c>
      <c r="J42" s="6">
        <v>46051</v>
      </c>
      <c r="K42" s="10" t="s">
        <v>51</v>
      </c>
      <c r="L42" s="18" t="str" cm="1">
        <f t="array" ref="L42">_xlfn.IFS(F42&gt;=15,"Bulk Order",AND(F42&gt;=5,F42&lt;=14),"Medium Order",F42&lt;5,"Regular Order")</f>
        <v>Bulk Order</v>
      </c>
    </row>
    <row r="43" spans="1:12" ht="15" thickBot="1" x14ac:dyDescent="0.4">
      <c r="A43" s="5">
        <v>1141</v>
      </c>
      <c r="B43" s="5" t="s">
        <v>11</v>
      </c>
      <c r="C43" s="5" t="s">
        <v>17</v>
      </c>
      <c r="D43" s="5" t="s">
        <v>18</v>
      </c>
      <c r="E43" s="5" t="s">
        <v>44</v>
      </c>
      <c r="F43" s="5">
        <v>20</v>
      </c>
      <c r="G43" s="5">
        <v>6835</v>
      </c>
      <c r="H43" s="5">
        <v>2</v>
      </c>
      <c r="I43" s="6">
        <v>46043</v>
      </c>
      <c r="J43" s="6">
        <v>46053</v>
      </c>
      <c r="K43" s="10" t="s">
        <v>15</v>
      </c>
      <c r="L43" s="18" t="str" cm="1">
        <f t="array" ref="L43">_xlfn.IFS(F43&gt;=15,"Bulk Order",AND(F43&gt;=5,F43&lt;=14),"Medium Order",F43&lt;5,"Regular Order")</f>
        <v>Bulk Order</v>
      </c>
    </row>
    <row r="44" spans="1:12" ht="15" thickBot="1" x14ac:dyDescent="0.4">
      <c r="A44" s="5">
        <v>1389</v>
      </c>
      <c r="B44" s="5" t="s">
        <v>32</v>
      </c>
      <c r="C44" s="5" t="s">
        <v>12</v>
      </c>
      <c r="D44" s="5" t="s">
        <v>34</v>
      </c>
      <c r="E44" s="5" t="s">
        <v>41</v>
      </c>
      <c r="F44" s="5">
        <v>3</v>
      </c>
      <c r="G44" s="5">
        <v>56380</v>
      </c>
      <c r="H44" s="5">
        <v>5</v>
      </c>
      <c r="I44" s="6">
        <v>46044</v>
      </c>
      <c r="J44" s="6">
        <v>46048</v>
      </c>
      <c r="K44" s="10" t="s">
        <v>51</v>
      </c>
      <c r="L44" s="18" t="str" cm="1">
        <f t="array" ref="L44">_xlfn.IFS(F44&gt;=15,"Bulk Order",AND(F44&gt;=5,F44&lt;=14),"Medium Order",F44&lt;5,"Regular Order")</f>
        <v>Regular Order</v>
      </c>
    </row>
    <row r="45" spans="1:12" ht="15" thickBot="1" x14ac:dyDescent="0.4">
      <c r="A45" s="5">
        <v>1226</v>
      </c>
      <c r="B45" s="5" t="s">
        <v>29</v>
      </c>
      <c r="C45" s="5" t="s">
        <v>31</v>
      </c>
      <c r="D45" s="5" t="s">
        <v>34</v>
      </c>
      <c r="E45" s="5" t="s">
        <v>41</v>
      </c>
      <c r="F45" s="5">
        <v>13</v>
      </c>
      <c r="G45" s="5">
        <v>21332</v>
      </c>
      <c r="H45" s="5">
        <v>0</v>
      </c>
      <c r="I45" s="6">
        <v>46044</v>
      </c>
      <c r="J45" s="6">
        <v>46048</v>
      </c>
      <c r="K45" s="10" t="s">
        <v>29</v>
      </c>
      <c r="L45" s="18" t="str" cm="1">
        <f t="array" ref="L45">_xlfn.IFS(F45&gt;=15,"Bulk Order",AND(F45&gt;=5,F45&lt;=14),"Medium Order",F45&lt;5,"Regular Order")</f>
        <v>Medium Order</v>
      </c>
    </row>
    <row r="46" spans="1:12" ht="15" thickBot="1" x14ac:dyDescent="0.4">
      <c r="A46" s="5">
        <v>1128</v>
      </c>
      <c r="B46" s="5" t="s">
        <v>30</v>
      </c>
      <c r="C46" s="5" t="s">
        <v>22</v>
      </c>
      <c r="D46" s="5" t="s">
        <v>34</v>
      </c>
      <c r="E46" s="5" t="s">
        <v>61</v>
      </c>
      <c r="F46" s="5">
        <v>6</v>
      </c>
      <c r="G46" s="5">
        <v>5001</v>
      </c>
      <c r="H46" s="5">
        <v>7</v>
      </c>
      <c r="I46" s="6">
        <v>46044</v>
      </c>
      <c r="J46" s="6">
        <v>46050</v>
      </c>
      <c r="K46" s="10" t="s">
        <v>29</v>
      </c>
      <c r="L46" s="18" t="str" cm="1">
        <f t="array" ref="L46">_xlfn.IFS(F46&gt;=15,"Bulk Order",AND(F46&gt;=5,F46&lt;=14),"Medium Order",F46&lt;5,"Regular Order")</f>
        <v>Medium Order</v>
      </c>
    </row>
    <row r="47" spans="1:12" ht="15" thickBot="1" x14ac:dyDescent="0.4">
      <c r="A47" s="5">
        <v>1197</v>
      </c>
      <c r="B47" s="5" t="s">
        <v>52</v>
      </c>
      <c r="C47" s="5" t="s">
        <v>31</v>
      </c>
      <c r="D47" s="5" t="s">
        <v>34</v>
      </c>
      <c r="E47" s="5" t="s">
        <v>35</v>
      </c>
      <c r="F47" s="5">
        <v>5</v>
      </c>
      <c r="G47" s="5">
        <v>45352</v>
      </c>
      <c r="H47" s="5">
        <v>12</v>
      </c>
      <c r="I47" s="6">
        <v>46045</v>
      </c>
      <c r="J47" s="6">
        <v>46048</v>
      </c>
      <c r="K47" s="10" t="s">
        <v>15</v>
      </c>
      <c r="L47" s="18" t="str" cm="1">
        <f t="array" ref="L47">_xlfn.IFS(F47&gt;=15,"Bulk Order",AND(F47&gt;=5,F47&lt;=14),"Medium Order",F47&lt;5,"Regular Order")</f>
        <v>Medium Order</v>
      </c>
    </row>
    <row r="48" spans="1:12" ht="15" thickBot="1" x14ac:dyDescent="0.4">
      <c r="A48" s="5">
        <v>1076</v>
      </c>
      <c r="B48" s="5" t="s">
        <v>29</v>
      </c>
      <c r="C48" s="5" t="s">
        <v>17</v>
      </c>
      <c r="D48" s="5" t="s">
        <v>34</v>
      </c>
      <c r="E48" s="5" t="s">
        <v>35</v>
      </c>
      <c r="F48" s="5">
        <v>19</v>
      </c>
      <c r="G48" s="5">
        <v>26714</v>
      </c>
      <c r="H48" s="5">
        <v>5</v>
      </c>
      <c r="I48" s="6">
        <v>46045</v>
      </c>
      <c r="J48" s="6">
        <v>46055</v>
      </c>
      <c r="K48" s="10" t="s">
        <v>29</v>
      </c>
      <c r="L48" s="18" t="str" cm="1">
        <f t="array" ref="L48">_xlfn.IFS(F48&gt;=15,"Bulk Order",AND(F48&gt;=5,F48&lt;=14),"Medium Order",F48&lt;5,"Regular Order")</f>
        <v>Bulk Order</v>
      </c>
    </row>
    <row r="49" spans="1:12" ht="15" thickBot="1" x14ac:dyDescent="0.4">
      <c r="A49" s="5">
        <v>1224</v>
      </c>
      <c r="B49" s="5" t="s">
        <v>30</v>
      </c>
      <c r="C49" s="5" t="s">
        <v>38</v>
      </c>
      <c r="D49" s="5" t="s">
        <v>34</v>
      </c>
      <c r="E49" s="5" t="s">
        <v>45</v>
      </c>
      <c r="F49" s="5">
        <v>16</v>
      </c>
      <c r="G49" s="5">
        <v>18378</v>
      </c>
      <c r="H49" s="5">
        <v>10</v>
      </c>
      <c r="I49" s="6">
        <v>46045</v>
      </c>
      <c r="J49" s="6">
        <v>46052</v>
      </c>
      <c r="K49" s="10" t="s">
        <v>24</v>
      </c>
      <c r="L49" s="18" t="str" cm="1">
        <f t="array" ref="L49">_xlfn.IFS(F49&gt;=15,"Bulk Order",AND(F49&gt;=5,F49&lt;=14),"Medium Order",F49&lt;5,"Regular Order")</f>
        <v>Bulk Order</v>
      </c>
    </row>
    <row r="50" spans="1:12" ht="15" thickBot="1" x14ac:dyDescent="0.4">
      <c r="A50" s="5">
        <v>1293</v>
      </c>
      <c r="B50" s="5" t="s">
        <v>49</v>
      </c>
      <c r="C50" s="5" t="s">
        <v>43</v>
      </c>
      <c r="D50" s="5" t="s">
        <v>18</v>
      </c>
      <c r="E50" s="5" t="s">
        <v>23</v>
      </c>
      <c r="F50" s="5">
        <v>7</v>
      </c>
      <c r="G50" s="5">
        <v>11481</v>
      </c>
      <c r="H50" s="5">
        <v>15</v>
      </c>
      <c r="I50" s="6">
        <v>46045</v>
      </c>
      <c r="J50" s="6">
        <v>46050</v>
      </c>
      <c r="K50" s="10" t="s">
        <v>20</v>
      </c>
      <c r="L50" s="18" t="str" cm="1">
        <f t="array" ref="L50">_xlfn.IFS(F50&gt;=15,"Bulk Order",AND(F50&gt;=5,F50&lt;=14),"Medium Order",F50&lt;5,"Regular Order")</f>
        <v>Medium Order</v>
      </c>
    </row>
    <row r="51" spans="1:12" ht="15" thickBot="1" x14ac:dyDescent="0.4">
      <c r="A51" s="5">
        <v>1086</v>
      </c>
      <c r="B51" s="5" t="s">
        <v>32</v>
      </c>
      <c r="C51" s="5" t="s">
        <v>12</v>
      </c>
      <c r="D51" s="5" t="s">
        <v>13</v>
      </c>
      <c r="E51" s="5" t="s">
        <v>53</v>
      </c>
      <c r="F51" s="5">
        <v>15</v>
      </c>
      <c r="G51" s="5">
        <v>40</v>
      </c>
      <c r="H51" s="5">
        <v>10</v>
      </c>
      <c r="I51" s="6">
        <v>46045</v>
      </c>
      <c r="J51" s="6">
        <v>46049</v>
      </c>
      <c r="K51" s="10" t="s">
        <v>24</v>
      </c>
      <c r="L51" s="18" t="str" cm="1">
        <f t="array" ref="L51">_xlfn.IFS(F51&gt;=15,"Bulk Order",AND(F51&gt;=5,F51&lt;=14),"Medium Order",F51&lt;5,"Regular Order")</f>
        <v>Bulk Order</v>
      </c>
    </row>
    <row r="52" spans="1:12" ht="15" thickBot="1" x14ac:dyDescent="0.4">
      <c r="A52" s="5">
        <v>1029</v>
      </c>
      <c r="B52" s="5" t="s">
        <v>30</v>
      </c>
      <c r="C52" s="5" t="s">
        <v>25</v>
      </c>
      <c r="D52" s="5" t="s">
        <v>13</v>
      </c>
      <c r="E52" s="5" t="s">
        <v>36</v>
      </c>
      <c r="F52" s="5">
        <v>18</v>
      </c>
      <c r="G52" s="5">
        <v>443</v>
      </c>
      <c r="H52" s="5">
        <v>5</v>
      </c>
      <c r="I52" s="6">
        <v>46046</v>
      </c>
      <c r="J52" s="6">
        <v>46054</v>
      </c>
      <c r="K52" s="10" t="s">
        <v>24</v>
      </c>
      <c r="L52" s="18" t="str" cm="1">
        <f t="array" ref="L52">_xlfn.IFS(F52&gt;=15,"Bulk Order",AND(F52&gt;=5,F52&lt;=14),"Medium Order",F52&lt;5,"Regular Order")</f>
        <v>Bulk Order</v>
      </c>
    </row>
    <row r="53" spans="1:12" ht="15" thickBot="1" x14ac:dyDescent="0.4">
      <c r="A53" s="5">
        <v>1366</v>
      </c>
      <c r="B53" s="5" t="s">
        <v>26</v>
      </c>
      <c r="C53" s="5" t="s">
        <v>17</v>
      </c>
      <c r="D53" s="5" t="s">
        <v>34</v>
      </c>
      <c r="E53" s="5" t="s">
        <v>61</v>
      </c>
      <c r="F53" s="5">
        <v>20</v>
      </c>
      <c r="G53" s="5">
        <v>44312</v>
      </c>
      <c r="H53" s="5">
        <v>10</v>
      </c>
      <c r="I53" s="6">
        <v>46047</v>
      </c>
      <c r="J53" s="6">
        <v>46054</v>
      </c>
      <c r="K53" s="10" t="s">
        <v>29</v>
      </c>
      <c r="L53" s="18" t="str" cm="1">
        <f t="array" ref="L53">_xlfn.IFS(F53&gt;=15,"Bulk Order",AND(F53&gt;=5,F53&lt;=14),"Medium Order",F53&lt;5,"Regular Order")</f>
        <v>Bulk Order</v>
      </c>
    </row>
    <row r="54" spans="1:12" ht="15" thickBot="1" x14ac:dyDescent="0.4">
      <c r="A54" s="5">
        <v>1393</v>
      </c>
      <c r="B54" s="5" t="s">
        <v>30</v>
      </c>
      <c r="C54" s="5" t="s">
        <v>25</v>
      </c>
      <c r="D54" s="5" t="s">
        <v>34</v>
      </c>
      <c r="E54" s="5" t="s">
        <v>45</v>
      </c>
      <c r="F54" s="5">
        <v>17</v>
      </c>
      <c r="G54" s="5">
        <v>30351</v>
      </c>
      <c r="H54" s="5">
        <v>15</v>
      </c>
      <c r="I54" s="6">
        <v>46047</v>
      </c>
      <c r="J54" s="6">
        <v>46051</v>
      </c>
      <c r="K54" s="10" t="s">
        <v>51</v>
      </c>
      <c r="L54" s="18" t="str" cm="1">
        <f t="array" ref="L54">_xlfn.IFS(F54&gt;=15,"Bulk Order",AND(F54&gt;=5,F54&lt;=14),"Medium Order",F54&lt;5,"Regular Order")</f>
        <v>Bulk Order</v>
      </c>
    </row>
    <row r="55" spans="1:12" ht="15" thickBot="1" x14ac:dyDescent="0.4">
      <c r="A55" s="5">
        <v>1084</v>
      </c>
      <c r="B55" s="5" t="s">
        <v>49</v>
      </c>
      <c r="C55" s="5" t="s">
        <v>31</v>
      </c>
      <c r="D55" s="5" t="s">
        <v>18</v>
      </c>
      <c r="E55" s="5" t="s">
        <v>28</v>
      </c>
      <c r="F55" s="5">
        <v>4</v>
      </c>
      <c r="G55" s="5">
        <v>6901</v>
      </c>
      <c r="H55" s="5">
        <v>10</v>
      </c>
      <c r="I55" s="6">
        <v>46047</v>
      </c>
      <c r="J55" s="6">
        <v>46057</v>
      </c>
      <c r="K55" s="10" t="s">
        <v>20</v>
      </c>
      <c r="L55" s="18" t="str" cm="1">
        <f t="array" ref="L55">_xlfn.IFS(F55&gt;=15,"Bulk Order",AND(F55&gt;=5,F55&lt;=14),"Medium Order",F55&lt;5,"Regular Order")</f>
        <v>Regular Order</v>
      </c>
    </row>
    <row r="56" spans="1:12" ht="15" thickBot="1" x14ac:dyDescent="0.4">
      <c r="A56" s="5">
        <v>1385</v>
      </c>
      <c r="B56" s="5" t="s">
        <v>26</v>
      </c>
      <c r="C56" s="5" t="s">
        <v>33</v>
      </c>
      <c r="D56" s="5" t="s">
        <v>34</v>
      </c>
      <c r="E56" s="5" t="s">
        <v>39</v>
      </c>
      <c r="F56" s="5">
        <v>12</v>
      </c>
      <c r="G56" s="5">
        <v>61360</v>
      </c>
      <c r="H56" s="5">
        <v>10</v>
      </c>
      <c r="I56" s="6">
        <v>46048</v>
      </c>
      <c r="J56" s="6">
        <v>46053</v>
      </c>
      <c r="K56" s="10" t="s">
        <v>51</v>
      </c>
      <c r="L56" s="18" t="str" cm="1">
        <f t="array" ref="L56">_xlfn.IFS(F56&gt;=15,"Bulk Order",AND(F56&gt;=5,F56&lt;=14),"Medium Order",F56&lt;5,"Regular Order")</f>
        <v>Medium Order</v>
      </c>
    </row>
    <row r="57" spans="1:12" ht="15" thickBot="1" x14ac:dyDescent="0.4">
      <c r="A57" s="5">
        <v>1176</v>
      </c>
      <c r="B57" s="5" t="s">
        <v>58</v>
      </c>
      <c r="C57" s="5" t="s">
        <v>38</v>
      </c>
      <c r="D57" s="5" t="s">
        <v>34</v>
      </c>
      <c r="E57" s="5" t="s">
        <v>41</v>
      </c>
      <c r="F57" s="5">
        <v>17</v>
      </c>
      <c r="G57" s="5">
        <v>46937</v>
      </c>
      <c r="H57" s="5">
        <v>12</v>
      </c>
      <c r="I57" s="6">
        <v>46048</v>
      </c>
      <c r="J57" s="6">
        <v>46056</v>
      </c>
      <c r="K57" s="10" t="s">
        <v>29</v>
      </c>
      <c r="L57" s="18" t="str" cm="1">
        <f t="array" ref="L57">_xlfn.IFS(F57&gt;=15,"Bulk Order",AND(F57&gt;=5,F57&lt;=14),"Medium Order",F57&lt;5,"Regular Order")</f>
        <v>Bulk Order</v>
      </c>
    </row>
    <row r="58" spans="1:12" ht="15" thickBot="1" x14ac:dyDescent="0.4">
      <c r="A58" s="5">
        <v>1307</v>
      </c>
      <c r="B58" s="5" t="s">
        <v>57</v>
      </c>
      <c r="C58" s="5" t="s">
        <v>43</v>
      </c>
      <c r="D58" s="5" t="s">
        <v>34</v>
      </c>
      <c r="E58" s="5" t="s">
        <v>35</v>
      </c>
      <c r="F58" s="5">
        <v>18</v>
      </c>
      <c r="G58" s="5">
        <v>7541</v>
      </c>
      <c r="H58" s="5">
        <v>12</v>
      </c>
      <c r="I58" s="6">
        <v>46048</v>
      </c>
      <c r="J58" s="6">
        <v>46051</v>
      </c>
      <c r="K58" s="10" t="s">
        <v>51</v>
      </c>
      <c r="L58" s="18" t="str" cm="1">
        <f t="array" ref="L58">_xlfn.IFS(F58&gt;=15,"Bulk Order",AND(F58&gt;=5,F58&lt;=14),"Medium Order",F58&lt;5,"Regular Order")</f>
        <v>Bulk Order</v>
      </c>
    </row>
    <row r="59" spans="1:12" ht="15" thickBot="1" x14ac:dyDescent="0.4">
      <c r="A59" s="5">
        <v>1348</v>
      </c>
      <c r="B59" s="5" t="s">
        <v>11</v>
      </c>
      <c r="C59" s="5" t="s">
        <v>33</v>
      </c>
      <c r="D59" s="5" t="s">
        <v>13</v>
      </c>
      <c r="E59" s="5" t="s">
        <v>50</v>
      </c>
      <c r="F59" s="5">
        <v>12</v>
      </c>
      <c r="G59" s="5">
        <v>244</v>
      </c>
      <c r="H59" s="5">
        <v>7</v>
      </c>
      <c r="I59" s="6">
        <v>46048</v>
      </c>
      <c r="J59" s="6">
        <v>46053</v>
      </c>
      <c r="K59" s="10" t="s">
        <v>15</v>
      </c>
      <c r="L59" s="18" t="str" cm="1">
        <f t="array" ref="L59">_xlfn.IFS(F59&gt;=15,"Bulk Order",AND(F59&gt;=5,F59&lt;=14),"Medium Order",F59&lt;5,"Regular Order")</f>
        <v>Medium Order</v>
      </c>
    </row>
    <row r="60" spans="1:12" ht="15" thickBot="1" x14ac:dyDescent="0.4">
      <c r="A60" s="5">
        <v>1092</v>
      </c>
      <c r="B60" s="5" t="s">
        <v>21</v>
      </c>
      <c r="C60" s="5" t="s">
        <v>22</v>
      </c>
      <c r="D60" s="5" t="s">
        <v>34</v>
      </c>
      <c r="E60" s="5" t="s">
        <v>41</v>
      </c>
      <c r="F60" s="5">
        <v>9</v>
      </c>
      <c r="G60" s="5">
        <v>23438</v>
      </c>
      <c r="H60" s="5">
        <v>2</v>
      </c>
      <c r="I60" s="6">
        <v>46049</v>
      </c>
      <c r="J60" s="6">
        <v>46055</v>
      </c>
      <c r="K60" s="10" t="s">
        <v>29</v>
      </c>
      <c r="L60" s="18" t="str" cm="1">
        <f t="array" ref="L60">_xlfn.IFS(F60&gt;=15,"Bulk Order",AND(F60&gt;=5,F60&lt;=14),"Medium Order",F60&lt;5,"Regular Order")</f>
        <v>Medium Order</v>
      </c>
    </row>
    <row r="61" spans="1:12" ht="15" thickBot="1" x14ac:dyDescent="0.4">
      <c r="A61" s="5">
        <v>1116</v>
      </c>
      <c r="B61" s="5" t="s">
        <v>16</v>
      </c>
      <c r="C61" s="5" t="s">
        <v>25</v>
      </c>
      <c r="D61" s="5" t="s">
        <v>18</v>
      </c>
      <c r="E61" s="5" t="s">
        <v>56</v>
      </c>
      <c r="F61" s="5">
        <v>2</v>
      </c>
      <c r="G61" s="5">
        <v>12692</v>
      </c>
      <c r="H61" s="5">
        <v>15</v>
      </c>
      <c r="I61" s="6">
        <v>46049</v>
      </c>
      <c r="J61" s="6">
        <v>46051</v>
      </c>
      <c r="K61" s="10" t="s">
        <v>15</v>
      </c>
      <c r="L61" s="18" t="str" cm="1">
        <f t="array" ref="L61">_xlfn.IFS(F61&gt;=15,"Bulk Order",AND(F61&gt;=5,F61&lt;=14),"Medium Order",F61&lt;5,"Regular Order")</f>
        <v>Regular Order</v>
      </c>
    </row>
    <row r="62" spans="1:12" ht="15" thickBot="1" x14ac:dyDescent="0.4">
      <c r="A62" s="5">
        <v>1230</v>
      </c>
      <c r="B62" s="5" t="s">
        <v>59</v>
      </c>
      <c r="C62" s="5" t="s">
        <v>33</v>
      </c>
      <c r="D62" s="5" t="s">
        <v>34</v>
      </c>
      <c r="E62" s="5" t="s">
        <v>60</v>
      </c>
      <c r="F62" s="5">
        <v>7</v>
      </c>
      <c r="G62" s="5">
        <v>2932</v>
      </c>
      <c r="H62" s="5">
        <v>7</v>
      </c>
      <c r="I62" s="6">
        <v>46050</v>
      </c>
      <c r="J62" s="6">
        <v>46059</v>
      </c>
      <c r="K62" s="10" t="s">
        <v>24</v>
      </c>
      <c r="L62" s="18" t="str" cm="1">
        <f t="array" ref="L62">_xlfn.IFS(F62&gt;=15,"Bulk Order",AND(F62&gt;=5,F62&lt;=14),"Medium Order",F62&lt;5,"Regular Order")</f>
        <v>Medium Order</v>
      </c>
    </row>
    <row r="63" spans="1:12" ht="15" thickBot="1" x14ac:dyDescent="0.4">
      <c r="A63" s="5">
        <v>1173</v>
      </c>
      <c r="B63" s="5" t="s">
        <v>40</v>
      </c>
      <c r="C63" s="5" t="s">
        <v>17</v>
      </c>
      <c r="D63" s="5" t="s">
        <v>13</v>
      </c>
      <c r="E63" s="5" t="s">
        <v>37</v>
      </c>
      <c r="F63" s="5">
        <v>15</v>
      </c>
      <c r="G63" s="5">
        <v>214</v>
      </c>
      <c r="H63" s="5">
        <v>10</v>
      </c>
      <c r="I63" s="6">
        <v>46050</v>
      </c>
      <c r="J63" s="6">
        <v>46060</v>
      </c>
      <c r="K63" s="10" t="s">
        <v>51</v>
      </c>
      <c r="L63" s="18" t="str" cm="1">
        <f t="array" ref="L63">_xlfn.IFS(F63&gt;=15,"Bulk Order",AND(F63&gt;=5,F63&lt;=14),"Medium Order",F63&lt;5,"Regular Order")</f>
        <v>Bulk Order</v>
      </c>
    </row>
    <row r="64" spans="1:12" ht="15" thickBot="1" x14ac:dyDescent="0.4">
      <c r="A64" s="5">
        <v>1250</v>
      </c>
      <c r="B64" s="5" t="s">
        <v>11</v>
      </c>
      <c r="C64" s="5" t="s">
        <v>17</v>
      </c>
      <c r="D64" s="5" t="s">
        <v>34</v>
      </c>
      <c r="E64" s="5" t="s">
        <v>45</v>
      </c>
      <c r="F64" s="5">
        <v>2</v>
      </c>
      <c r="G64" s="5">
        <v>65953</v>
      </c>
      <c r="H64" s="5">
        <v>7</v>
      </c>
      <c r="I64" s="6">
        <v>46051</v>
      </c>
      <c r="J64" s="6">
        <v>46053</v>
      </c>
      <c r="K64" s="10" t="s">
        <v>29</v>
      </c>
      <c r="L64" s="18" t="str" cm="1">
        <f t="array" ref="L64">_xlfn.IFS(F64&gt;=15,"Bulk Order",AND(F64&gt;=5,F64&lt;=14),"Medium Order",F64&lt;5,"Regular Order")</f>
        <v>Regular Order</v>
      </c>
    </row>
    <row r="65" spans="1:12" ht="15" thickBot="1" x14ac:dyDescent="0.4">
      <c r="A65" s="5">
        <v>1375</v>
      </c>
      <c r="B65" s="5" t="s">
        <v>46</v>
      </c>
      <c r="C65" s="5" t="s">
        <v>43</v>
      </c>
      <c r="D65" s="5" t="s">
        <v>34</v>
      </c>
      <c r="E65" s="5" t="s">
        <v>45</v>
      </c>
      <c r="F65" s="5">
        <v>20</v>
      </c>
      <c r="G65" s="5">
        <v>56766</v>
      </c>
      <c r="H65" s="5">
        <v>0</v>
      </c>
      <c r="I65" s="6">
        <v>46052</v>
      </c>
      <c r="J65" s="6">
        <v>46061</v>
      </c>
      <c r="K65" s="10" t="s">
        <v>24</v>
      </c>
      <c r="L65" s="18" t="str" cm="1">
        <f t="array" ref="L65">_xlfn.IFS(F65&gt;=15,"Bulk Order",AND(F65&gt;=5,F65&lt;=14),"Medium Order",F65&lt;5,"Regular Order")</f>
        <v>Bulk Order</v>
      </c>
    </row>
    <row r="66" spans="1:12" ht="15" thickBot="1" x14ac:dyDescent="0.4">
      <c r="A66" s="5">
        <v>1190</v>
      </c>
      <c r="B66" s="5" t="s">
        <v>57</v>
      </c>
      <c r="C66" s="5" t="s">
        <v>17</v>
      </c>
      <c r="D66" s="5" t="s">
        <v>18</v>
      </c>
      <c r="E66" s="5" t="s">
        <v>28</v>
      </c>
      <c r="F66" s="5">
        <v>4</v>
      </c>
      <c r="G66" s="5">
        <v>10154</v>
      </c>
      <c r="H66" s="5">
        <v>7</v>
      </c>
      <c r="I66" s="6">
        <v>46052</v>
      </c>
      <c r="J66" s="6">
        <v>46062</v>
      </c>
      <c r="K66" s="10" t="s">
        <v>20</v>
      </c>
      <c r="L66" s="18" t="str" cm="1">
        <f t="array" ref="L66">_xlfn.IFS(F66&gt;=15,"Bulk Order",AND(F66&gt;=5,F66&lt;=14),"Medium Order",F66&lt;5,"Regular Order")</f>
        <v>Regular Order</v>
      </c>
    </row>
    <row r="67" spans="1:12" ht="15" thickBot="1" x14ac:dyDescent="0.4">
      <c r="A67" s="5">
        <v>1034</v>
      </c>
      <c r="B67" s="5" t="s">
        <v>55</v>
      </c>
      <c r="C67" s="5" t="s">
        <v>33</v>
      </c>
      <c r="D67" s="5" t="s">
        <v>18</v>
      </c>
      <c r="E67" s="5" t="s">
        <v>28</v>
      </c>
      <c r="F67" s="5">
        <v>17</v>
      </c>
      <c r="G67" s="5">
        <v>5104</v>
      </c>
      <c r="H67" s="5">
        <v>12</v>
      </c>
      <c r="I67" s="6">
        <v>46052</v>
      </c>
      <c r="J67" s="6">
        <v>46061</v>
      </c>
      <c r="K67" s="10" t="s">
        <v>51</v>
      </c>
      <c r="L67" s="18" t="str" cm="1">
        <f t="array" ref="L67">_xlfn.IFS(F67&gt;=15,"Bulk Order",AND(F67&gt;=5,F67&lt;=14),"Medium Order",F67&lt;5,"Regular Order")</f>
        <v>Bulk Order</v>
      </c>
    </row>
    <row r="68" spans="1:12" ht="15" thickBot="1" x14ac:dyDescent="0.4">
      <c r="A68" s="5">
        <v>1210</v>
      </c>
      <c r="B68" s="5" t="s">
        <v>30</v>
      </c>
      <c r="C68" s="5" t="s">
        <v>31</v>
      </c>
      <c r="D68" s="5" t="s">
        <v>13</v>
      </c>
      <c r="E68" s="5" t="s">
        <v>53</v>
      </c>
      <c r="F68" s="5">
        <v>10</v>
      </c>
      <c r="G68" s="5">
        <v>349</v>
      </c>
      <c r="H68" s="5">
        <v>0</v>
      </c>
      <c r="I68" s="6">
        <v>46052</v>
      </c>
      <c r="J68" s="6">
        <v>46060</v>
      </c>
      <c r="K68" s="10" t="s">
        <v>29</v>
      </c>
      <c r="L68" s="18" t="str" cm="1">
        <f t="array" ref="L68">_xlfn.IFS(F68&gt;=15,"Bulk Order",AND(F68&gt;=5,F68&lt;=14),"Medium Order",F68&lt;5,"Regular Order")</f>
        <v>Medium Order</v>
      </c>
    </row>
    <row r="69" spans="1:12" ht="15" thickBot="1" x14ac:dyDescent="0.4">
      <c r="A69" s="5">
        <v>1149</v>
      </c>
      <c r="B69" s="5" t="s">
        <v>26</v>
      </c>
      <c r="C69" s="5" t="s">
        <v>38</v>
      </c>
      <c r="D69" s="5" t="s">
        <v>34</v>
      </c>
      <c r="E69" s="5" t="s">
        <v>35</v>
      </c>
      <c r="F69" s="5">
        <v>10</v>
      </c>
      <c r="G69" s="5">
        <v>22853</v>
      </c>
      <c r="H69" s="5">
        <v>7</v>
      </c>
      <c r="I69" s="6">
        <v>46053</v>
      </c>
      <c r="J69" s="6">
        <v>46054</v>
      </c>
      <c r="K69" s="10" t="s">
        <v>29</v>
      </c>
      <c r="L69" s="18" t="str" cm="1">
        <f t="array" ref="L69">_xlfn.IFS(F69&gt;=15,"Bulk Order",AND(F69&gt;=5,F69&lt;=14),"Medium Order",F69&lt;5,"Regular Order")</f>
        <v>Medium Order</v>
      </c>
    </row>
    <row r="70" spans="1:12" ht="15" thickBot="1" x14ac:dyDescent="0.4">
      <c r="A70" s="5">
        <v>1324</v>
      </c>
      <c r="B70" s="5" t="s">
        <v>32</v>
      </c>
      <c r="C70" s="5" t="s">
        <v>22</v>
      </c>
      <c r="D70" s="5" t="s">
        <v>18</v>
      </c>
      <c r="E70" s="5" t="s">
        <v>19</v>
      </c>
      <c r="F70" s="5">
        <v>1</v>
      </c>
      <c r="G70" s="5">
        <v>4286</v>
      </c>
      <c r="H70" s="5">
        <v>15</v>
      </c>
      <c r="I70" s="6">
        <v>46053</v>
      </c>
      <c r="J70" s="6">
        <v>46056</v>
      </c>
      <c r="K70" s="10" t="s">
        <v>20</v>
      </c>
      <c r="L70" s="18" t="str" cm="1">
        <f t="array" ref="L70">_xlfn.IFS(F70&gt;=15,"Bulk Order",AND(F70&gt;=5,F70&lt;=14),"Medium Order",F70&lt;5,"Regular Order")</f>
        <v>Regular Order</v>
      </c>
    </row>
    <row r="71" spans="1:12" ht="15" thickBot="1" x14ac:dyDescent="0.4">
      <c r="A71" s="5">
        <v>1096</v>
      </c>
      <c r="B71" s="5" t="s">
        <v>49</v>
      </c>
      <c r="C71" s="5" t="s">
        <v>17</v>
      </c>
      <c r="D71" s="5" t="s">
        <v>18</v>
      </c>
      <c r="E71" s="5" t="s">
        <v>23</v>
      </c>
      <c r="F71" s="5">
        <v>15</v>
      </c>
      <c r="G71" s="5">
        <v>14724</v>
      </c>
      <c r="H71" s="5">
        <v>15</v>
      </c>
      <c r="I71" s="6">
        <v>46054</v>
      </c>
      <c r="J71" s="6">
        <v>46061</v>
      </c>
      <c r="K71" s="10" t="s">
        <v>20</v>
      </c>
      <c r="L71" s="18" t="str" cm="1">
        <f t="array" ref="L71">_xlfn.IFS(F71&gt;=15,"Bulk Order",AND(F71&gt;=5,F71&lt;=14),"Medium Order",F71&lt;5,"Regular Order")</f>
        <v>Bulk Order</v>
      </c>
    </row>
    <row r="72" spans="1:12" ht="15" thickBot="1" x14ac:dyDescent="0.4">
      <c r="A72" s="5">
        <v>1006</v>
      </c>
      <c r="B72" s="5" t="s">
        <v>27</v>
      </c>
      <c r="C72" s="5" t="s">
        <v>25</v>
      </c>
      <c r="D72" s="5" t="s">
        <v>18</v>
      </c>
      <c r="E72" s="5" t="s">
        <v>28</v>
      </c>
      <c r="F72" s="5">
        <v>3</v>
      </c>
      <c r="G72" s="5">
        <v>2714</v>
      </c>
      <c r="H72" s="5">
        <v>5</v>
      </c>
      <c r="I72" s="6">
        <v>46055</v>
      </c>
      <c r="J72" s="6">
        <v>46062</v>
      </c>
      <c r="K72" s="10" t="s">
        <v>29</v>
      </c>
      <c r="L72" s="18" t="str" cm="1">
        <f t="array" ref="L72">_xlfn.IFS(F72&gt;=15,"Bulk Order",AND(F72&gt;=5,F72&lt;=14),"Medium Order",F72&lt;5,"Regular Order")</f>
        <v>Regular Order</v>
      </c>
    </row>
    <row r="73" spans="1:12" ht="15" thickBot="1" x14ac:dyDescent="0.4">
      <c r="A73" s="5">
        <v>1285</v>
      </c>
      <c r="B73" s="5" t="s">
        <v>32</v>
      </c>
      <c r="C73" s="5" t="s">
        <v>38</v>
      </c>
      <c r="D73" s="5" t="s">
        <v>13</v>
      </c>
      <c r="E73" s="5" t="s">
        <v>36</v>
      </c>
      <c r="F73" s="5">
        <v>7</v>
      </c>
      <c r="G73" s="5">
        <v>439</v>
      </c>
      <c r="H73" s="5">
        <v>15</v>
      </c>
      <c r="I73" s="6">
        <v>46055</v>
      </c>
      <c r="J73" s="6">
        <v>46058</v>
      </c>
      <c r="K73" s="10" t="s">
        <v>20</v>
      </c>
      <c r="L73" s="18" t="str" cm="1">
        <f t="array" ref="L73">_xlfn.IFS(F73&gt;=15,"Bulk Order",AND(F73&gt;=5,F73&lt;=14),"Medium Order",F73&lt;5,"Regular Order")</f>
        <v>Medium Order</v>
      </c>
    </row>
    <row r="74" spans="1:12" ht="15" thickBot="1" x14ac:dyDescent="0.4">
      <c r="A74" s="5">
        <v>1281</v>
      </c>
      <c r="B74" s="5" t="s">
        <v>55</v>
      </c>
      <c r="C74" s="5" t="s">
        <v>17</v>
      </c>
      <c r="D74" s="5" t="s">
        <v>13</v>
      </c>
      <c r="E74" s="5" t="s">
        <v>50</v>
      </c>
      <c r="F74" s="5">
        <v>6</v>
      </c>
      <c r="G74" s="5">
        <v>253</v>
      </c>
      <c r="H74" s="5">
        <v>0</v>
      </c>
      <c r="I74" s="6">
        <v>46055</v>
      </c>
      <c r="J74" s="6">
        <v>46063</v>
      </c>
      <c r="K74" s="10" t="s">
        <v>24</v>
      </c>
      <c r="L74" s="18" t="str" cm="1">
        <f t="array" ref="L74">_xlfn.IFS(F74&gt;=15,"Bulk Order",AND(F74&gt;=5,F74&lt;=14),"Medium Order",F74&lt;5,"Regular Order")</f>
        <v>Medium Order</v>
      </c>
    </row>
    <row r="75" spans="1:12" ht="15" thickBot="1" x14ac:dyDescent="0.4">
      <c r="A75" s="5">
        <v>1136</v>
      </c>
      <c r="B75" s="5" t="s">
        <v>27</v>
      </c>
      <c r="C75" s="5" t="s">
        <v>43</v>
      </c>
      <c r="D75" s="5" t="s">
        <v>18</v>
      </c>
      <c r="E75" s="5" t="s">
        <v>56</v>
      </c>
      <c r="F75" s="5">
        <v>19</v>
      </c>
      <c r="G75" s="5">
        <v>14528</v>
      </c>
      <c r="H75" s="5">
        <v>12</v>
      </c>
      <c r="I75" s="6">
        <v>46056</v>
      </c>
      <c r="J75" s="6">
        <v>46062</v>
      </c>
      <c r="K75" s="10" t="s">
        <v>24</v>
      </c>
      <c r="L75" s="18" t="str" cm="1">
        <f t="array" ref="L75">_xlfn.IFS(F75&gt;=15,"Bulk Order",AND(F75&gt;=5,F75&lt;=14),"Medium Order",F75&lt;5,"Regular Order")</f>
        <v>Bulk Order</v>
      </c>
    </row>
    <row r="76" spans="1:12" ht="15" thickBot="1" x14ac:dyDescent="0.4">
      <c r="A76" s="5">
        <v>1394</v>
      </c>
      <c r="B76" s="5" t="s">
        <v>54</v>
      </c>
      <c r="C76" s="5" t="s">
        <v>12</v>
      </c>
      <c r="D76" s="5" t="s">
        <v>13</v>
      </c>
      <c r="E76" s="5" t="s">
        <v>14</v>
      </c>
      <c r="F76" s="5">
        <v>10</v>
      </c>
      <c r="G76" s="5">
        <v>138</v>
      </c>
      <c r="H76" s="5">
        <v>2</v>
      </c>
      <c r="I76" s="6">
        <v>46056</v>
      </c>
      <c r="J76" s="6">
        <v>46057</v>
      </c>
      <c r="K76" s="10" t="s">
        <v>15</v>
      </c>
      <c r="L76" s="18" t="str" cm="1">
        <f t="array" ref="L76">_xlfn.IFS(F76&gt;=15,"Bulk Order",AND(F76&gt;=5,F76&lt;=14),"Medium Order",F76&lt;5,"Regular Order")</f>
        <v>Medium Order</v>
      </c>
    </row>
    <row r="77" spans="1:12" ht="15" thickBot="1" x14ac:dyDescent="0.4">
      <c r="A77" s="5">
        <v>1105</v>
      </c>
      <c r="B77" s="5" t="s">
        <v>59</v>
      </c>
      <c r="C77" s="5" t="s">
        <v>25</v>
      </c>
      <c r="D77" s="5" t="s">
        <v>13</v>
      </c>
      <c r="E77" s="5" t="s">
        <v>50</v>
      </c>
      <c r="F77" s="5">
        <v>2</v>
      </c>
      <c r="G77" s="5">
        <v>493</v>
      </c>
      <c r="H77" s="5">
        <v>12</v>
      </c>
      <c r="I77" s="6">
        <v>46057</v>
      </c>
      <c r="J77" s="6">
        <v>46066</v>
      </c>
      <c r="K77" s="10" t="s">
        <v>51</v>
      </c>
      <c r="L77" s="18" t="str" cm="1">
        <f t="array" ref="L77">_xlfn.IFS(F77&gt;=15,"Bulk Order",AND(F77&gt;=5,F77&lt;=14),"Medium Order",F77&lt;5,"Regular Order")</f>
        <v>Regular Order</v>
      </c>
    </row>
    <row r="78" spans="1:12" ht="15" thickBot="1" x14ac:dyDescent="0.4">
      <c r="A78" s="5">
        <v>1256</v>
      </c>
      <c r="B78" s="5" t="s">
        <v>48</v>
      </c>
      <c r="C78" s="5" t="s">
        <v>31</v>
      </c>
      <c r="D78" s="5" t="s">
        <v>13</v>
      </c>
      <c r="E78" s="5" t="s">
        <v>50</v>
      </c>
      <c r="F78" s="5">
        <v>19</v>
      </c>
      <c r="G78" s="5">
        <v>406</v>
      </c>
      <c r="H78" s="5">
        <v>7</v>
      </c>
      <c r="I78" s="6">
        <v>46057</v>
      </c>
      <c r="J78" s="6">
        <v>46061</v>
      </c>
      <c r="K78" s="10" t="s">
        <v>15</v>
      </c>
      <c r="L78" s="18" t="str" cm="1">
        <f t="array" ref="L78">_xlfn.IFS(F78&gt;=15,"Bulk Order",AND(F78&gt;=5,F78&lt;=14),"Medium Order",F78&lt;5,"Regular Order")</f>
        <v>Bulk Order</v>
      </c>
    </row>
    <row r="79" spans="1:12" ht="15" thickBot="1" x14ac:dyDescent="0.4">
      <c r="A79" s="5">
        <v>1081</v>
      </c>
      <c r="B79" s="5" t="s">
        <v>47</v>
      </c>
      <c r="C79" s="5" t="s">
        <v>12</v>
      </c>
      <c r="D79" s="5" t="s">
        <v>34</v>
      </c>
      <c r="E79" s="5" t="s">
        <v>35</v>
      </c>
      <c r="F79" s="5">
        <v>15</v>
      </c>
      <c r="G79" s="5">
        <v>59912</v>
      </c>
      <c r="H79" s="5">
        <v>7</v>
      </c>
      <c r="I79" s="6">
        <v>46058</v>
      </c>
      <c r="J79" s="6">
        <v>46060</v>
      </c>
      <c r="K79" s="10" t="s">
        <v>51</v>
      </c>
      <c r="L79" s="18" t="str" cm="1">
        <f t="array" ref="L79">_xlfn.IFS(F79&gt;=15,"Bulk Order",AND(F79&gt;=5,F79&lt;=14),"Medium Order",F79&lt;5,"Regular Order")</f>
        <v>Bulk Order</v>
      </c>
    </row>
    <row r="80" spans="1:12" ht="15" thickBot="1" x14ac:dyDescent="0.4">
      <c r="A80" s="5">
        <v>1067</v>
      </c>
      <c r="B80" s="5" t="s">
        <v>32</v>
      </c>
      <c r="C80" s="5" t="s">
        <v>43</v>
      </c>
      <c r="D80" s="5" t="s">
        <v>18</v>
      </c>
      <c r="E80" s="5" t="s">
        <v>56</v>
      </c>
      <c r="F80" s="5">
        <v>14</v>
      </c>
      <c r="G80" s="5">
        <v>10869</v>
      </c>
      <c r="H80" s="5">
        <v>0</v>
      </c>
      <c r="I80" s="6">
        <v>46058</v>
      </c>
      <c r="J80" s="6">
        <v>46062</v>
      </c>
      <c r="K80" s="10" t="s">
        <v>29</v>
      </c>
      <c r="L80" s="18" t="str" cm="1">
        <f t="array" ref="L80">_xlfn.IFS(F80&gt;=15,"Bulk Order",AND(F80&gt;=5,F80&lt;=14),"Medium Order",F80&lt;5,"Regular Order")</f>
        <v>Medium Order</v>
      </c>
    </row>
    <row r="81" spans="1:12" ht="15" thickBot="1" x14ac:dyDescent="0.4">
      <c r="A81" s="5">
        <v>1099</v>
      </c>
      <c r="B81" s="5" t="s">
        <v>26</v>
      </c>
      <c r="C81" s="5" t="s">
        <v>31</v>
      </c>
      <c r="D81" s="5" t="s">
        <v>18</v>
      </c>
      <c r="E81" s="5" t="s">
        <v>19</v>
      </c>
      <c r="F81" s="5">
        <v>1</v>
      </c>
      <c r="G81" s="5">
        <v>5165</v>
      </c>
      <c r="H81" s="5">
        <v>2</v>
      </c>
      <c r="I81" s="6">
        <v>46058</v>
      </c>
      <c r="J81" s="6">
        <v>46060</v>
      </c>
      <c r="K81" s="10" t="s">
        <v>15</v>
      </c>
      <c r="L81" s="18" t="str" cm="1">
        <f t="array" ref="L81">_xlfn.IFS(F81&gt;=15,"Bulk Order",AND(F81&gt;=5,F81&lt;=14),"Medium Order",F81&lt;5,"Regular Order")</f>
        <v>Regular Order</v>
      </c>
    </row>
    <row r="82" spans="1:12" ht="15" thickBot="1" x14ac:dyDescent="0.4">
      <c r="A82" s="5">
        <v>1061</v>
      </c>
      <c r="B82" s="5" t="s">
        <v>57</v>
      </c>
      <c r="C82" s="5" t="s">
        <v>12</v>
      </c>
      <c r="D82" s="5" t="s">
        <v>34</v>
      </c>
      <c r="E82" s="5" t="s">
        <v>41</v>
      </c>
      <c r="F82" s="5">
        <v>16</v>
      </c>
      <c r="G82" s="5">
        <v>59084</v>
      </c>
      <c r="H82" s="5">
        <v>0</v>
      </c>
      <c r="I82" s="6">
        <v>46060</v>
      </c>
      <c r="J82" s="6">
        <v>46069</v>
      </c>
      <c r="K82" s="10" t="s">
        <v>20</v>
      </c>
      <c r="L82" s="18" t="str" cm="1">
        <f t="array" ref="L82">_xlfn.IFS(F82&gt;=15,"Bulk Order",AND(F82&gt;=5,F82&lt;=14),"Medium Order",F82&lt;5,"Regular Order")</f>
        <v>Bulk Order</v>
      </c>
    </row>
    <row r="83" spans="1:12" ht="15" thickBot="1" x14ac:dyDescent="0.4">
      <c r="A83" s="5">
        <v>1232</v>
      </c>
      <c r="B83" s="5" t="s">
        <v>21</v>
      </c>
      <c r="C83" s="5" t="s">
        <v>12</v>
      </c>
      <c r="D83" s="5" t="s">
        <v>34</v>
      </c>
      <c r="E83" s="5" t="s">
        <v>60</v>
      </c>
      <c r="F83" s="5">
        <v>3</v>
      </c>
      <c r="G83" s="5">
        <v>13272</v>
      </c>
      <c r="H83" s="5">
        <v>2</v>
      </c>
      <c r="I83" s="6">
        <v>46060</v>
      </c>
      <c r="J83" s="6">
        <v>46065</v>
      </c>
      <c r="K83" s="10" t="s">
        <v>15</v>
      </c>
      <c r="L83" s="18" t="str" cm="1">
        <f t="array" ref="L83">_xlfn.IFS(F83&gt;=15,"Bulk Order",AND(F83&gt;=5,F83&lt;=14),"Medium Order",F83&lt;5,"Regular Order")</f>
        <v>Regular Order</v>
      </c>
    </row>
    <row r="84" spans="1:12" ht="15" thickBot="1" x14ac:dyDescent="0.4">
      <c r="A84" s="5">
        <v>1104</v>
      </c>
      <c r="B84" s="5" t="s">
        <v>16</v>
      </c>
      <c r="C84" s="5" t="s">
        <v>43</v>
      </c>
      <c r="D84" s="5" t="s">
        <v>18</v>
      </c>
      <c r="E84" s="5" t="s">
        <v>19</v>
      </c>
      <c r="F84" s="5">
        <v>10</v>
      </c>
      <c r="G84" s="5">
        <v>12848</v>
      </c>
      <c r="H84" s="5">
        <v>15</v>
      </c>
      <c r="I84" s="6">
        <v>46060</v>
      </c>
      <c r="J84" s="6">
        <v>46064</v>
      </c>
      <c r="K84" s="10" t="s">
        <v>29</v>
      </c>
      <c r="L84" s="18" t="str" cm="1">
        <f t="array" ref="L84">_xlfn.IFS(F84&gt;=15,"Bulk Order",AND(F84&gt;=5,F84&lt;=14),"Medium Order",F84&lt;5,"Regular Order")</f>
        <v>Medium Order</v>
      </c>
    </row>
    <row r="85" spans="1:12" ht="15" thickBot="1" x14ac:dyDescent="0.4">
      <c r="A85" s="5">
        <v>1140</v>
      </c>
      <c r="B85" s="5" t="s">
        <v>57</v>
      </c>
      <c r="C85" s="5" t="s">
        <v>38</v>
      </c>
      <c r="D85" s="5" t="s">
        <v>34</v>
      </c>
      <c r="E85" s="5" t="s">
        <v>41</v>
      </c>
      <c r="F85" s="5">
        <v>5</v>
      </c>
      <c r="G85" s="5">
        <v>68012</v>
      </c>
      <c r="H85" s="5">
        <v>5</v>
      </c>
      <c r="I85" s="6">
        <v>46061</v>
      </c>
      <c r="J85" s="6">
        <v>46065</v>
      </c>
      <c r="K85" s="10" t="s">
        <v>15</v>
      </c>
      <c r="L85" s="18" t="str" cm="1">
        <f t="array" ref="L85">_xlfn.IFS(F85&gt;=15,"Bulk Order",AND(F85&gt;=5,F85&lt;=14),"Medium Order",F85&lt;5,"Regular Order")</f>
        <v>Medium Order</v>
      </c>
    </row>
    <row r="86" spans="1:12" ht="15" thickBot="1" x14ac:dyDescent="0.4">
      <c r="A86" s="5">
        <v>1120</v>
      </c>
      <c r="B86" s="5" t="s">
        <v>32</v>
      </c>
      <c r="C86" s="5" t="s">
        <v>38</v>
      </c>
      <c r="D86" s="5" t="s">
        <v>13</v>
      </c>
      <c r="E86" s="5" t="s">
        <v>36</v>
      </c>
      <c r="F86" s="5">
        <v>10</v>
      </c>
      <c r="G86" s="5">
        <v>438</v>
      </c>
      <c r="H86" s="5">
        <v>10</v>
      </c>
      <c r="I86" s="6">
        <v>46061</v>
      </c>
      <c r="J86" s="6">
        <v>46065</v>
      </c>
      <c r="K86" s="10" t="s">
        <v>51</v>
      </c>
      <c r="L86" s="18" t="str" cm="1">
        <f t="array" ref="L86">_xlfn.IFS(F86&gt;=15,"Bulk Order",AND(F86&gt;=5,F86&lt;=14),"Medium Order",F86&lt;5,"Regular Order")</f>
        <v>Medium Order</v>
      </c>
    </row>
    <row r="87" spans="1:12" ht="15" thickBot="1" x14ac:dyDescent="0.4">
      <c r="A87" s="5">
        <v>1395</v>
      </c>
      <c r="B87" s="5" t="s">
        <v>54</v>
      </c>
      <c r="C87" s="5" t="s">
        <v>33</v>
      </c>
      <c r="D87" s="5" t="s">
        <v>18</v>
      </c>
      <c r="E87" s="5" t="s">
        <v>44</v>
      </c>
      <c r="F87" s="5">
        <v>18</v>
      </c>
      <c r="G87" s="5">
        <v>10402</v>
      </c>
      <c r="H87" s="5">
        <v>15</v>
      </c>
      <c r="I87" s="6">
        <v>46062</v>
      </c>
      <c r="J87" s="6">
        <v>46067</v>
      </c>
      <c r="K87" s="10" t="s">
        <v>29</v>
      </c>
      <c r="L87" s="18" t="str" cm="1">
        <f t="array" ref="L87">_xlfn.IFS(F87&gt;=15,"Bulk Order",AND(F87&gt;=5,F87&lt;=14),"Medium Order",F87&lt;5,"Regular Order")</f>
        <v>Bulk Order</v>
      </c>
    </row>
    <row r="88" spans="1:12" ht="15" thickBot="1" x14ac:dyDescent="0.4">
      <c r="A88" s="5">
        <v>1152</v>
      </c>
      <c r="B88" s="5" t="s">
        <v>27</v>
      </c>
      <c r="C88" s="5" t="s">
        <v>31</v>
      </c>
      <c r="D88" s="5" t="s">
        <v>34</v>
      </c>
      <c r="E88" s="5" t="s">
        <v>61</v>
      </c>
      <c r="F88" s="5">
        <v>14</v>
      </c>
      <c r="G88" s="5">
        <v>8150</v>
      </c>
      <c r="H88" s="5">
        <v>10</v>
      </c>
      <c r="I88" s="6">
        <v>46062</v>
      </c>
      <c r="J88" s="6">
        <v>46070</v>
      </c>
      <c r="K88" s="10" t="s">
        <v>15</v>
      </c>
      <c r="L88" s="18" t="str" cm="1">
        <f t="array" ref="L88">_xlfn.IFS(F88&gt;=15,"Bulk Order",AND(F88&gt;=5,F88&lt;=14),"Medium Order",F88&lt;5,"Regular Order")</f>
        <v>Medium Order</v>
      </c>
    </row>
    <row r="89" spans="1:12" ht="15" thickBot="1" x14ac:dyDescent="0.4">
      <c r="A89" s="5">
        <v>1369</v>
      </c>
      <c r="B89" s="5" t="s">
        <v>57</v>
      </c>
      <c r="C89" s="5" t="s">
        <v>25</v>
      </c>
      <c r="D89" s="5" t="s">
        <v>18</v>
      </c>
      <c r="E89" s="5" t="s">
        <v>19</v>
      </c>
      <c r="F89" s="5">
        <v>19</v>
      </c>
      <c r="G89" s="5">
        <v>5840</v>
      </c>
      <c r="H89" s="5">
        <v>5</v>
      </c>
      <c r="I89" s="6">
        <v>46062</v>
      </c>
      <c r="J89" s="6">
        <v>46067</v>
      </c>
      <c r="K89" s="10" t="s">
        <v>15</v>
      </c>
      <c r="L89" s="18" t="str" cm="1">
        <f t="array" ref="L89">_xlfn.IFS(F89&gt;=15,"Bulk Order",AND(F89&gt;=5,F89&lt;=14),"Medium Order",F89&lt;5,"Regular Order")</f>
        <v>Bulk Order</v>
      </c>
    </row>
    <row r="90" spans="1:12" ht="15" thickBot="1" x14ac:dyDescent="0.4">
      <c r="A90" s="5">
        <v>1010</v>
      </c>
      <c r="B90" s="5" t="s">
        <v>11</v>
      </c>
      <c r="C90" s="5" t="s">
        <v>17</v>
      </c>
      <c r="D90" s="5" t="s">
        <v>13</v>
      </c>
      <c r="E90" s="5" t="s">
        <v>36</v>
      </c>
      <c r="F90" s="5">
        <v>14</v>
      </c>
      <c r="G90" s="5">
        <v>470</v>
      </c>
      <c r="H90" s="5">
        <v>5</v>
      </c>
      <c r="I90" s="6">
        <v>46062</v>
      </c>
      <c r="J90" s="6">
        <v>46068</v>
      </c>
      <c r="K90" s="10" t="s">
        <v>15</v>
      </c>
      <c r="L90" s="18" t="str" cm="1">
        <f t="array" ref="L90">_xlfn.IFS(F90&gt;=15,"Bulk Order",AND(F90&gt;=5,F90&lt;=14),"Medium Order",F90&lt;5,"Regular Order")</f>
        <v>Medium Order</v>
      </c>
    </row>
    <row r="91" spans="1:12" ht="15" thickBot="1" x14ac:dyDescent="0.4">
      <c r="A91" s="5">
        <v>1374</v>
      </c>
      <c r="B91" s="5" t="s">
        <v>57</v>
      </c>
      <c r="C91" s="5" t="s">
        <v>33</v>
      </c>
      <c r="D91" s="5" t="s">
        <v>34</v>
      </c>
      <c r="E91" s="5" t="s">
        <v>35</v>
      </c>
      <c r="F91" s="5">
        <v>12</v>
      </c>
      <c r="G91" s="5">
        <v>66052</v>
      </c>
      <c r="H91" s="5">
        <v>2</v>
      </c>
      <c r="I91" s="6">
        <v>46063</v>
      </c>
      <c r="J91" s="6">
        <v>46066</v>
      </c>
      <c r="K91" s="10" t="s">
        <v>51</v>
      </c>
      <c r="L91" s="18" t="str" cm="1">
        <f t="array" ref="L91">_xlfn.IFS(F91&gt;=15,"Bulk Order",AND(F91&gt;=5,F91&lt;=14),"Medium Order",F91&lt;5,"Regular Order")</f>
        <v>Medium Order</v>
      </c>
    </row>
    <row r="92" spans="1:12" ht="15" thickBot="1" x14ac:dyDescent="0.4">
      <c r="A92" s="5">
        <v>1296</v>
      </c>
      <c r="B92" s="5" t="s">
        <v>26</v>
      </c>
      <c r="C92" s="5" t="s">
        <v>38</v>
      </c>
      <c r="D92" s="5" t="s">
        <v>13</v>
      </c>
      <c r="E92" s="5" t="s">
        <v>50</v>
      </c>
      <c r="F92" s="5">
        <v>6</v>
      </c>
      <c r="G92" s="5">
        <v>201</v>
      </c>
      <c r="H92" s="5">
        <v>0</v>
      </c>
      <c r="I92" s="6">
        <v>46063</v>
      </c>
      <c r="J92" s="6">
        <v>46072</v>
      </c>
      <c r="K92" s="10" t="s">
        <v>51</v>
      </c>
      <c r="L92" s="18" t="str" cm="1">
        <f t="array" ref="L92">_xlfn.IFS(F92&gt;=15,"Bulk Order",AND(F92&gt;=5,F92&lt;=14),"Medium Order",F92&lt;5,"Regular Order")</f>
        <v>Medium Order</v>
      </c>
    </row>
    <row r="93" spans="1:12" ht="15" thickBot="1" x14ac:dyDescent="0.4">
      <c r="A93" s="5">
        <v>1142</v>
      </c>
      <c r="B93" s="5" t="s">
        <v>40</v>
      </c>
      <c r="C93" s="5" t="s">
        <v>25</v>
      </c>
      <c r="D93" s="5" t="s">
        <v>34</v>
      </c>
      <c r="E93" s="5" t="s">
        <v>60</v>
      </c>
      <c r="F93" s="5">
        <v>9</v>
      </c>
      <c r="G93" s="5">
        <v>59788</v>
      </c>
      <c r="H93" s="5">
        <v>7</v>
      </c>
      <c r="I93" s="6">
        <v>46064</v>
      </c>
      <c r="J93" s="6">
        <v>46071</v>
      </c>
      <c r="K93" s="10" t="s">
        <v>29</v>
      </c>
      <c r="L93" s="18" t="str" cm="1">
        <f t="array" ref="L93">_xlfn.IFS(F93&gt;=15,"Bulk Order",AND(F93&gt;=5,F93&lt;=14),"Medium Order",F93&lt;5,"Regular Order")</f>
        <v>Medium Order</v>
      </c>
    </row>
    <row r="94" spans="1:12" ht="15" thickBot="1" x14ac:dyDescent="0.4">
      <c r="A94" s="5">
        <v>1053</v>
      </c>
      <c r="B94" s="5" t="s">
        <v>16</v>
      </c>
      <c r="C94" s="5" t="s">
        <v>33</v>
      </c>
      <c r="D94" s="5" t="s">
        <v>18</v>
      </c>
      <c r="E94" s="5" t="s">
        <v>28</v>
      </c>
      <c r="F94" s="5">
        <v>1</v>
      </c>
      <c r="G94" s="5">
        <v>9749</v>
      </c>
      <c r="H94" s="5">
        <v>15</v>
      </c>
      <c r="I94" s="6">
        <v>46064</v>
      </c>
      <c r="J94" s="6">
        <v>46070</v>
      </c>
      <c r="K94" s="10" t="s">
        <v>24</v>
      </c>
      <c r="L94" s="18" t="str" cm="1">
        <f t="array" ref="L94">_xlfn.IFS(F94&gt;=15,"Bulk Order",AND(F94&gt;=5,F94&lt;=14),"Medium Order",F94&lt;5,"Regular Order")</f>
        <v>Regular Order</v>
      </c>
    </row>
    <row r="95" spans="1:12" ht="15" thickBot="1" x14ac:dyDescent="0.4">
      <c r="A95" s="5">
        <v>1089</v>
      </c>
      <c r="B95" s="5" t="s">
        <v>46</v>
      </c>
      <c r="C95" s="5" t="s">
        <v>12</v>
      </c>
      <c r="D95" s="5" t="s">
        <v>34</v>
      </c>
      <c r="E95" s="5" t="s">
        <v>35</v>
      </c>
      <c r="F95" s="5">
        <v>10</v>
      </c>
      <c r="G95" s="5">
        <v>17041</v>
      </c>
      <c r="H95" s="5">
        <v>2</v>
      </c>
      <c r="I95" s="6">
        <v>46066</v>
      </c>
      <c r="J95" s="6">
        <v>46071</v>
      </c>
      <c r="K95" s="10" t="s">
        <v>24</v>
      </c>
      <c r="L95" s="18" t="str" cm="1">
        <f t="array" ref="L95">_xlfn.IFS(F95&gt;=15,"Bulk Order",AND(F95&gt;=5,F95&lt;=14),"Medium Order",F95&lt;5,"Regular Order")</f>
        <v>Medium Order</v>
      </c>
    </row>
    <row r="96" spans="1:12" ht="15" thickBot="1" x14ac:dyDescent="0.4">
      <c r="A96" s="5">
        <v>1174</v>
      </c>
      <c r="B96" s="5" t="s">
        <v>58</v>
      </c>
      <c r="C96" s="5" t="s">
        <v>38</v>
      </c>
      <c r="D96" s="5" t="s">
        <v>13</v>
      </c>
      <c r="E96" s="5" t="s">
        <v>14</v>
      </c>
      <c r="F96" s="5">
        <v>13</v>
      </c>
      <c r="G96" s="5">
        <v>155</v>
      </c>
      <c r="H96" s="5">
        <v>2</v>
      </c>
      <c r="I96" s="6">
        <v>46066</v>
      </c>
      <c r="J96" s="6">
        <v>46069</v>
      </c>
      <c r="K96" s="10" t="s">
        <v>24</v>
      </c>
      <c r="L96" s="18" t="str" cm="1">
        <f t="array" ref="L96">_xlfn.IFS(F96&gt;=15,"Bulk Order",AND(F96&gt;=5,F96&lt;=14),"Medium Order",F96&lt;5,"Regular Order")</f>
        <v>Medium Order</v>
      </c>
    </row>
    <row r="97" spans="1:12" ht="15" thickBot="1" x14ac:dyDescent="0.4">
      <c r="A97" s="5">
        <v>1114</v>
      </c>
      <c r="B97" s="5" t="s">
        <v>16</v>
      </c>
      <c r="C97" s="5" t="s">
        <v>25</v>
      </c>
      <c r="D97" s="5" t="s">
        <v>13</v>
      </c>
      <c r="E97" s="5" t="s">
        <v>50</v>
      </c>
      <c r="F97" s="5">
        <v>13</v>
      </c>
      <c r="G97" s="5">
        <v>32</v>
      </c>
      <c r="H97" s="5">
        <v>15</v>
      </c>
      <c r="I97" s="6">
        <v>46066</v>
      </c>
      <c r="J97" s="6">
        <v>46069</v>
      </c>
      <c r="K97" s="10" t="s">
        <v>15</v>
      </c>
      <c r="L97" s="18" t="str" cm="1">
        <f t="array" ref="L97">_xlfn.IFS(F97&gt;=15,"Bulk Order",AND(F97&gt;=5,F97&lt;=14),"Medium Order",F97&lt;5,"Regular Order")</f>
        <v>Medium Order</v>
      </c>
    </row>
    <row r="98" spans="1:12" ht="15" thickBot="1" x14ac:dyDescent="0.4">
      <c r="A98" s="5">
        <v>1057</v>
      </c>
      <c r="B98" s="5" t="s">
        <v>59</v>
      </c>
      <c r="C98" s="5" t="s">
        <v>22</v>
      </c>
      <c r="D98" s="5" t="s">
        <v>18</v>
      </c>
      <c r="E98" s="5" t="s">
        <v>28</v>
      </c>
      <c r="F98" s="5">
        <v>2</v>
      </c>
      <c r="G98" s="5">
        <v>9531</v>
      </c>
      <c r="H98" s="5">
        <v>15</v>
      </c>
      <c r="I98" s="6">
        <v>46067</v>
      </c>
      <c r="J98" s="6">
        <v>46076</v>
      </c>
      <c r="K98" s="10" t="s">
        <v>51</v>
      </c>
      <c r="L98" s="18" t="str" cm="1">
        <f t="array" ref="L98">_xlfn.IFS(F98&gt;=15,"Bulk Order",AND(F98&gt;=5,F98&lt;=14),"Medium Order",F98&lt;5,"Regular Order")</f>
        <v>Regular Order</v>
      </c>
    </row>
    <row r="99" spans="1:12" ht="15" thickBot="1" x14ac:dyDescent="0.4">
      <c r="A99" s="5">
        <v>1088</v>
      </c>
      <c r="B99" s="5" t="s">
        <v>40</v>
      </c>
      <c r="C99" s="5" t="s">
        <v>33</v>
      </c>
      <c r="D99" s="5" t="s">
        <v>34</v>
      </c>
      <c r="E99" s="5" t="s">
        <v>41</v>
      </c>
      <c r="F99" s="5">
        <v>20</v>
      </c>
      <c r="G99" s="5">
        <v>41165</v>
      </c>
      <c r="H99" s="5">
        <v>0</v>
      </c>
      <c r="I99" s="6">
        <v>46068</v>
      </c>
      <c r="J99" s="6">
        <v>46069</v>
      </c>
      <c r="K99" s="10" t="s">
        <v>20</v>
      </c>
      <c r="L99" s="18" t="str" cm="1">
        <f t="array" ref="L99">_xlfn.IFS(F99&gt;=15,"Bulk Order",AND(F99&gt;=5,F99&lt;=14),"Medium Order",F99&lt;5,"Regular Order")</f>
        <v>Bulk Order</v>
      </c>
    </row>
    <row r="100" spans="1:12" ht="15" thickBot="1" x14ac:dyDescent="0.4">
      <c r="A100" s="5">
        <v>1243</v>
      </c>
      <c r="B100" s="5" t="s">
        <v>30</v>
      </c>
      <c r="C100" s="5" t="s">
        <v>31</v>
      </c>
      <c r="D100" s="5" t="s">
        <v>34</v>
      </c>
      <c r="E100" s="5" t="s">
        <v>41</v>
      </c>
      <c r="F100" s="5">
        <v>5</v>
      </c>
      <c r="G100" s="5">
        <v>11570</v>
      </c>
      <c r="H100" s="5">
        <v>15</v>
      </c>
      <c r="I100" s="6">
        <v>46069</v>
      </c>
      <c r="J100" s="6">
        <v>46077</v>
      </c>
      <c r="K100" s="10" t="s">
        <v>24</v>
      </c>
      <c r="L100" s="18" t="str" cm="1">
        <f t="array" ref="L100">_xlfn.IFS(F100&gt;=15,"Bulk Order",AND(F100&gt;=5,F100&lt;=14),"Medium Order",F100&lt;5,"Regular Order")</f>
        <v>Medium Order</v>
      </c>
    </row>
    <row r="101" spans="1:12" ht="15" thickBot="1" x14ac:dyDescent="0.4">
      <c r="A101" s="5">
        <v>1153</v>
      </c>
      <c r="B101" s="5" t="s">
        <v>42</v>
      </c>
      <c r="C101" s="5" t="s">
        <v>25</v>
      </c>
      <c r="D101" s="5" t="s">
        <v>18</v>
      </c>
      <c r="E101" s="5" t="s">
        <v>23</v>
      </c>
      <c r="F101" s="5">
        <v>19</v>
      </c>
      <c r="G101" s="5">
        <v>10273</v>
      </c>
      <c r="H101" s="5">
        <v>12</v>
      </c>
      <c r="I101" s="6">
        <v>46069</v>
      </c>
      <c r="J101" s="6">
        <v>46072</v>
      </c>
      <c r="K101" s="10" t="s">
        <v>29</v>
      </c>
      <c r="L101" s="18" t="str" cm="1">
        <f t="array" ref="L101">_xlfn.IFS(F101&gt;=15,"Bulk Order",AND(F101&gt;=5,F101&lt;=14),"Medium Order",F101&lt;5,"Regular Order")</f>
        <v>Bulk Order</v>
      </c>
    </row>
    <row r="102" spans="1:12" ht="15" thickBot="1" x14ac:dyDescent="0.4">
      <c r="A102" s="5">
        <v>1365</v>
      </c>
      <c r="B102" s="5" t="s">
        <v>46</v>
      </c>
      <c r="C102" s="5" t="s">
        <v>33</v>
      </c>
      <c r="D102" s="5" t="s">
        <v>13</v>
      </c>
      <c r="E102" s="5" t="s">
        <v>50</v>
      </c>
      <c r="F102" s="5">
        <v>17</v>
      </c>
      <c r="G102" s="5">
        <v>119</v>
      </c>
      <c r="H102" s="5">
        <v>7</v>
      </c>
      <c r="I102" s="6">
        <v>46070</v>
      </c>
      <c r="J102" s="6">
        <v>46072</v>
      </c>
      <c r="K102" s="10" t="s">
        <v>20</v>
      </c>
      <c r="L102" s="18" t="str" cm="1">
        <f t="array" ref="L102">_xlfn.IFS(F102&gt;=15,"Bulk Order",AND(F102&gt;=5,F102&lt;=14),"Medium Order",F102&lt;5,"Regular Order")</f>
        <v>Bulk Order</v>
      </c>
    </row>
    <row r="103" spans="1:12" ht="15" thickBot="1" x14ac:dyDescent="0.4">
      <c r="A103" s="5">
        <v>1036</v>
      </c>
      <c r="B103" s="5" t="s">
        <v>11</v>
      </c>
      <c r="C103" s="5" t="s">
        <v>25</v>
      </c>
      <c r="D103" s="5" t="s">
        <v>13</v>
      </c>
      <c r="E103" s="5" t="s">
        <v>36</v>
      </c>
      <c r="F103" s="5">
        <v>20</v>
      </c>
      <c r="G103" s="5">
        <v>161</v>
      </c>
      <c r="H103" s="5">
        <v>7</v>
      </c>
      <c r="I103" s="6">
        <v>46071</v>
      </c>
      <c r="J103" s="6">
        <v>46077</v>
      </c>
      <c r="K103" s="10" t="s">
        <v>24</v>
      </c>
      <c r="L103" s="18" t="str" cm="1">
        <f t="array" ref="L103">_xlfn.IFS(F103&gt;=15,"Bulk Order",AND(F103&gt;=5,F103&lt;=14),"Medium Order",F103&lt;5,"Regular Order")</f>
        <v>Bulk Order</v>
      </c>
    </row>
    <row r="104" spans="1:12" ht="15" thickBot="1" x14ac:dyDescent="0.4">
      <c r="A104" s="5">
        <v>1371</v>
      </c>
      <c r="B104" s="5" t="s">
        <v>48</v>
      </c>
      <c r="C104" s="5" t="s">
        <v>38</v>
      </c>
      <c r="D104" s="5" t="s">
        <v>18</v>
      </c>
      <c r="E104" s="5" t="s">
        <v>19</v>
      </c>
      <c r="F104" s="5">
        <v>19</v>
      </c>
      <c r="G104" s="5">
        <v>1087</v>
      </c>
      <c r="H104" s="5">
        <v>15</v>
      </c>
      <c r="I104" s="6">
        <v>46072</v>
      </c>
      <c r="J104" s="6">
        <v>46082</v>
      </c>
      <c r="K104" s="10" t="s">
        <v>20</v>
      </c>
      <c r="L104" s="18" t="str" cm="1">
        <f t="array" ref="L104">_xlfn.IFS(F104&gt;=15,"Bulk Order",AND(F104&gt;=5,F104&lt;=14),"Medium Order",F104&lt;5,"Regular Order")</f>
        <v>Bulk Order</v>
      </c>
    </row>
    <row r="105" spans="1:12" ht="15" thickBot="1" x14ac:dyDescent="0.4">
      <c r="A105" s="5">
        <v>1323</v>
      </c>
      <c r="B105" s="5" t="s">
        <v>57</v>
      </c>
      <c r="C105" s="5" t="s">
        <v>38</v>
      </c>
      <c r="D105" s="5" t="s">
        <v>34</v>
      </c>
      <c r="E105" s="5" t="s">
        <v>61</v>
      </c>
      <c r="F105" s="5">
        <v>2</v>
      </c>
      <c r="G105" s="5">
        <v>32074</v>
      </c>
      <c r="H105" s="5">
        <v>10</v>
      </c>
      <c r="I105" s="6">
        <v>46073</v>
      </c>
      <c r="J105" s="6">
        <v>46078</v>
      </c>
      <c r="K105" s="10" t="s">
        <v>15</v>
      </c>
      <c r="L105" s="18" t="str" cm="1">
        <f t="array" ref="L105">_xlfn.IFS(F105&gt;=15,"Bulk Order",AND(F105&gt;=5,F105&lt;=14),"Medium Order",F105&lt;5,"Regular Order")</f>
        <v>Regular Order</v>
      </c>
    </row>
    <row r="106" spans="1:12" ht="15" thickBot="1" x14ac:dyDescent="0.4">
      <c r="A106" s="5">
        <v>1253</v>
      </c>
      <c r="B106" s="5" t="s">
        <v>21</v>
      </c>
      <c r="C106" s="5" t="s">
        <v>31</v>
      </c>
      <c r="D106" s="5" t="s">
        <v>34</v>
      </c>
      <c r="E106" s="5" t="s">
        <v>45</v>
      </c>
      <c r="F106" s="5">
        <v>20</v>
      </c>
      <c r="G106" s="5">
        <v>47880</v>
      </c>
      <c r="H106" s="5">
        <v>7</v>
      </c>
      <c r="I106" s="6">
        <v>46074</v>
      </c>
      <c r="J106" s="6">
        <v>46075</v>
      </c>
      <c r="K106" s="10" t="s">
        <v>29</v>
      </c>
      <c r="L106" s="18" t="str" cm="1">
        <f t="array" ref="L106">_xlfn.IFS(F106&gt;=15,"Bulk Order",AND(F106&gt;=5,F106&lt;=14),"Medium Order",F106&lt;5,"Regular Order")</f>
        <v>Bulk Order</v>
      </c>
    </row>
    <row r="107" spans="1:12" ht="15" thickBot="1" x14ac:dyDescent="0.4">
      <c r="A107" s="5">
        <v>1384</v>
      </c>
      <c r="B107" s="5" t="s">
        <v>59</v>
      </c>
      <c r="C107" s="5" t="s">
        <v>12</v>
      </c>
      <c r="D107" s="5" t="s">
        <v>34</v>
      </c>
      <c r="E107" s="5" t="s">
        <v>39</v>
      </c>
      <c r="F107" s="5">
        <v>15</v>
      </c>
      <c r="G107" s="5">
        <v>38116</v>
      </c>
      <c r="H107" s="5">
        <v>0</v>
      </c>
      <c r="I107" s="6">
        <v>46074</v>
      </c>
      <c r="J107" s="6">
        <v>46078</v>
      </c>
      <c r="K107" s="10" t="s">
        <v>29</v>
      </c>
      <c r="L107" s="18" t="str" cm="1">
        <f t="array" ref="L107">_xlfn.IFS(F107&gt;=15,"Bulk Order",AND(F107&gt;=5,F107&lt;=14),"Medium Order",F107&lt;5,"Regular Order")</f>
        <v>Bulk Order</v>
      </c>
    </row>
    <row r="108" spans="1:12" ht="15" thickBot="1" x14ac:dyDescent="0.4">
      <c r="A108" s="5">
        <v>1378</v>
      </c>
      <c r="B108" s="5" t="s">
        <v>55</v>
      </c>
      <c r="C108" s="5" t="s">
        <v>22</v>
      </c>
      <c r="D108" s="5" t="s">
        <v>34</v>
      </c>
      <c r="E108" s="5" t="s">
        <v>45</v>
      </c>
      <c r="F108" s="5">
        <v>15</v>
      </c>
      <c r="G108" s="5">
        <v>22693</v>
      </c>
      <c r="H108" s="5">
        <v>12</v>
      </c>
      <c r="I108" s="6">
        <v>46074</v>
      </c>
      <c r="J108" s="6">
        <v>46080</v>
      </c>
      <c r="K108" s="10" t="s">
        <v>51</v>
      </c>
      <c r="L108" s="18" t="str" cm="1">
        <f t="array" ref="L108">_xlfn.IFS(F108&gt;=15,"Bulk Order",AND(F108&gt;=5,F108&lt;=14),"Medium Order",F108&lt;5,"Regular Order")</f>
        <v>Bulk Order</v>
      </c>
    </row>
    <row r="109" spans="1:12" ht="15" thickBot="1" x14ac:dyDescent="0.4">
      <c r="A109" s="5">
        <v>1058</v>
      </c>
      <c r="B109" s="5" t="s">
        <v>52</v>
      </c>
      <c r="C109" s="5" t="s">
        <v>38</v>
      </c>
      <c r="D109" s="5" t="s">
        <v>18</v>
      </c>
      <c r="E109" s="5" t="s">
        <v>28</v>
      </c>
      <c r="F109" s="5">
        <v>10</v>
      </c>
      <c r="G109" s="5">
        <v>5532</v>
      </c>
      <c r="H109" s="5">
        <v>7</v>
      </c>
      <c r="I109" s="6">
        <v>46074</v>
      </c>
      <c r="J109" s="6">
        <v>46084</v>
      </c>
      <c r="K109" s="10" t="s">
        <v>24</v>
      </c>
      <c r="L109" s="18" t="str" cm="1">
        <f t="array" ref="L109">_xlfn.IFS(F109&gt;=15,"Bulk Order",AND(F109&gt;=5,F109&lt;=14),"Medium Order",F109&lt;5,"Regular Order")</f>
        <v>Medium Order</v>
      </c>
    </row>
    <row r="110" spans="1:12" ht="15" thickBot="1" x14ac:dyDescent="0.4">
      <c r="A110" s="5">
        <v>1337</v>
      </c>
      <c r="B110" s="5" t="s">
        <v>16</v>
      </c>
      <c r="C110" s="5" t="s">
        <v>12</v>
      </c>
      <c r="D110" s="5" t="s">
        <v>13</v>
      </c>
      <c r="E110" s="5" t="s">
        <v>53</v>
      </c>
      <c r="F110" s="5">
        <v>14</v>
      </c>
      <c r="G110" s="5">
        <v>373</v>
      </c>
      <c r="H110" s="5">
        <v>10</v>
      </c>
      <c r="I110" s="6">
        <v>46074</v>
      </c>
      <c r="J110" s="6">
        <v>46080</v>
      </c>
      <c r="K110" s="10" t="s">
        <v>29</v>
      </c>
      <c r="L110" s="18" t="str" cm="1">
        <f t="array" ref="L110">_xlfn.IFS(F110&gt;=15,"Bulk Order",AND(F110&gt;=5,F110&lt;=14),"Medium Order",F110&lt;5,"Regular Order")</f>
        <v>Medium Order</v>
      </c>
    </row>
    <row r="111" spans="1:12" ht="15" thickBot="1" x14ac:dyDescent="0.4">
      <c r="A111" s="5">
        <v>1201</v>
      </c>
      <c r="B111" s="5" t="s">
        <v>54</v>
      </c>
      <c r="C111" s="5" t="s">
        <v>31</v>
      </c>
      <c r="D111" s="5" t="s">
        <v>13</v>
      </c>
      <c r="E111" s="5" t="s">
        <v>53</v>
      </c>
      <c r="F111" s="5">
        <v>18</v>
      </c>
      <c r="G111" s="5">
        <v>139</v>
      </c>
      <c r="H111" s="5">
        <v>12</v>
      </c>
      <c r="I111" s="6">
        <v>46075</v>
      </c>
      <c r="J111" s="6">
        <v>46076</v>
      </c>
      <c r="K111" s="10" t="s">
        <v>20</v>
      </c>
      <c r="L111" s="18" t="str" cm="1">
        <f t="array" ref="L111">_xlfn.IFS(F111&gt;=15,"Bulk Order",AND(F111&gt;=5,F111&lt;=14),"Medium Order",F111&lt;5,"Regular Order")</f>
        <v>Bulk Order</v>
      </c>
    </row>
    <row r="112" spans="1:12" ht="15" thickBot="1" x14ac:dyDescent="0.4">
      <c r="A112" s="5">
        <v>1082</v>
      </c>
      <c r="B112" s="5" t="s">
        <v>21</v>
      </c>
      <c r="C112" s="5" t="s">
        <v>12</v>
      </c>
      <c r="D112" s="5" t="s">
        <v>13</v>
      </c>
      <c r="E112" s="5" t="s">
        <v>14</v>
      </c>
      <c r="F112" s="5">
        <v>7</v>
      </c>
      <c r="G112" s="5">
        <v>133</v>
      </c>
      <c r="H112" s="5">
        <v>10</v>
      </c>
      <c r="I112" s="6">
        <v>46075</v>
      </c>
      <c r="J112" s="6">
        <v>46085</v>
      </c>
      <c r="K112" s="10" t="s">
        <v>51</v>
      </c>
      <c r="L112" s="18" t="str" cm="1">
        <f t="array" ref="L112">_xlfn.IFS(F112&gt;=15,"Bulk Order",AND(F112&gt;=5,F112&lt;=14),"Medium Order",F112&lt;5,"Regular Order")</f>
        <v>Medium Order</v>
      </c>
    </row>
    <row r="113" spans="1:12" ht="15" thickBot="1" x14ac:dyDescent="0.4">
      <c r="A113" s="5">
        <v>1325</v>
      </c>
      <c r="B113" s="5" t="s">
        <v>48</v>
      </c>
      <c r="C113" s="5" t="s">
        <v>43</v>
      </c>
      <c r="D113" s="5" t="s">
        <v>34</v>
      </c>
      <c r="E113" s="5" t="s">
        <v>39</v>
      </c>
      <c r="F113" s="5">
        <v>9</v>
      </c>
      <c r="G113" s="5">
        <v>58442</v>
      </c>
      <c r="H113" s="5">
        <v>12</v>
      </c>
      <c r="I113" s="6">
        <v>46076</v>
      </c>
      <c r="J113" s="6">
        <v>46085</v>
      </c>
      <c r="K113" s="10" t="s">
        <v>20</v>
      </c>
      <c r="L113" s="18" t="str" cm="1">
        <f t="array" ref="L113">_xlfn.IFS(F113&gt;=15,"Bulk Order",AND(F113&gt;=5,F113&lt;=14),"Medium Order",F113&lt;5,"Regular Order")</f>
        <v>Medium Order</v>
      </c>
    </row>
    <row r="114" spans="1:12" ht="15" thickBot="1" x14ac:dyDescent="0.4">
      <c r="A114" s="5">
        <v>1107</v>
      </c>
      <c r="B114" s="5" t="s">
        <v>52</v>
      </c>
      <c r="C114" s="5" t="s">
        <v>17</v>
      </c>
      <c r="D114" s="5" t="s">
        <v>34</v>
      </c>
      <c r="E114" s="5" t="s">
        <v>60</v>
      </c>
      <c r="F114" s="5">
        <v>4</v>
      </c>
      <c r="G114" s="5">
        <v>14291</v>
      </c>
      <c r="H114" s="5">
        <v>2</v>
      </c>
      <c r="I114" s="6">
        <v>46076</v>
      </c>
      <c r="J114" s="6">
        <v>46078</v>
      </c>
      <c r="K114" s="10" t="s">
        <v>15</v>
      </c>
      <c r="L114" s="18" t="str" cm="1">
        <f t="array" ref="L114">_xlfn.IFS(F114&gt;=15,"Bulk Order",AND(F114&gt;=5,F114&lt;=14),"Medium Order",F114&lt;5,"Regular Order")</f>
        <v>Regular Order</v>
      </c>
    </row>
    <row r="115" spans="1:12" ht="15" thickBot="1" x14ac:dyDescent="0.4">
      <c r="A115" s="5">
        <v>1390</v>
      </c>
      <c r="B115" s="5" t="s">
        <v>58</v>
      </c>
      <c r="C115" s="5" t="s">
        <v>43</v>
      </c>
      <c r="D115" s="5" t="s">
        <v>18</v>
      </c>
      <c r="E115" s="5" t="s">
        <v>19</v>
      </c>
      <c r="F115" s="5">
        <v>9</v>
      </c>
      <c r="G115" s="5">
        <v>7670</v>
      </c>
      <c r="H115" s="5">
        <v>0</v>
      </c>
      <c r="I115" s="6">
        <v>46076</v>
      </c>
      <c r="J115" s="6">
        <v>46081</v>
      </c>
      <c r="K115" s="10" t="s">
        <v>51</v>
      </c>
      <c r="L115" s="18" t="str" cm="1">
        <f t="array" ref="L115">_xlfn.IFS(F115&gt;=15,"Bulk Order",AND(F115&gt;=5,F115&lt;=14),"Medium Order",F115&lt;5,"Regular Order")</f>
        <v>Medium Order</v>
      </c>
    </row>
    <row r="116" spans="1:12" ht="15" thickBot="1" x14ac:dyDescent="0.4">
      <c r="A116" s="5">
        <v>1113</v>
      </c>
      <c r="B116" s="5" t="s">
        <v>26</v>
      </c>
      <c r="C116" s="5" t="s">
        <v>43</v>
      </c>
      <c r="D116" s="5" t="s">
        <v>18</v>
      </c>
      <c r="E116" s="5" t="s">
        <v>56</v>
      </c>
      <c r="F116" s="5">
        <v>13</v>
      </c>
      <c r="G116" s="5">
        <v>6719</v>
      </c>
      <c r="H116" s="5">
        <v>15</v>
      </c>
      <c r="I116" s="6">
        <v>46076</v>
      </c>
      <c r="J116" s="6">
        <v>46081</v>
      </c>
      <c r="K116" s="10" t="s">
        <v>24</v>
      </c>
      <c r="L116" s="18" t="str" cm="1">
        <f t="array" ref="L116">_xlfn.IFS(F116&gt;=15,"Bulk Order",AND(F116&gt;=5,F116&lt;=14),"Medium Order",F116&lt;5,"Regular Order")</f>
        <v>Medium Order</v>
      </c>
    </row>
    <row r="117" spans="1:12" ht="15" thickBot="1" x14ac:dyDescent="0.4">
      <c r="A117" s="5">
        <v>1070</v>
      </c>
      <c r="B117" s="5" t="s">
        <v>52</v>
      </c>
      <c r="C117" s="5" t="s">
        <v>43</v>
      </c>
      <c r="D117" s="5" t="s">
        <v>13</v>
      </c>
      <c r="E117" s="5" t="s">
        <v>36</v>
      </c>
      <c r="F117" s="5">
        <v>10</v>
      </c>
      <c r="G117" s="5">
        <v>233</v>
      </c>
      <c r="H117" s="5">
        <v>7</v>
      </c>
      <c r="I117" s="6">
        <v>46076</v>
      </c>
      <c r="J117" s="6">
        <v>46077</v>
      </c>
      <c r="K117" s="10" t="s">
        <v>29</v>
      </c>
      <c r="L117" s="18" t="str" cm="1">
        <f t="array" ref="L117">_xlfn.IFS(F117&gt;=15,"Bulk Order",AND(F117&gt;=5,F117&lt;=14),"Medium Order",F117&lt;5,"Regular Order")</f>
        <v>Medium Order</v>
      </c>
    </row>
    <row r="118" spans="1:12" ht="15" thickBot="1" x14ac:dyDescent="0.4">
      <c r="A118" s="5">
        <v>1157</v>
      </c>
      <c r="B118" s="5" t="s">
        <v>52</v>
      </c>
      <c r="C118" s="5" t="s">
        <v>33</v>
      </c>
      <c r="D118" s="5" t="s">
        <v>13</v>
      </c>
      <c r="E118" s="5" t="s">
        <v>50</v>
      </c>
      <c r="F118" s="5">
        <v>3</v>
      </c>
      <c r="G118" s="5">
        <v>203</v>
      </c>
      <c r="H118" s="5">
        <v>15</v>
      </c>
      <c r="I118" s="6">
        <v>46076</v>
      </c>
      <c r="J118" s="6">
        <v>46080</v>
      </c>
      <c r="K118" s="10" t="s">
        <v>29</v>
      </c>
      <c r="L118" s="18" t="str" cm="1">
        <f t="array" ref="L118">_xlfn.IFS(F118&gt;=15,"Bulk Order",AND(F118&gt;=5,F118&lt;=14),"Medium Order",F118&lt;5,"Regular Order")</f>
        <v>Regular Order</v>
      </c>
    </row>
    <row r="119" spans="1:12" ht="15" thickBot="1" x14ac:dyDescent="0.4">
      <c r="A119" s="5">
        <v>1110</v>
      </c>
      <c r="B119" s="5" t="s">
        <v>49</v>
      </c>
      <c r="C119" s="5" t="s">
        <v>38</v>
      </c>
      <c r="D119" s="5" t="s">
        <v>18</v>
      </c>
      <c r="E119" s="5" t="s">
        <v>23</v>
      </c>
      <c r="F119" s="5">
        <v>14</v>
      </c>
      <c r="G119" s="5">
        <v>6793</v>
      </c>
      <c r="H119" s="5">
        <v>7</v>
      </c>
      <c r="I119" s="6">
        <v>46077</v>
      </c>
      <c r="J119" s="6">
        <v>46082</v>
      </c>
      <c r="K119" s="10" t="s">
        <v>29</v>
      </c>
      <c r="L119" s="18" t="str" cm="1">
        <f t="array" ref="L119">_xlfn.IFS(F119&gt;=15,"Bulk Order",AND(F119&gt;=5,F119&lt;=14),"Medium Order",F119&lt;5,"Regular Order")</f>
        <v>Medium Order</v>
      </c>
    </row>
    <row r="120" spans="1:12" ht="15" thickBot="1" x14ac:dyDescent="0.4">
      <c r="A120" s="5">
        <v>1223</v>
      </c>
      <c r="B120" s="5" t="s">
        <v>59</v>
      </c>
      <c r="C120" s="5" t="s">
        <v>17</v>
      </c>
      <c r="D120" s="5" t="s">
        <v>18</v>
      </c>
      <c r="E120" s="5" t="s">
        <v>23</v>
      </c>
      <c r="F120" s="5">
        <v>4</v>
      </c>
      <c r="G120" s="5">
        <v>2249</v>
      </c>
      <c r="H120" s="5">
        <v>7</v>
      </c>
      <c r="I120" s="6">
        <v>46077</v>
      </c>
      <c r="J120" s="6">
        <v>46084</v>
      </c>
      <c r="K120" s="10" t="s">
        <v>15</v>
      </c>
      <c r="L120" s="18" t="str" cm="1">
        <f t="array" ref="L120">_xlfn.IFS(F120&gt;=15,"Bulk Order",AND(F120&gt;=5,F120&lt;=14),"Medium Order",F120&lt;5,"Regular Order")</f>
        <v>Regular Order</v>
      </c>
    </row>
    <row r="121" spans="1:12" ht="15" thickBot="1" x14ac:dyDescent="0.4">
      <c r="A121" s="5">
        <v>1055</v>
      </c>
      <c r="B121" s="5" t="s">
        <v>48</v>
      </c>
      <c r="C121" s="5" t="s">
        <v>12</v>
      </c>
      <c r="D121" s="5" t="s">
        <v>13</v>
      </c>
      <c r="E121" s="5" t="s">
        <v>37</v>
      </c>
      <c r="F121" s="5">
        <v>18</v>
      </c>
      <c r="G121" s="5">
        <v>185</v>
      </c>
      <c r="H121" s="5">
        <v>15</v>
      </c>
      <c r="I121" s="6">
        <v>46077</v>
      </c>
      <c r="J121" s="6">
        <v>46078</v>
      </c>
      <c r="K121" s="10" t="s">
        <v>15</v>
      </c>
      <c r="L121" s="18" t="str" cm="1">
        <f t="array" ref="L121">_xlfn.IFS(F121&gt;=15,"Bulk Order",AND(F121&gt;=5,F121&lt;=14),"Medium Order",F121&lt;5,"Regular Order")</f>
        <v>Bulk Order</v>
      </c>
    </row>
    <row r="122" spans="1:12" ht="15" thickBot="1" x14ac:dyDescent="0.4">
      <c r="A122" s="5">
        <v>1272</v>
      </c>
      <c r="B122" s="5" t="s">
        <v>52</v>
      </c>
      <c r="C122" s="5" t="s">
        <v>38</v>
      </c>
      <c r="D122" s="5" t="s">
        <v>34</v>
      </c>
      <c r="E122" s="5" t="s">
        <v>41</v>
      </c>
      <c r="F122" s="5">
        <v>13</v>
      </c>
      <c r="G122" s="5">
        <v>42179</v>
      </c>
      <c r="H122" s="5">
        <v>0</v>
      </c>
      <c r="I122" s="6">
        <v>46078</v>
      </c>
      <c r="J122" s="6">
        <v>46084</v>
      </c>
      <c r="K122" s="10" t="s">
        <v>20</v>
      </c>
      <c r="L122" s="18" t="str" cm="1">
        <f t="array" ref="L122">_xlfn.IFS(F122&gt;=15,"Bulk Order",AND(F122&gt;=5,F122&lt;=14),"Medium Order",F122&lt;5,"Regular Order")</f>
        <v>Medium Order</v>
      </c>
    </row>
    <row r="123" spans="1:12" ht="15" thickBot="1" x14ac:dyDescent="0.4">
      <c r="A123" s="5">
        <v>1316</v>
      </c>
      <c r="B123" s="5" t="s">
        <v>46</v>
      </c>
      <c r="C123" s="5" t="s">
        <v>12</v>
      </c>
      <c r="D123" s="5" t="s">
        <v>18</v>
      </c>
      <c r="E123" s="5" t="s">
        <v>28</v>
      </c>
      <c r="F123" s="5">
        <v>7</v>
      </c>
      <c r="G123" s="5">
        <v>9838</v>
      </c>
      <c r="H123" s="5">
        <v>7</v>
      </c>
      <c r="I123" s="6">
        <v>46078</v>
      </c>
      <c r="J123" s="6">
        <v>46085</v>
      </c>
      <c r="K123" s="10" t="s">
        <v>20</v>
      </c>
      <c r="L123" s="18" t="str" cm="1">
        <f t="array" ref="L123">_xlfn.IFS(F123&gt;=15,"Bulk Order",AND(F123&gt;=5,F123&lt;=14),"Medium Order",F123&lt;5,"Regular Order")</f>
        <v>Medium Order</v>
      </c>
    </row>
    <row r="124" spans="1:12" ht="15" thickBot="1" x14ac:dyDescent="0.4">
      <c r="A124" s="5">
        <v>1020</v>
      </c>
      <c r="B124" s="5" t="s">
        <v>46</v>
      </c>
      <c r="C124" s="5" t="s">
        <v>12</v>
      </c>
      <c r="D124" s="5" t="s">
        <v>18</v>
      </c>
      <c r="E124" s="5" t="s">
        <v>19</v>
      </c>
      <c r="F124" s="5">
        <v>5</v>
      </c>
      <c r="G124" s="5">
        <v>4582</v>
      </c>
      <c r="H124" s="5">
        <v>5</v>
      </c>
      <c r="I124" s="6">
        <v>46078</v>
      </c>
      <c r="J124" s="6">
        <v>46083</v>
      </c>
      <c r="K124" s="10" t="s">
        <v>15</v>
      </c>
      <c r="L124" s="18" t="str" cm="1">
        <f t="array" ref="L124">_xlfn.IFS(F124&gt;=15,"Bulk Order",AND(F124&gt;=5,F124&lt;=14),"Medium Order",F124&lt;5,"Regular Order")</f>
        <v>Medium Order</v>
      </c>
    </row>
    <row r="125" spans="1:12" ht="15" thickBot="1" x14ac:dyDescent="0.4">
      <c r="A125" s="5">
        <v>1349</v>
      </c>
      <c r="B125" s="5" t="s">
        <v>40</v>
      </c>
      <c r="C125" s="5" t="s">
        <v>33</v>
      </c>
      <c r="D125" s="5" t="s">
        <v>34</v>
      </c>
      <c r="E125" s="5" t="s">
        <v>35</v>
      </c>
      <c r="F125" s="5">
        <v>20</v>
      </c>
      <c r="G125" s="5">
        <v>62721</v>
      </c>
      <c r="H125" s="5">
        <v>7</v>
      </c>
      <c r="I125" s="6">
        <v>46079</v>
      </c>
      <c r="J125" s="6">
        <v>46083</v>
      </c>
      <c r="K125" s="10" t="s">
        <v>20</v>
      </c>
      <c r="L125" s="18" t="str" cm="1">
        <f t="array" ref="L125">_xlfn.IFS(F125&gt;=15,"Bulk Order",AND(F125&gt;=5,F125&lt;=14),"Medium Order",F125&lt;5,"Regular Order")</f>
        <v>Bulk Order</v>
      </c>
    </row>
    <row r="126" spans="1:12" ht="15" thickBot="1" x14ac:dyDescent="0.4">
      <c r="A126" s="5">
        <v>1158</v>
      </c>
      <c r="B126" s="5" t="s">
        <v>26</v>
      </c>
      <c r="C126" s="5" t="s">
        <v>38</v>
      </c>
      <c r="D126" s="5" t="s">
        <v>34</v>
      </c>
      <c r="E126" s="5" t="s">
        <v>41</v>
      </c>
      <c r="F126" s="5">
        <v>13</v>
      </c>
      <c r="G126" s="5">
        <v>12518</v>
      </c>
      <c r="H126" s="5">
        <v>2</v>
      </c>
      <c r="I126" s="6">
        <v>46079</v>
      </c>
      <c r="J126" s="6">
        <v>46082</v>
      </c>
      <c r="K126" s="10" t="s">
        <v>51</v>
      </c>
      <c r="L126" s="18" t="str" cm="1">
        <f t="array" ref="L126">_xlfn.IFS(F126&gt;=15,"Bulk Order",AND(F126&gt;=5,F126&lt;=14),"Medium Order",F126&lt;5,"Regular Order")</f>
        <v>Medium Order</v>
      </c>
    </row>
    <row r="127" spans="1:12" ht="15" thickBot="1" x14ac:dyDescent="0.4">
      <c r="A127" s="5">
        <v>1163</v>
      </c>
      <c r="B127" s="5" t="s">
        <v>29</v>
      </c>
      <c r="C127" s="5" t="s">
        <v>38</v>
      </c>
      <c r="D127" s="5" t="s">
        <v>34</v>
      </c>
      <c r="E127" s="5" t="s">
        <v>39</v>
      </c>
      <c r="F127" s="5">
        <v>9</v>
      </c>
      <c r="G127" s="5">
        <v>62440</v>
      </c>
      <c r="H127" s="5">
        <v>2</v>
      </c>
      <c r="I127" s="6">
        <v>46081</v>
      </c>
      <c r="J127" s="6">
        <v>46086</v>
      </c>
      <c r="K127" s="10" t="s">
        <v>29</v>
      </c>
      <c r="L127" s="18" t="str" cm="1">
        <f t="array" ref="L127">_xlfn.IFS(F127&gt;=15,"Bulk Order",AND(F127&gt;=5,F127&lt;=14),"Medium Order",F127&lt;5,"Regular Order")</f>
        <v>Medium Order</v>
      </c>
    </row>
    <row r="128" spans="1:12" ht="15" thickBot="1" x14ac:dyDescent="0.4">
      <c r="A128" s="5">
        <v>1042</v>
      </c>
      <c r="B128" s="5" t="s">
        <v>46</v>
      </c>
      <c r="C128" s="5" t="s">
        <v>33</v>
      </c>
      <c r="D128" s="5" t="s">
        <v>13</v>
      </c>
      <c r="E128" s="5" t="s">
        <v>53</v>
      </c>
      <c r="F128" s="5">
        <v>16</v>
      </c>
      <c r="G128" s="5">
        <v>232</v>
      </c>
      <c r="H128" s="5">
        <v>0</v>
      </c>
      <c r="I128" s="6">
        <v>46081</v>
      </c>
      <c r="J128" s="6">
        <v>46088</v>
      </c>
      <c r="K128" s="10" t="s">
        <v>29</v>
      </c>
      <c r="L128" s="18" t="str" cm="1">
        <f t="array" ref="L128">_xlfn.IFS(F128&gt;=15,"Bulk Order",AND(F128&gt;=5,F128&lt;=14),"Medium Order",F128&lt;5,"Regular Order")</f>
        <v>Bulk Order</v>
      </c>
    </row>
    <row r="129" spans="1:12" ht="15" thickBot="1" x14ac:dyDescent="0.4">
      <c r="A129" s="5">
        <v>1001</v>
      </c>
      <c r="B129" s="5" t="s">
        <v>11</v>
      </c>
      <c r="C129" s="5" t="s">
        <v>12</v>
      </c>
      <c r="D129" s="5" t="s">
        <v>13</v>
      </c>
      <c r="E129" s="5" t="s">
        <v>14</v>
      </c>
      <c r="F129" s="5">
        <v>3</v>
      </c>
      <c r="G129" s="5">
        <v>222</v>
      </c>
      <c r="H129" s="5">
        <v>15</v>
      </c>
      <c r="I129" s="6">
        <v>46081</v>
      </c>
      <c r="J129" s="6">
        <v>46083</v>
      </c>
      <c r="K129" s="10" t="s">
        <v>15</v>
      </c>
      <c r="L129" s="18" t="str" cm="1">
        <f t="array" ref="L129">_xlfn.IFS(F129&gt;=15,"Bulk Order",AND(F129&gt;=5,F129&lt;=14),"Medium Order",F129&lt;5,"Regular Order")</f>
        <v>Regular Order</v>
      </c>
    </row>
    <row r="130" spans="1:12" ht="15" thickBot="1" x14ac:dyDescent="0.4">
      <c r="A130" s="5">
        <v>1202</v>
      </c>
      <c r="B130" s="5" t="s">
        <v>57</v>
      </c>
      <c r="C130" s="5" t="s">
        <v>22</v>
      </c>
      <c r="D130" s="5" t="s">
        <v>34</v>
      </c>
      <c r="E130" s="5" t="s">
        <v>35</v>
      </c>
      <c r="F130" s="5">
        <v>2</v>
      </c>
      <c r="G130" s="5">
        <v>20312</v>
      </c>
      <c r="H130" s="5">
        <v>12</v>
      </c>
      <c r="I130" s="6">
        <v>46082</v>
      </c>
      <c r="J130" s="6">
        <v>46091</v>
      </c>
      <c r="K130" s="10" t="s">
        <v>15</v>
      </c>
      <c r="L130" s="18" t="str" cm="1">
        <f t="array" ref="L130">_xlfn.IFS(F130&gt;=15,"Bulk Order",AND(F130&gt;=5,F130&lt;=14),"Medium Order",F130&lt;5,"Regular Order")</f>
        <v>Regular Order</v>
      </c>
    </row>
    <row r="131" spans="1:12" ht="15" thickBot="1" x14ac:dyDescent="0.4">
      <c r="A131" s="5">
        <v>1066</v>
      </c>
      <c r="B131" s="5" t="s">
        <v>47</v>
      </c>
      <c r="C131" s="5" t="s">
        <v>25</v>
      </c>
      <c r="D131" s="5" t="s">
        <v>18</v>
      </c>
      <c r="E131" s="5" t="s">
        <v>44</v>
      </c>
      <c r="F131" s="5">
        <v>15</v>
      </c>
      <c r="G131" s="5">
        <v>11987</v>
      </c>
      <c r="H131" s="5">
        <v>5</v>
      </c>
      <c r="I131" s="6">
        <v>46082</v>
      </c>
      <c r="J131" s="6">
        <v>46083</v>
      </c>
      <c r="K131" s="10" t="s">
        <v>15</v>
      </c>
      <c r="L131" s="18" t="str" cm="1">
        <f t="array" ref="L131">_xlfn.IFS(F131&gt;=15,"Bulk Order",AND(F131&gt;=5,F131&lt;=14),"Medium Order",F131&lt;5,"Regular Order")</f>
        <v>Bulk Order</v>
      </c>
    </row>
    <row r="132" spans="1:12" ht="15" thickBot="1" x14ac:dyDescent="0.4">
      <c r="A132" s="5">
        <v>1033</v>
      </c>
      <c r="B132" s="5" t="s">
        <v>11</v>
      </c>
      <c r="C132" s="5" t="s">
        <v>43</v>
      </c>
      <c r="D132" s="5" t="s">
        <v>18</v>
      </c>
      <c r="E132" s="5" t="s">
        <v>19</v>
      </c>
      <c r="F132" s="5">
        <v>9</v>
      </c>
      <c r="G132" s="5">
        <v>4895</v>
      </c>
      <c r="H132" s="5">
        <v>2</v>
      </c>
      <c r="I132" s="6">
        <v>46082</v>
      </c>
      <c r="J132" s="6">
        <v>46084</v>
      </c>
      <c r="K132" s="10" t="s">
        <v>29</v>
      </c>
      <c r="L132" s="18" t="str" cm="1">
        <f t="array" ref="L132">_xlfn.IFS(F132&gt;=15,"Bulk Order",AND(F132&gt;=5,F132&lt;=14),"Medium Order",F132&lt;5,"Regular Order")</f>
        <v>Medium Order</v>
      </c>
    </row>
    <row r="133" spans="1:12" ht="15" thickBot="1" x14ac:dyDescent="0.4">
      <c r="A133" s="5">
        <v>1284</v>
      </c>
      <c r="B133" s="5" t="s">
        <v>40</v>
      </c>
      <c r="C133" s="5" t="s">
        <v>25</v>
      </c>
      <c r="D133" s="5" t="s">
        <v>13</v>
      </c>
      <c r="E133" s="5" t="s">
        <v>37</v>
      </c>
      <c r="F133" s="5">
        <v>16</v>
      </c>
      <c r="G133" s="5">
        <v>419</v>
      </c>
      <c r="H133" s="5">
        <v>2</v>
      </c>
      <c r="I133" s="6">
        <v>46082</v>
      </c>
      <c r="J133" s="6">
        <v>46090</v>
      </c>
      <c r="K133" s="10" t="s">
        <v>15</v>
      </c>
      <c r="L133" s="18" t="str" cm="1">
        <f t="array" ref="L133">_xlfn.IFS(F133&gt;=15,"Bulk Order",AND(F133&gt;=5,F133&lt;=14),"Medium Order",F133&lt;5,"Regular Order")</f>
        <v>Bulk Order</v>
      </c>
    </row>
    <row r="134" spans="1:12" ht="15" thickBot="1" x14ac:dyDescent="0.4">
      <c r="A134" s="5">
        <v>1017</v>
      </c>
      <c r="B134" s="5" t="s">
        <v>46</v>
      </c>
      <c r="C134" s="5" t="s">
        <v>38</v>
      </c>
      <c r="D134" s="5" t="s">
        <v>13</v>
      </c>
      <c r="E134" s="5" t="s">
        <v>36</v>
      </c>
      <c r="F134" s="5">
        <v>8</v>
      </c>
      <c r="G134" s="5">
        <v>179</v>
      </c>
      <c r="H134" s="5">
        <v>15</v>
      </c>
      <c r="I134" s="6">
        <v>46082</v>
      </c>
      <c r="J134" s="6">
        <v>46084</v>
      </c>
      <c r="K134" s="10" t="s">
        <v>15</v>
      </c>
      <c r="L134" s="18" t="str" cm="1">
        <f t="array" ref="L134">_xlfn.IFS(F134&gt;=15,"Bulk Order",AND(F134&gt;=5,F134&lt;=14),"Medium Order",F134&lt;5,"Regular Order")</f>
        <v>Medium Order</v>
      </c>
    </row>
    <row r="135" spans="1:12" ht="15" thickBot="1" x14ac:dyDescent="0.4">
      <c r="A135" s="5">
        <v>1271</v>
      </c>
      <c r="B135" s="5" t="s">
        <v>40</v>
      </c>
      <c r="C135" s="5" t="s">
        <v>33</v>
      </c>
      <c r="D135" s="5" t="s">
        <v>34</v>
      </c>
      <c r="E135" s="5" t="s">
        <v>60</v>
      </c>
      <c r="F135" s="5">
        <v>20</v>
      </c>
      <c r="G135" s="5">
        <v>36941</v>
      </c>
      <c r="H135" s="5">
        <v>15</v>
      </c>
      <c r="I135" s="6">
        <v>46083</v>
      </c>
      <c r="J135" s="6">
        <v>46085</v>
      </c>
      <c r="K135" s="10" t="s">
        <v>29</v>
      </c>
      <c r="L135" s="18" t="str" cm="1">
        <f t="array" ref="L135">_xlfn.IFS(F135&gt;=15,"Bulk Order",AND(F135&gt;=5,F135&lt;=14),"Medium Order",F135&lt;5,"Regular Order")</f>
        <v>Bulk Order</v>
      </c>
    </row>
    <row r="136" spans="1:12" ht="15" thickBot="1" x14ac:dyDescent="0.4">
      <c r="A136" s="5">
        <v>1298</v>
      </c>
      <c r="B136" s="5" t="s">
        <v>21</v>
      </c>
      <c r="C136" s="5" t="s">
        <v>12</v>
      </c>
      <c r="D136" s="5" t="s">
        <v>34</v>
      </c>
      <c r="E136" s="5" t="s">
        <v>61</v>
      </c>
      <c r="F136" s="5">
        <v>19</v>
      </c>
      <c r="G136" s="5">
        <v>20745</v>
      </c>
      <c r="H136" s="5">
        <v>2</v>
      </c>
      <c r="I136" s="6">
        <v>46083</v>
      </c>
      <c r="J136" s="6">
        <v>46093</v>
      </c>
      <c r="K136" s="10" t="s">
        <v>24</v>
      </c>
      <c r="L136" s="18" t="str" cm="1">
        <f t="array" ref="L136">_xlfn.IFS(F136&gt;=15,"Bulk Order",AND(F136&gt;=5,F136&lt;=14),"Medium Order",F136&lt;5,"Regular Order")</f>
        <v>Bulk Order</v>
      </c>
    </row>
    <row r="137" spans="1:12" ht="15" thickBot="1" x14ac:dyDescent="0.4">
      <c r="A137" s="5">
        <v>1078</v>
      </c>
      <c r="B137" s="5" t="s">
        <v>52</v>
      </c>
      <c r="C137" s="5" t="s">
        <v>17</v>
      </c>
      <c r="D137" s="5" t="s">
        <v>34</v>
      </c>
      <c r="E137" s="5" t="s">
        <v>39</v>
      </c>
      <c r="F137" s="5">
        <v>11</v>
      </c>
      <c r="G137" s="5">
        <v>24278</v>
      </c>
      <c r="H137" s="5">
        <v>12</v>
      </c>
      <c r="I137" s="6">
        <v>46084</v>
      </c>
      <c r="J137" s="6">
        <v>46090</v>
      </c>
      <c r="K137" s="10" t="s">
        <v>29</v>
      </c>
      <c r="L137" s="18" t="str" cm="1">
        <f t="array" ref="L137">_xlfn.IFS(F137&gt;=15,"Bulk Order",AND(F137&gt;=5,F137&lt;=14),"Medium Order",F137&lt;5,"Regular Order")</f>
        <v>Medium Order</v>
      </c>
    </row>
    <row r="138" spans="1:12" ht="15" thickBot="1" x14ac:dyDescent="0.4">
      <c r="A138" s="5">
        <v>1138</v>
      </c>
      <c r="B138" s="5" t="s">
        <v>55</v>
      </c>
      <c r="C138" s="5" t="s">
        <v>43</v>
      </c>
      <c r="D138" s="5" t="s">
        <v>18</v>
      </c>
      <c r="E138" s="5" t="s">
        <v>19</v>
      </c>
      <c r="F138" s="5">
        <v>5</v>
      </c>
      <c r="G138" s="5">
        <v>14466</v>
      </c>
      <c r="H138" s="5">
        <v>2</v>
      </c>
      <c r="I138" s="6">
        <v>46084</v>
      </c>
      <c r="J138" s="6">
        <v>46092</v>
      </c>
      <c r="K138" s="10" t="s">
        <v>51</v>
      </c>
      <c r="L138" s="18" t="str" cm="1">
        <f t="array" ref="L138">_xlfn.IFS(F138&gt;=15,"Bulk Order",AND(F138&gt;=5,F138&lt;=14),"Medium Order",F138&lt;5,"Regular Order")</f>
        <v>Medium Order</v>
      </c>
    </row>
    <row r="139" spans="1:12" ht="15" thickBot="1" x14ac:dyDescent="0.4">
      <c r="A139" s="5">
        <v>1280</v>
      </c>
      <c r="B139" s="5" t="s">
        <v>59</v>
      </c>
      <c r="C139" s="5" t="s">
        <v>38</v>
      </c>
      <c r="D139" s="5" t="s">
        <v>13</v>
      </c>
      <c r="E139" s="5" t="s">
        <v>53</v>
      </c>
      <c r="F139" s="5">
        <v>9</v>
      </c>
      <c r="G139" s="5">
        <v>50</v>
      </c>
      <c r="H139" s="5">
        <v>7</v>
      </c>
      <c r="I139" s="6">
        <v>46085</v>
      </c>
      <c r="J139" s="6">
        <v>46095</v>
      </c>
      <c r="K139" s="10" t="s">
        <v>51</v>
      </c>
      <c r="L139" s="18" t="str" cm="1">
        <f t="array" ref="L139">_xlfn.IFS(F139&gt;=15,"Bulk Order",AND(F139&gt;=5,F139&lt;=14),"Medium Order",F139&lt;5,"Regular Order")</f>
        <v>Medium Order</v>
      </c>
    </row>
    <row r="140" spans="1:12" ht="15" thickBot="1" x14ac:dyDescent="0.4">
      <c r="A140" s="5">
        <v>1012</v>
      </c>
      <c r="B140" s="5" t="s">
        <v>26</v>
      </c>
      <c r="C140" s="5" t="s">
        <v>38</v>
      </c>
      <c r="D140" s="5" t="s">
        <v>34</v>
      </c>
      <c r="E140" s="5" t="s">
        <v>39</v>
      </c>
      <c r="F140" s="5">
        <v>3</v>
      </c>
      <c r="G140" s="5">
        <v>64615</v>
      </c>
      <c r="H140" s="5">
        <v>10</v>
      </c>
      <c r="I140" s="6">
        <v>46086</v>
      </c>
      <c r="J140" s="6">
        <v>46095</v>
      </c>
      <c r="K140" s="10" t="s">
        <v>29</v>
      </c>
      <c r="L140" s="18" t="str" cm="1">
        <f t="array" ref="L140">_xlfn.IFS(F140&gt;=15,"Bulk Order",AND(F140&gt;=5,F140&lt;=14),"Medium Order",F140&lt;5,"Regular Order")</f>
        <v>Regular Order</v>
      </c>
    </row>
    <row r="141" spans="1:12" ht="15" thickBot="1" x14ac:dyDescent="0.4">
      <c r="A141" s="5">
        <v>1336</v>
      </c>
      <c r="B141" s="5" t="s">
        <v>16</v>
      </c>
      <c r="C141" s="5" t="s">
        <v>25</v>
      </c>
      <c r="D141" s="5" t="s">
        <v>18</v>
      </c>
      <c r="E141" s="5" t="s">
        <v>56</v>
      </c>
      <c r="F141" s="5">
        <v>10</v>
      </c>
      <c r="G141" s="5">
        <v>5624</v>
      </c>
      <c r="H141" s="5">
        <v>0</v>
      </c>
      <c r="I141" s="6">
        <v>46086</v>
      </c>
      <c r="J141" s="6">
        <v>46092</v>
      </c>
      <c r="K141" s="10" t="s">
        <v>29</v>
      </c>
      <c r="L141" s="18" t="str" cm="1">
        <f t="array" ref="L141">_xlfn.IFS(F141&gt;=15,"Bulk Order",AND(F141&gt;=5,F141&lt;=14),"Medium Order",F141&lt;5,"Regular Order")</f>
        <v>Medium Order</v>
      </c>
    </row>
    <row r="142" spans="1:12" ht="15" thickBot="1" x14ac:dyDescent="0.4">
      <c r="A142" s="5">
        <v>1277</v>
      </c>
      <c r="B142" s="5" t="s">
        <v>59</v>
      </c>
      <c r="C142" s="5" t="s">
        <v>17</v>
      </c>
      <c r="D142" s="5" t="s">
        <v>13</v>
      </c>
      <c r="E142" s="5" t="s">
        <v>36</v>
      </c>
      <c r="F142" s="5">
        <v>14</v>
      </c>
      <c r="G142" s="5">
        <v>276</v>
      </c>
      <c r="H142" s="5">
        <v>0</v>
      </c>
      <c r="I142" s="6">
        <v>46086</v>
      </c>
      <c r="J142" s="6">
        <v>46089</v>
      </c>
      <c r="K142" s="10" t="s">
        <v>15</v>
      </c>
      <c r="L142" s="18" t="str" cm="1">
        <f t="array" ref="L142">_xlfn.IFS(F142&gt;=15,"Bulk Order",AND(F142&gt;=5,F142&lt;=14),"Medium Order",F142&lt;5,"Regular Order")</f>
        <v>Medium Order</v>
      </c>
    </row>
    <row r="143" spans="1:12" ht="15" thickBot="1" x14ac:dyDescent="0.4">
      <c r="A143" s="5">
        <v>1090</v>
      </c>
      <c r="B143" s="5" t="s">
        <v>49</v>
      </c>
      <c r="C143" s="5" t="s">
        <v>31</v>
      </c>
      <c r="D143" s="5" t="s">
        <v>34</v>
      </c>
      <c r="E143" s="5" t="s">
        <v>45</v>
      </c>
      <c r="F143" s="5">
        <v>19</v>
      </c>
      <c r="G143" s="5">
        <v>66139</v>
      </c>
      <c r="H143" s="5">
        <v>5</v>
      </c>
      <c r="I143" s="6">
        <v>46088</v>
      </c>
      <c r="J143" s="6">
        <v>46095</v>
      </c>
      <c r="K143" s="10" t="s">
        <v>24</v>
      </c>
      <c r="L143" s="18" t="str" cm="1">
        <f t="array" ref="L143">_xlfn.IFS(F143&gt;=15,"Bulk Order",AND(F143&gt;=5,F143&lt;=14),"Medium Order",F143&lt;5,"Regular Order")</f>
        <v>Bulk Order</v>
      </c>
    </row>
    <row r="144" spans="1:12" ht="15" thickBot="1" x14ac:dyDescent="0.4">
      <c r="A144" s="5">
        <v>1175</v>
      </c>
      <c r="B144" s="5" t="s">
        <v>26</v>
      </c>
      <c r="C144" s="5" t="s">
        <v>17</v>
      </c>
      <c r="D144" s="5" t="s">
        <v>34</v>
      </c>
      <c r="E144" s="5" t="s">
        <v>41</v>
      </c>
      <c r="F144" s="5">
        <v>10</v>
      </c>
      <c r="G144" s="5">
        <v>20339</v>
      </c>
      <c r="H144" s="5">
        <v>2</v>
      </c>
      <c r="I144" s="6">
        <v>46088</v>
      </c>
      <c r="J144" s="6">
        <v>46094</v>
      </c>
      <c r="K144" s="10" t="s">
        <v>20</v>
      </c>
      <c r="L144" s="18" t="str" cm="1">
        <f t="array" ref="L144">_xlfn.IFS(F144&gt;=15,"Bulk Order",AND(F144&gt;=5,F144&lt;=14),"Medium Order",F144&lt;5,"Regular Order")</f>
        <v>Medium Order</v>
      </c>
    </row>
    <row r="145" spans="1:12" ht="15" thickBot="1" x14ac:dyDescent="0.4">
      <c r="A145" s="5">
        <v>1097</v>
      </c>
      <c r="B145" s="5" t="s">
        <v>52</v>
      </c>
      <c r="C145" s="5" t="s">
        <v>22</v>
      </c>
      <c r="D145" s="5" t="s">
        <v>34</v>
      </c>
      <c r="E145" s="5" t="s">
        <v>61</v>
      </c>
      <c r="F145" s="5">
        <v>10</v>
      </c>
      <c r="G145" s="5">
        <v>28980</v>
      </c>
      <c r="H145" s="5">
        <v>10</v>
      </c>
      <c r="I145" s="6">
        <v>46089</v>
      </c>
      <c r="J145" s="6">
        <v>46094</v>
      </c>
      <c r="K145" s="10" t="s">
        <v>24</v>
      </c>
      <c r="L145" s="18" t="str" cm="1">
        <f t="array" ref="L145">_xlfn.IFS(F145&gt;=15,"Bulk Order",AND(F145&gt;=5,F145&lt;=14),"Medium Order",F145&lt;5,"Regular Order")</f>
        <v>Medium Order</v>
      </c>
    </row>
    <row r="146" spans="1:12" ht="15" thickBot="1" x14ac:dyDescent="0.4">
      <c r="A146" s="5">
        <v>1381</v>
      </c>
      <c r="B146" s="5" t="s">
        <v>55</v>
      </c>
      <c r="C146" s="5" t="s">
        <v>33</v>
      </c>
      <c r="D146" s="5" t="s">
        <v>18</v>
      </c>
      <c r="E146" s="5" t="s">
        <v>28</v>
      </c>
      <c r="F146" s="5">
        <v>5</v>
      </c>
      <c r="G146" s="5">
        <v>7484</v>
      </c>
      <c r="H146" s="5">
        <v>2</v>
      </c>
      <c r="I146" s="6">
        <v>46089</v>
      </c>
      <c r="J146" s="6">
        <v>46093</v>
      </c>
      <c r="K146" s="10" t="s">
        <v>20</v>
      </c>
      <c r="L146" s="18" t="str" cm="1">
        <f t="array" ref="L146">_xlfn.IFS(F146&gt;=15,"Bulk Order",AND(F146&gt;=5,F146&lt;=14),"Medium Order",F146&lt;5,"Regular Order")</f>
        <v>Medium Order</v>
      </c>
    </row>
    <row r="147" spans="1:12" ht="15" thickBot="1" x14ac:dyDescent="0.4">
      <c r="A147" s="5">
        <v>1018</v>
      </c>
      <c r="B147" s="5" t="s">
        <v>47</v>
      </c>
      <c r="C147" s="5" t="s">
        <v>25</v>
      </c>
      <c r="D147" s="5" t="s">
        <v>13</v>
      </c>
      <c r="E147" s="5" t="s">
        <v>14</v>
      </c>
      <c r="F147" s="5">
        <v>20</v>
      </c>
      <c r="G147" s="5">
        <v>301</v>
      </c>
      <c r="H147" s="5">
        <v>0</v>
      </c>
      <c r="I147" s="6">
        <v>46089</v>
      </c>
      <c r="J147" s="6">
        <v>46094</v>
      </c>
      <c r="K147" s="10" t="s">
        <v>29</v>
      </c>
      <c r="L147" s="18" t="str" cm="1">
        <f t="array" ref="L147">_xlfn.IFS(F147&gt;=15,"Bulk Order",AND(F147&gt;=5,F147&lt;=14),"Medium Order",F147&lt;5,"Regular Order")</f>
        <v>Bulk Order</v>
      </c>
    </row>
    <row r="148" spans="1:12" ht="15" thickBot="1" x14ac:dyDescent="0.4">
      <c r="A148" s="5">
        <v>1031</v>
      </c>
      <c r="B148" s="5" t="s">
        <v>54</v>
      </c>
      <c r="C148" s="5" t="s">
        <v>31</v>
      </c>
      <c r="D148" s="5" t="s">
        <v>13</v>
      </c>
      <c r="E148" s="5" t="s">
        <v>53</v>
      </c>
      <c r="F148" s="5">
        <v>2</v>
      </c>
      <c r="G148" s="5">
        <v>184</v>
      </c>
      <c r="H148" s="5">
        <v>5</v>
      </c>
      <c r="I148" s="6">
        <v>46089</v>
      </c>
      <c r="J148" s="6">
        <v>46093</v>
      </c>
      <c r="K148" s="10" t="s">
        <v>20</v>
      </c>
      <c r="L148" s="18" t="str" cm="1">
        <f t="array" ref="L148">_xlfn.IFS(F148&gt;=15,"Bulk Order",AND(F148&gt;=5,F148&lt;=14),"Medium Order",F148&lt;5,"Regular Order")</f>
        <v>Regular Order</v>
      </c>
    </row>
    <row r="149" spans="1:12" ht="15" thickBot="1" x14ac:dyDescent="0.4">
      <c r="A149" s="5">
        <v>1399</v>
      </c>
      <c r="B149" s="5" t="s">
        <v>48</v>
      </c>
      <c r="C149" s="5" t="s">
        <v>31</v>
      </c>
      <c r="D149" s="5" t="s">
        <v>13</v>
      </c>
      <c r="E149" s="5" t="s">
        <v>14</v>
      </c>
      <c r="F149" s="5">
        <v>15</v>
      </c>
      <c r="G149" s="5">
        <v>87</v>
      </c>
      <c r="H149" s="5">
        <v>15</v>
      </c>
      <c r="I149" s="6">
        <v>46089</v>
      </c>
      <c r="J149" s="6">
        <v>46093</v>
      </c>
      <c r="K149" s="10" t="s">
        <v>20</v>
      </c>
      <c r="L149" s="18" t="str" cm="1">
        <f t="array" ref="L149">_xlfn.IFS(F149&gt;=15,"Bulk Order",AND(F149&gt;=5,F149&lt;=14),"Medium Order",F149&lt;5,"Regular Order")</f>
        <v>Bulk Order</v>
      </c>
    </row>
    <row r="150" spans="1:12" ht="15" thickBot="1" x14ac:dyDescent="0.4">
      <c r="A150" s="5">
        <v>1192</v>
      </c>
      <c r="B150" s="5" t="s">
        <v>21</v>
      </c>
      <c r="C150" s="5" t="s">
        <v>33</v>
      </c>
      <c r="D150" s="5" t="s">
        <v>13</v>
      </c>
      <c r="E150" s="5" t="s">
        <v>53</v>
      </c>
      <c r="F150" s="5">
        <v>18</v>
      </c>
      <c r="G150" s="5">
        <v>49</v>
      </c>
      <c r="H150" s="5">
        <v>12</v>
      </c>
      <c r="I150" s="6">
        <v>46089</v>
      </c>
      <c r="J150" s="6">
        <v>46095</v>
      </c>
      <c r="K150" s="10" t="s">
        <v>24</v>
      </c>
      <c r="L150" s="18" t="str" cm="1">
        <f t="array" ref="L150">_xlfn.IFS(F150&gt;=15,"Bulk Order",AND(F150&gt;=5,F150&lt;=14),"Medium Order",F150&lt;5,"Regular Order")</f>
        <v>Bulk Order</v>
      </c>
    </row>
    <row r="151" spans="1:12" ht="15" thickBot="1" x14ac:dyDescent="0.4">
      <c r="A151" s="5">
        <v>1400</v>
      </c>
      <c r="B151" s="5" t="s">
        <v>40</v>
      </c>
      <c r="C151" s="5" t="s">
        <v>22</v>
      </c>
      <c r="D151" s="5" t="s">
        <v>34</v>
      </c>
      <c r="E151" s="5" t="s">
        <v>35</v>
      </c>
      <c r="F151" s="5">
        <v>13</v>
      </c>
      <c r="G151" s="5">
        <v>52411</v>
      </c>
      <c r="H151" s="5">
        <v>15</v>
      </c>
      <c r="I151" s="6">
        <v>46090</v>
      </c>
      <c r="J151" s="6">
        <v>46092</v>
      </c>
      <c r="K151" s="10" t="s">
        <v>20</v>
      </c>
      <c r="L151" s="18" t="str" cm="1">
        <f t="array" ref="L151">_xlfn.IFS(F151&gt;=15,"Bulk Order",AND(F151&gt;=5,F151&lt;=14),"Medium Order",F151&lt;5,"Regular Order")</f>
        <v>Medium Order</v>
      </c>
    </row>
    <row r="152" spans="1:12" ht="15" thickBot="1" x14ac:dyDescent="0.4">
      <c r="A152" s="5">
        <v>1112</v>
      </c>
      <c r="B152" s="5" t="s">
        <v>21</v>
      </c>
      <c r="C152" s="5" t="s">
        <v>43</v>
      </c>
      <c r="D152" s="5" t="s">
        <v>18</v>
      </c>
      <c r="E152" s="5" t="s">
        <v>44</v>
      </c>
      <c r="F152" s="5">
        <v>7</v>
      </c>
      <c r="G152" s="5">
        <v>1959</v>
      </c>
      <c r="H152" s="5">
        <v>15</v>
      </c>
      <c r="I152" s="6">
        <v>46090</v>
      </c>
      <c r="J152" s="6">
        <v>46100</v>
      </c>
      <c r="K152" s="10" t="s">
        <v>15</v>
      </c>
      <c r="L152" s="18" t="str" cm="1">
        <f t="array" ref="L152">_xlfn.IFS(F152&gt;=15,"Bulk Order",AND(F152&gt;=5,F152&lt;=14),"Medium Order",F152&lt;5,"Regular Order")</f>
        <v>Medium Order</v>
      </c>
    </row>
    <row r="153" spans="1:12" ht="15" thickBot="1" x14ac:dyDescent="0.4">
      <c r="A153" s="5">
        <v>1043</v>
      </c>
      <c r="B153" s="5" t="s">
        <v>49</v>
      </c>
      <c r="C153" s="5" t="s">
        <v>38</v>
      </c>
      <c r="D153" s="5" t="s">
        <v>34</v>
      </c>
      <c r="E153" s="5" t="s">
        <v>35</v>
      </c>
      <c r="F153" s="5">
        <v>20</v>
      </c>
      <c r="G153" s="5">
        <v>46093</v>
      </c>
      <c r="H153" s="5">
        <v>5</v>
      </c>
      <c r="I153" s="6">
        <v>46091</v>
      </c>
      <c r="J153" s="6">
        <v>46098</v>
      </c>
      <c r="K153" s="10" t="s">
        <v>29</v>
      </c>
      <c r="L153" s="18" t="str" cm="1">
        <f t="array" ref="L153">_xlfn.IFS(F153&gt;=15,"Bulk Order",AND(F153&gt;=5,F153&lt;=14),"Medium Order",F153&lt;5,"Regular Order")</f>
        <v>Bulk Order</v>
      </c>
    </row>
    <row r="154" spans="1:12" ht="15" thickBot="1" x14ac:dyDescent="0.4">
      <c r="A154" s="5">
        <v>1255</v>
      </c>
      <c r="B154" s="5" t="s">
        <v>32</v>
      </c>
      <c r="C154" s="5" t="s">
        <v>17</v>
      </c>
      <c r="D154" s="5" t="s">
        <v>18</v>
      </c>
      <c r="E154" s="5" t="s">
        <v>19</v>
      </c>
      <c r="F154" s="5">
        <v>1</v>
      </c>
      <c r="G154" s="5">
        <v>2240</v>
      </c>
      <c r="H154" s="5">
        <v>5</v>
      </c>
      <c r="I154" s="6">
        <v>46091</v>
      </c>
      <c r="J154" s="6">
        <v>46095</v>
      </c>
      <c r="K154" s="10" t="s">
        <v>20</v>
      </c>
      <c r="L154" s="18" t="str" cm="1">
        <f t="array" ref="L154">_xlfn.IFS(F154&gt;=15,"Bulk Order",AND(F154&gt;=5,F154&lt;=14),"Medium Order",F154&lt;5,"Regular Order")</f>
        <v>Regular Order</v>
      </c>
    </row>
    <row r="155" spans="1:12" ht="15" thickBot="1" x14ac:dyDescent="0.4">
      <c r="A155" s="5">
        <v>1106</v>
      </c>
      <c r="B155" s="5" t="s">
        <v>27</v>
      </c>
      <c r="C155" s="5" t="s">
        <v>43</v>
      </c>
      <c r="D155" s="5" t="s">
        <v>18</v>
      </c>
      <c r="E155" s="5" t="s">
        <v>23</v>
      </c>
      <c r="F155" s="5">
        <v>20</v>
      </c>
      <c r="G155" s="5">
        <v>2141</v>
      </c>
      <c r="H155" s="5">
        <v>2</v>
      </c>
      <c r="I155" s="6">
        <v>46091</v>
      </c>
      <c r="J155" s="6">
        <v>46097</v>
      </c>
      <c r="K155" s="10" t="s">
        <v>29</v>
      </c>
      <c r="L155" s="18" t="str" cm="1">
        <f t="array" ref="L155">_xlfn.IFS(F155&gt;=15,"Bulk Order",AND(F155&gt;=5,F155&lt;=14),"Medium Order",F155&lt;5,"Regular Order")</f>
        <v>Bulk Order</v>
      </c>
    </row>
    <row r="156" spans="1:12" ht="15" thickBot="1" x14ac:dyDescent="0.4">
      <c r="A156" s="5">
        <v>1275</v>
      </c>
      <c r="B156" s="5" t="s">
        <v>16</v>
      </c>
      <c r="C156" s="5" t="s">
        <v>31</v>
      </c>
      <c r="D156" s="5" t="s">
        <v>13</v>
      </c>
      <c r="E156" s="5" t="s">
        <v>50</v>
      </c>
      <c r="F156" s="5">
        <v>20</v>
      </c>
      <c r="G156" s="5">
        <v>451</v>
      </c>
      <c r="H156" s="5">
        <v>15</v>
      </c>
      <c r="I156" s="6">
        <v>46092</v>
      </c>
      <c r="J156" s="6">
        <v>46094</v>
      </c>
      <c r="K156" s="10" t="s">
        <v>20</v>
      </c>
      <c r="L156" s="18" t="str" cm="1">
        <f t="array" ref="L156">_xlfn.IFS(F156&gt;=15,"Bulk Order",AND(F156&gt;=5,F156&lt;=14),"Medium Order",F156&lt;5,"Regular Order")</f>
        <v>Bulk Order</v>
      </c>
    </row>
    <row r="157" spans="1:12" ht="15" thickBot="1" x14ac:dyDescent="0.4">
      <c r="A157" s="5">
        <v>1166</v>
      </c>
      <c r="B157" s="5" t="s">
        <v>32</v>
      </c>
      <c r="C157" s="5" t="s">
        <v>31</v>
      </c>
      <c r="D157" s="5" t="s">
        <v>13</v>
      </c>
      <c r="E157" s="5" t="s">
        <v>37</v>
      </c>
      <c r="F157" s="5">
        <v>1</v>
      </c>
      <c r="G157" s="5">
        <v>396</v>
      </c>
      <c r="H157" s="5">
        <v>5</v>
      </c>
      <c r="I157" s="6">
        <v>46092</v>
      </c>
      <c r="J157" s="6">
        <v>46093</v>
      </c>
      <c r="K157" s="10" t="s">
        <v>20</v>
      </c>
      <c r="L157" s="18" t="str" cm="1">
        <f t="array" ref="L157">_xlfn.IFS(F157&gt;=15,"Bulk Order",AND(F157&gt;=5,F157&lt;=14),"Medium Order",F157&lt;5,"Regular Order")</f>
        <v>Regular Order</v>
      </c>
    </row>
    <row r="158" spans="1:12" ht="15" thickBot="1" x14ac:dyDescent="0.4">
      <c r="A158" s="5">
        <v>1139</v>
      </c>
      <c r="B158" s="5" t="s">
        <v>55</v>
      </c>
      <c r="C158" s="5" t="s">
        <v>33</v>
      </c>
      <c r="D158" s="5" t="s">
        <v>34</v>
      </c>
      <c r="E158" s="5" t="s">
        <v>61</v>
      </c>
      <c r="F158" s="5">
        <v>17</v>
      </c>
      <c r="G158" s="5">
        <v>28839</v>
      </c>
      <c r="H158" s="5">
        <v>10</v>
      </c>
      <c r="I158" s="6">
        <v>46093</v>
      </c>
      <c r="J158" s="6">
        <v>46099</v>
      </c>
      <c r="K158" s="10" t="s">
        <v>15</v>
      </c>
      <c r="L158" s="18" t="str" cm="1">
        <f t="array" ref="L158">_xlfn.IFS(F158&gt;=15,"Bulk Order",AND(F158&gt;=5,F158&lt;=14),"Medium Order",F158&lt;5,"Regular Order")</f>
        <v>Bulk Order</v>
      </c>
    </row>
    <row r="159" spans="1:12" ht="15" thickBot="1" x14ac:dyDescent="0.4">
      <c r="A159" s="5">
        <v>1155</v>
      </c>
      <c r="B159" s="5" t="s">
        <v>11</v>
      </c>
      <c r="C159" s="5" t="s">
        <v>31</v>
      </c>
      <c r="D159" s="5" t="s">
        <v>18</v>
      </c>
      <c r="E159" s="5" t="s">
        <v>28</v>
      </c>
      <c r="F159" s="5">
        <v>13</v>
      </c>
      <c r="G159" s="5">
        <v>4341</v>
      </c>
      <c r="H159" s="5">
        <v>15</v>
      </c>
      <c r="I159" s="6">
        <v>46093</v>
      </c>
      <c r="J159" s="6">
        <v>46096</v>
      </c>
      <c r="K159" s="10" t="s">
        <v>24</v>
      </c>
      <c r="L159" s="18" t="str" cm="1">
        <f t="array" ref="L159">_xlfn.IFS(F159&gt;=15,"Bulk Order",AND(F159&gt;=5,F159&lt;=14),"Medium Order",F159&lt;5,"Regular Order")</f>
        <v>Medium Order</v>
      </c>
    </row>
    <row r="160" spans="1:12" ht="15" thickBot="1" x14ac:dyDescent="0.4">
      <c r="A160" s="5">
        <v>1319</v>
      </c>
      <c r="B160" s="5" t="s">
        <v>21</v>
      </c>
      <c r="C160" s="5" t="s">
        <v>17</v>
      </c>
      <c r="D160" s="5" t="s">
        <v>34</v>
      </c>
      <c r="E160" s="5" t="s">
        <v>61</v>
      </c>
      <c r="F160" s="5">
        <v>17</v>
      </c>
      <c r="G160" s="5">
        <v>58407</v>
      </c>
      <c r="H160" s="5">
        <v>7</v>
      </c>
      <c r="I160" s="6">
        <v>46094</v>
      </c>
      <c r="J160" s="6">
        <v>46102</v>
      </c>
      <c r="K160" s="10" t="s">
        <v>15</v>
      </c>
      <c r="L160" s="18" t="str" cm="1">
        <f t="array" ref="L160">_xlfn.IFS(F160&gt;=15,"Bulk Order",AND(F160&gt;=5,F160&lt;=14),"Medium Order",F160&lt;5,"Regular Order")</f>
        <v>Bulk Order</v>
      </c>
    </row>
    <row r="161" spans="1:12" ht="15" thickBot="1" x14ac:dyDescent="0.4">
      <c r="A161" s="5">
        <v>1388</v>
      </c>
      <c r="B161" s="5" t="s">
        <v>55</v>
      </c>
      <c r="C161" s="5" t="s">
        <v>31</v>
      </c>
      <c r="D161" s="5" t="s">
        <v>18</v>
      </c>
      <c r="E161" s="5" t="s">
        <v>28</v>
      </c>
      <c r="F161" s="5">
        <v>12</v>
      </c>
      <c r="G161" s="5">
        <v>11662</v>
      </c>
      <c r="H161" s="5">
        <v>12</v>
      </c>
      <c r="I161" s="6">
        <v>46094</v>
      </c>
      <c r="J161" s="6">
        <v>46096</v>
      </c>
      <c r="K161" s="10" t="s">
        <v>20</v>
      </c>
      <c r="L161" s="18" t="str" cm="1">
        <f t="array" ref="L161">_xlfn.IFS(F161&gt;=15,"Bulk Order",AND(F161&gt;=5,F161&lt;=14),"Medium Order",F161&lt;5,"Regular Order")</f>
        <v>Medium Order</v>
      </c>
    </row>
    <row r="162" spans="1:12" ht="15" thickBot="1" x14ac:dyDescent="0.4">
      <c r="A162" s="5">
        <v>1362</v>
      </c>
      <c r="B162" s="5" t="s">
        <v>16</v>
      </c>
      <c r="C162" s="5" t="s">
        <v>12</v>
      </c>
      <c r="D162" s="5" t="s">
        <v>18</v>
      </c>
      <c r="E162" s="5" t="s">
        <v>28</v>
      </c>
      <c r="F162" s="5">
        <v>1</v>
      </c>
      <c r="G162" s="5">
        <v>10474</v>
      </c>
      <c r="H162" s="5">
        <v>0</v>
      </c>
      <c r="I162" s="6">
        <v>46094</v>
      </c>
      <c r="J162" s="6">
        <v>46096</v>
      </c>
      <c r="K162" s="10" t="s">
        <v>29</v>
      </c>
      <c r="L162" s="18" t="str" cm="1">
        <f t="array" ref="L162">_xlfn.IFS(F162&gt;=15,"Bulk Order",AND(F162&gt;=5,F162&lt;=14),"Medium Order",F162&lt;5,"Regular Order")</f>
        <v>Regular Order</v>
      </c>
    </row>
    <row r="163" spans="1:12" ht="15" thickBot="1" x14ac:dyDescent="0.4">
      <c r="A163" s="5">
        <v>1345</v>
      </c>
      <c r="B163" s="5" t="s">
        <v>32</v>
      </c>
      <c r="C163" s="5" t="s">
        <v>12</v>
      </c>
      <c r="D163" s="5" t="s">
        <v>34</v>
      </c>
      <c r="E163" s="5" t="s">
        <v>45</v>
      </c>
      <c r="F163" s="5">
        <v>12</v>
      </c>
      <c r="G163" s="5">
        <v>50544</v>
      </c>
      <c r="H163" s="5">
        <v>10</v>
      </c>
      <c r="I163" s="6">
        <v>46095</v>
      </c>
      <c r="J163" s="6">
        <v>46097</v>
      </c>
      <c r="K163" s="10" t="s">
        <v>29</v>
      </c>
      <c r="L163" s="18" t="str" cm="1">
        <f t="array" ref="L163">_xlfn.IFS(F163&gt;=15,"Bulk Order",AND(F163&gt;=5,F163&lt;=14),"Medium Order",F163&lt;5,"Regular Order")</f>
        <v>Medium Order</v>
      </c>
    </row>
    <row r="164" spans="1:12" ht="15" thickBot="1" x14ac:dyDescent="0.4">
      <c r="A164" s="5">
        <v>1013</v>
      </c>
      <c r="B164" s="5" t="s">
        <v>16</v>
      </c>
      <c r="C164" s="5" t="s">
        <v>31</v>
      </c>
      <c r="D164" s="5" t="s">
        <v>13</v>
      </c>
      <c r="E164" s="5" t="s">
        <v>36</v>
      </c>
      <c r="F164" s="5">
        <v>17</v>
      </c>
      <c r="G164" s="5">
        <v>459</v>
      </c>
      <c r="H164" s="5">
        <v>12</v>
      </c>
      <c r="I164" s="6">
        <v>46095</v>
      </c>
      <c r="J164" s="6">
        <v>46105</v>
      </c>
      <c r="K164" s="10" t="s">
        <v>29</v>
      </c>
      <c r="L164" s="18" t="str" cm="1">
        <f t="array" ref="L164">_xlfn.IFS(F164&gt;=15,"Bulk Order",AND(F164&gt;=5,F164&lt;=14),"Medium Order",F164&lt;5,"Regular Order")</f>
        <v>Bulk Order</v>
      </c>
    </row>
    <row r="165" spans="1:12" ht="15" thickBot="1" x14ac:dyDescent="0.4">
      <c r="A165" s="5">
        <v>1359</v>
      </c>
      <c r="B165" s="5" t="s">
        <v>54</v>
      </c>
      <c r="C165" s="5" t="s">
        <v>12</v>
      </c>
      <c r="D165" s="5" t="s">
        <v>34</v>
      </c>
      <c r="E165" s="5" t="s">
        <v>61</v>
      </c>
      <c r="F165" s="5">
        <v>9</v>
      </c>
      <c r="G165" s="5">
        <v>38179</v>
      </c>
      <c r="H165" s="5">
        <v>0</v>
      </c>
      <c r="I165" s="6">
        <v>46096</v>
      </c>
      <c r="J165" s="6">
        <v>46099</v>
      </c>
      <c r="K165" s="10" t="s">
        <v>15</v>
      </c>
      <c r="L165" s="18" t="str" cm="1">
        <f t="array" ref="L165">_xlfn.IFS(F165&gt;=15,"Bulk Order",AND(F165&gt;=5,F165&lt;=14),"Medium Order",F165&lt;5,"Regular Order")</f>
        <v>Medium Order</v>
      </c>
    </row>
    <row r="166" spans="1:12" ht="15" thickBot="1" x14ac:dyDescent="0.4">
      <c r="A166" s="5">
        <v>1266</v>
      </c>
      <c r="B166" s="5" t="s">
        <v>29</v>
      </c>
      <c r="C166" s="5" t="s">
        <v>33</v>
      </c>
      <c r="D166" s="5" t="s">
        <v>13</v>
      </c>
      <c r="E166" s="5" t="s">
        <v>14</v>
      </c>
      <c r="F166" s="5">
        <v>17</v>
      </c>
      <c r="G166" s="5">
        <v>365</v>
      </c>
      <c r="H166" s="5">
        <v>2</v>
      </c>
      <c r="I166" s="6">
        <v>46096</v>
      </c>
      <c r="J166" s="6">
        <v>46104</v>
      </c>
      <c r="K166" s="10" t="s">
        <v>51</v>
      </c>
      <c r="L166" s="18" t="str" cm="1">
        <f t="array" ref="L166">_xlfn.IFS(F166&gt;=15,"Bulk Order",AND(F166&gt;=5,F166&lt;=14),"Medium Order",F166&lt;5,"Regular Order")</f>
        <v>Bulk Order</v>
      </c>
    </row>
    <row r="167" spans="1:12" ht="15" thickBot="1" x14ac:dyDescent="0.4">
      <c r="A167" s="5">
        <v>1238</v>
      </c>
      <c r="B167" s="5" t="s">
        <v>30</v>
      </c>
      <c r="C167" s="5" t="s">
        <v>31</v>
      </c>
      <c r="D167" s="5" t="s">
        <v>13</v>
      </c>
      <c r="E167" s="5" t="s">
        <v>14</v>
      </c>
      <c r="F167" s="5">
        <v>6</v>
      </c>
      <c r="G167" s="5">
        <v>180</v>
      </c>
      <c r="H167" s="5">
        <v>12</v>
      </c>
      <c r="I167" s="6">
        <v>46096</v>
      </c>
      <c r="J167" s="6">
        <v>46097</v>
      </c>
      <c r="K167" s="10" t="s">
        <v>51</v>
      </c>
      <c r="L167" s="18" t="str" cm="1">
        <f t="array" ref="L167">_xlfn.IFS(F167&gt;=15,"Bulk Order",AND(F167&gt;=5,F167&lt;=14),"Medium Order",F167&lt;5,"Regular Order")</f>
        <v>Medium Order</v>
      </c>
    </row>
    <row r="168" spans="1:12" ht="15" thickBot="1" x14ac:dyDescent="0.4">
      <c r="A168" s="5">
        <v>1276</v>
      </c>
      <c r="B168" s="5" t="s">
        <v>40</v>
      </c>
      <c r="C168" s="5" t="s">
        <v>12</v>
      </c>
      <c r="D168" s="5" t="s">
        <v>18</v>
      </c>
      <c r="E168" s="5" t="s">
        <v>19</v>
      </c>
      <c r="F168" s="5">
        <v>1</v>
      </c>
      <c r="G168" s="5">
        <v>13437</v>
      </c>
      <c r="H168" s="5">
        <v>15</v>
      </c>
      <c r="I168" s="6">
        <v>46097</v>
      </c>
      <c r="J168" s="6">
        <v>46099</v>
      </c>
      <c r="K168" s="10" t="s">
        <v>24</v>
      </c>
      <c r="L168" s="18" t="str" cm="1">
        <f t="array" ref="L168">_xlfn.IFS(F168&gt;=15,"Bulk Order",AND(F168&gt;=5,F168&lt;=14),"Medium Order",F168&lt;5,"Regular Order")</f>
        <v>Regular Order</v>
      </c>
    </row>
    <row r="169" spans="1:12" ht="15" thickBot="1" x14ac:dyDescent="0.4">
      <c r="A169" s="5">
        <v>1030</v>
      </c>
      <c r="B169" s="5" t="s">
        <v>52</v>
      </c>
      <c r="C169" s="5" t="s">
        <v>12</v>
      </c>
      <c r="D169" s="5" t="s">
        <v>13</v>
      </c>
      <c r="E169" s="5" t="s">
        <v>53</v>
      </c>
      <c r="F169" s="5">
        <v>13</v>
      </c>
      <c r="G169" s="5">
        <v>336</v>
      </c>
      <c r="H169" s="5">
        <v>10</v>
      </c>
      <c r="I169" s="6">
        <v>46098</v>
      </c>
      <c r="J169" s="6">
        <v>46108</v>
      </c>
      <c r="K169" s="10" t="s">
        <v>15</v>
      </c>
      <c r="L169" s="18" t="str" cm="1">
        <f t="array" ref="L169">_xlfn.IFS(F169&gt;=15,"Bulk Order",AND(F169&gt;=5,F169&lt;=14),"Medium Order",F169&lt;5,"Regular Order")</f>
        <v>Medium Order</v>
      </c>
    </row>
    <row r="170" spans="1:12" ht="15" thickBot="1" x14ac:dyDescent="0.4">
      <c r="A170" s="5">
        <v>1391</v>
      </c>
      <c r="B170" s="5" t="s">
        <v>30</v>
      </c>
      <c r="C170" s="5" t="s">
        <v>31</v>
      </c>
      <c r="D170" s="5" t="s">
        <v>34</v>
      </c>
      <c r="E170" s="5" t="s">
        <v>35</v>
      </c>
      <c r="F170" s="5">
        <v>5</v>
      </c>
      <c r="G170" s="5">
        <v>65270</v>
      </c>
      <c r="H170" s="5">
        <v>5</v>
      </c>
      <c r="I170" s="6">
        <v>46100</v>
      </c>
      <c r="J170" s="6">
        <v>46103</v>
      </c>
      <c r="K170" s="10" t="s">
        <v>24</v>
      </c>
      <c r="L170" s="18" t="str" cm="1">
        <f t="array" ref="L170">_xlfn.IFS(F170&gt;=15,"Bulk Order",AND(F170&gt;=5,F170&lt;=14),"Medium Order",F170&lt;5,"Regular Order")</f>
        <v>Medium Order</v>
      </c>
    </row>
    <row r="171" spans="1:12" ht="15" thickBot="1" x14ac:dyDescent="0.4">
      <c r="A171" s="5">
        <v>1162</v>
      </c>
      <c r="B171" s="5" t="s">
        <v>57</v>
      </c>
      <c r="C171" s="5" t="s">
        <v>31</v>
      </c>
      <c r="D171" s="5" t="s">
        <v>34</v>
      </c>
      <c r="E171" s="5" t="s">
        <v>45</v>
      </c>
      <c r="F171" s="5">
        <v>2</v>
      </c>
      <c r="G171" s="5">
        <v>28176</v>
      </c>
      <c r="H171" s="5">
        <v>10</v>
      </c>
      <c r="I171" s="6">
        <v>46100</v>
      </c>
      <c r="J171" s="6">
        <v>46101</v>
      </c>
      <c r="K171" s="10" t="s">
        <v>20</v>
      </c>
      <c r="L171" s="18" t="str" cm="1">
        <f t="array" ref="L171">_xlfn.IFS(F171&gt;=15,"Bulk Order",AND(F171&gt;=5,F171&lt;=14),"Medium Order",F171&lt;5,"Regular Order")</f>
        <v>Regular Order</v>
      </c>
    </row>
    <row r="172" spans="1:12" ht="15" thickBot="1" x14ac:dyDescent="0.4">
      <c r="A172" s="5">
        <v>1283</v>
      </c>
      <c r="B172" s="5" t="s">
        <v>40</v>
      </c>
      <c r="C172" s="5" t="s">
        <v>12</v>
      </c>
      <c r="D172" s="5" t="s">
        <v>18</v>
      </c>
      <c r="E172" s="5" t="s">
        <v>23</v>
      </c>
      <c r="F172" s="5">
        <v>6</v>
      </c>
      <c r="G172" s="5">
        <v>1167</v>
      </c>
      <c r="H172" s="5">
        <v>2</v>
      </c>
      <c r="I172" s="6">
        <v>46100</v>
      </c>
      <c r="J172" s="6">
        <v>46106</v>
      </c>
      <c r="K172" s="10" t="s">
        <v>15</v>
      </c>
      <c r="L172" s="18" t="str" cm="1">
        <f t="array" ref="L172">_xlfn.IFS(F172&gt;=15,"Bulk Order",AND(F172&gt;=5,F172&lt;=14),"Medium Order",F172&lt;5,"Regular Order")</f>
        <v>Medium Order</v>
      </c>
    </row>
    <row r="173" spans="1:12" ht="15" thickBot="1" x14ac:dyDescent="0.4">
      <c r="A173" s="5">
        <v>1094</v>
      </c>
      <c r="B173" s="5" t="s">
        <v>47</v>
      </c>
      <c r="C173" s="5" t="s">
        <v>43</v>
      </c>
      <c r="D173" s="5" t="s">
        <v>34</v>
      </c>
      <c r="E173" s="5" t="s">
        <v>61</v>
      </c>
      <c r="F173" s="5">
        <v>4</v>
      </c>
      <c r="G173" s="5">
        <v>7073</v>
      </c>
      <c r="H173" s="5">
        <v>0</v>
      </c>
      <c r="I173" s="6">
        <v>46101</v>
      </c>
      <c r="J173" s="6">
        <v>46105</v>
      </c>
      <c r="K173" s="10" t="s">
        <v>29</v>
      </c>
      <c r="L173" s="18" t="str" cm="1">
        <f t="array" ref="L173">_xlfn.IFS(F173&gt;=15,"Bulk Order",AND(F173&gt;=5,F173&lt;=14),"Medium Order",F173&lt;5,"Regular Order")</f>
        <v>Regular Order</v>
      </c>
    </row>
    <row r="174" spans="1:12" ht="15" thickBot="1" x14ac:dyDescent="0.4">
      <c r="A174" s="5">
        <v>1387</v>
      </c>
      <c r="B174" s="5" t="s">
        <v>54</v>
      </c>
      <c r="C174" s="5" t="s">
        <v>33</v>
      </c>
      <c r="D174" s="5" t="s">
        <v>34</v>
      </c>
      <c r="E174" s="5" t="s">
        <v>35</v>
      </c>
      <c r="F174" s="5">
        <v>11</v>
      </c>
      <c r="G174" s="5">
        <v>56515</v>
      </c>
      <c r="H174" s="5">
        <v>5</v>
      </c>
      <c r="I174" s="6">
        <v>46102</v>
      </c>
      <c r="J174" s="6">
        <v>46112</v>
      </c>
      <c r="K174" s="10" t="s">
        <v>24</v>
      </c>
      <c r="L174" s="18" t="str" cm="1">
        <f t="array" ref="L174">_xlfn.IFS(F174&gt;=15,"Bulk Order",AND(F174&gt;=5,F174&lt;=14),"Medium Order",F174&lt;5,"Regular Order")</f>
        <v>Medium Order</v>
      </c>
    </row>
    <row r="175" spans="1:12" ht="15" thickBot="1" x14ac:dyDescent="0.4">
      <c r="A175" s="5">
        <v>1049</v>
      </c>
      <c r="B175" s="5" t="s">
        <v>52</v>
      </c>
      <c r="C175" s="5" t="s">
        <v>25</v>
      </c>
      <c r="D175" s="5" t="s">
        <v>34</v>
      </c>
      <c r="E175" s="5" t="s">
        <v>45</v>
      </c>
      <c r="F175" s="5">
        <v>2</v>
      </c>
      <c r="G175" s="5">
        <v>40789</v>
      </c>
      <c r="H175" s="5">
        <v>0</v>
      </c>
      <c r="I175" s="6">
        <v>46102</v>
      </c>
      <c r="J175" s="6">
        <v>46108</v>
      </c>
      <c r="K175" s="10" t="s">
        <v>24</v>
      </c>
      <c r="L175" s="18" t="str" cm="1">
        <f t="array" ref="L175">_xlfn.IFS(F175&gt;=15,"Bulk Order",AND(F175&gt;=5,F175&lt;=14),"Medium Order",F175&lt;5,"Regular Order")</f>
        <v>Regular Order</v>
      </c>
    </row>
    <row r="176" spans="1:12" ht="15" thickBot="1" x14ac:dyDescent="0.4">
      <c r="A176" s="5">
        <v>1145</v>
      </c>
      <c r="B176" s="5" t="s">
        <v>42</v>
      </c>
      <c r="C176" s="5" t="s">
        <v>33</v>
      </c>
      <c r="D176" s="5" t="s">
        <v>34</v>
      </c>
      <c r="E176" s="5" t="s">
        <v>39</v>
      </c>
      <c r="F176" s="5">
        <v>2</v>
      </c>
      <c r="G176" s="5">
        <v>34429</v>
      </c>
      <c r="H176" s="5">
        <v>12</v>
      </c>
      <c r="I176" s="6">
        <v>46102</v>
      </c>
      <c r="J176" s="6">
        <v>46112</v>
      </c>
      <c r="K176" s="10" t="s">
        <v>24</v>
      </c>
      <c r="L176" s="18" t="str" cm="1">
        <f t="array" ref="L176">_xlfn.IFS(F176&gt;=15,"Bulk Order",AND(F176&gt;=5,F176&lt;=14),"Medium Order",F176&lt;5,"Regular Order")</f>
        <v>Regular Order</v>
      </c>
    </row>
    <row r="177" spans="1:12" ht="15" thickBot="1" x14ac:dyDescent="0.4">
      <c r="A177" s="5">
        <v>1121</v>
      </c>
      <c r="B177" s="5" t="s">
        <v>29</v>
      </c>
      <c r="C177" s="5" t="s">
        <v>12</v>
      </c>
      <c r="D177" s="5" t="s">
        <v>34</v>
      </c>
      <c r="E177" s="5" t="s">
        <v>39</v>
      </c>
      <c r="F177" s="5">
        <v>4</v>
      </c>
      <c r="G177" s="5">
        <v>55809</v>
      </c>
      <c r="H177" s="5">
        <v>2</v>
      </c>
      <c r="I177" s="6">
        <v>46103</v>
      </c>
      <c r="J177" s="6">
        <v>46108</v>
      </c>
      <c r="K177" s="10" t="s">
        <v>29</v>
      </c>
      <c r="L177" s="18" t="str" cm="1">
        <f t="array" ref="L177">_xlfn.IFS(F177&gt;=15,"Bulk Order",AND(F177&gt;=5,F177&lt;=14),"Medium Order",F177&lt;5,"Regular Order")</f>
        <v>Regular Order</v>
      </c>
    </row>
    <row r="178" spans="1:12" ht="15" thickBot="1" x14ac:dyDescent="0.4">
      <c r="A178" s="5">
        <v>1209</v>
      </c>
      <c r="B178" s="5" t="s">
        <v>48</v>
      </c>
      <c r="C178" s="5" t="s">
        <v>38</v>
      </c>
      <c r="D178" s="5" t="s">
        <v>34</v>
      </c>
      <c r="E178" s="5" t="s">
        <v>35</v>
      </c>
      <c r="F178" s="5">
        <v>19</v>
      </c>
      <c r="G178" s="5">
        <v>20284</v>
      </c>
      <c r="H178" s="5">
        <v>10</v>
      </c>
      <c r="I178" s="6">
        <v>46103</v>
      </c>
      <c r="J178" s="6">
        <v>46110</v>
      </c>
      <c r="K178" s="10" t="s">
        <v>20</v>
      </c>
      <c r="L178" s="18" t="str" cm="1">
        <f t="array" ref="L178">_xlfn.IFS(F178&gt;=15,"Bulk Order",AND(F178&gt;=5,F178&lt;=14),"Medium Order",F178&lt;5,"Regular Order")</f>
        <v>Bulk Order</v>
      </c>
    </row>
    <row r="179" spans="1:12" ht="15" thickBot="1" x14ac:dyDescent="0.4">
      <c r="A179" s="5">
        <v>1161</v>
      </c>
      <c r="B179" s="5" t="s">
        <v>27</v>
      </c>
      <c r="C179" s="5" t="s">
        <v>25</v>
      </c>
      <c r="D179" s="5" t="s">
        <v>34</v>
      </c>
      <c r="E179" s="5" t="s">
        <v>39</v>
      </c>
      <c r="F179" s="5">
        <v>4</v>
      </c>
      <c r="G179" s="5">
        <v>54659</v>
      </c>
      <c r="H179" s="5">
        <v>7</v>
      </c>
      <c r="I179" s="6">
        <v>46105</v>
      </c>
      <c r="J179" s="6">
        <v>46109</v>
      </c>
      <c r="K179" s="10" t="s">
        <v>20</v>
      </c>
      <c r="L179" s="18" t="str" cm="1">
        <f t="array" ref="L179">_xlfn.IFS(F179&gt;=15,"Bulk Order",AND(F179&gt;=5,F179&lt;=14),"Medium Order",F179&lt;5,"Regular Order")</f>
        <v>Regular Order</v>
      </c>
    </row>
    <row r="180" spans="1:12" ht="15" thickBot="1" x14ac:dyDescent="0.4">
      <c r="A180" s="5">
        <v>1377</v>
      </c>
      <c r="B180" s="5" t="s">
        <v>32</v>
      </c>
      <c r="C180" s="5" t="s">
        <v>38</v>
      </c>
      <c r="D180" s="5" t="s">
        <v>18</v>
      </c>
      <c r="E180" s="5" t="s">
        <v>19</v>
      </c>
      <c r="F180" s="5">
        <v>3</v>
      </c>
      <c r="G180" s="5">
        <v>5480</v>
      </c>
      <c r="H180" s="5">
        <v>12</v>
      </c>
      <c r="I180" s="6">
        <v>46105</v>
      </c>
      <c r="J180" s="6">
        <v>46111</v>
      </c>
      <c r="K180" s="10" t="s">
        <v>24</v>
      </c>
      <c r="L180" s="18" t="str" cm="1">
        <f t="array" ref="L180">_xlfn.IFS(F180&gt;=15,"Bulk Order",AND(F180&gt;=5,F180&lt;=14),"Medium Order",F180&lt;5,"Regular Order")</f>
        <v>Regular Order</v>
      </c>
    </row>
    <row r="181" spans="1:12" ht="15" thickBot="1" x14ac:dyDescent="0.4">
      <c r="A181" s="5">
        <v>1170</v>
      </c>
      <c r="B181" s="5" t="s">
        <v>49</v>
      </c>
      <c r="C181" s="5" t="s">
        <v>38</v>
      </c>
      <c r="D181" s="5" t="s">
        <v>13</v>
      </c>
      <c r="E181" s="5" t="s">
        <v>14</v>
      </c>
      <c r="F181" s="5">
        <v>6</v>
      </c>
      <c r="G181" s="5">
        <v>339</v>
      </c>
      <c r="H181" s="5">
        <v>12</v>
      </c>
      <c r="I181" s="6">
        <v>46105</v>
      </c>
      <c r="J181" s="6">
        <v>46106</v>
      </c>
      <c r="K181" s="10" t="s">
        <v>24</v>
      </c>
      <c r="L181" s="18" t="str" cm="1">
        <f t="array" ref="L181">_xlfn.IFS(F181&gt;=15,"Bulk Order",AND(F181&gt;=5,F181&lt;=14),"Medium Order",F181&lt;5,"Regular Order")</f>
        <v>Medium Order</v>
      </c>
    </row>
    <row r="182" spans="1:12" ht="15" thickBot="1" x14ac:dyDescent="0.4">
      <c r="A182" s="5">
        <v>1102</v>
      </c>
      <c r="B182" s="5" t="s">
        <v>54</v>
      </c>
      <c r="C182" s="5" t="s">
        <v>25</v>
      </c>
      <c r="D182" s="5" t="s">
        <v>34</v>
      </c>
      <c r="E182" s="5" t="s">
        <v>45</v>
      </c>
      <c r="F182" s="5">
        <v>12</v>
      </c>
      <c r="G182" s="5">
        <v>63402</v>
      </c>
      <c r="H182" s="5">
        <v>7</v>
      </c>
      <c r="I182" s="6">
        <v>46106</v>
      </c>
      <c r="J182" s="6">
        <v>46113</v>
      </c>
      <c r="K182" s="10" t="s">
        <v>51</v>
      </c>
      <c r="L182" s="18" t="str" cm="1">
        <f t="array" ref="L182">_xlfn.IFS(F182&gt;=15,"Bulk Order",AND(F182&gt;=5,F182&lt;=14),"Medium Order",F182&lt;5,"Regular Order")</f>
        <v>Medium Order</v>
      </c>
    </row>
    <row r="183" spans="1:12" ht="15" thickBot="1" x14ac:dyDescent="0.4">
      <c r="A183" s="5">
        <v>1198</v>
      </c>
      <c r="B183" s="5" t="s">
        <v>58</v>
      </c>
      <c r="C183" s="5" t="s">
        <v>12</v>
      </c>
      <c r="D183" s="5" t="s">
        <v>13</v>
      </c>
      <c r="E183" s="5" t="s">
        <v>14</v>
      </c>
      <c r="F183" s="5">
        <v>12</v>
      </c>
      <c r="G183" s="5">
        <v>491</v>
      </c>
      <c r="H183" s="5">
        <v>2</v>
      </c>
      <c r="I183" s="6">
        <v>46106</v>
      </c>
      <c r="J183" s="6">
        <v>46109</v>
      </c>
      <c r="K183" s="10" t="s">
        <v>51</v>
      </c>
      <c r="L183" s="18" t="str" cm="1">
        <f t="array" ref="L183">_xlfn.IFS(F183&gt;=15,"Bulk Order",AND(F183&gt;=5,F183&lt;=14),"Medium Order",F183&lt;5,"Regular Order")</f>
        <v>Medium Order</v>
      </c>
    </row>
    <row r="184" spans="1:12" ht="15" thickBot="1" x14ac:dyDescent="0.4">
      <c r="A184" s="5">
        <v>1379</v>
      </c>
      <c r="B184" s="5" t="s">
        <v>47</v>
      </c>
      <c r="C184" s="5" t="s">
        <v>17</v>
      </c>
      <c r="D184" s="5" t="s">
        <v>13</v>
      </c>
      <c r="E184" s="5" t="s">
        <v>14</v>
      </c>
      <c r="F184" s="5">
        <v>11</v>
      </c>
      <c r="G184" s="5">
        <v>136</v>
      </c>
      <c r="H184" s="5">
        <v>15</v>
      </c>
      <c r="I184" s="6">
        <v>46106</v>
      </c>
      <c r="J184" s="6">
        <v>46107</v>
      </c>
      <c r="K184" s="10" t="s">
        <v>20</v>
      </c>
      <c r="L184" s="18" t="str" cm="1">
        <f t="array" ref="L184">_xlfn.IFS(F184&gt;=15,"Bulk Order",AND(F184&gt;=5,F184&lt;=14),"Medium Order",F184&lt;5,"Regular Order")</f>
        <v>Medium Order</v>
      </c>
    </row>
    <row r="185" spans="1:12" ht="15" thickBot="1" x14ac:dyDescent="0.4">
      <c r="A185" s="5">
        <v>1039</v>
      </c>
      <c r="B185" s="5" t="s">
        <v>48</v>
      </c>
      <c r="C185" s="5" t="s">
        <v>38</v>
      </c>
      <c r="D185" s="5" t="s">
        <v>34</v>
      </c>
      <c r="E185" s="5" t="s">
        <v>45</v>
      </c>
      <c r="F185" s="5">
        <v>5</v>
      </c>
      <c r="G185" s="5">
        <v>60236</v>
      </c>
      <c r="H185" s="5">
        <v>10</v>
      </c>
      <c r="I185" s="6">
        <v>46107</v>
      </c>
      <c r="J185" s="6">
        <v>46110</v>
      </c>
      <c r="K185" s="10" t="s">
        <v>20</v>
      </c>
      <c r="L185" s="18" t="str" cm="1">
        <f t="array" ref="L185">_xlfn.IFS(F185&gt;=15,"Bulk Order",AND(F185&gt;=5,F185&lt;=14),"Medium Order",F185&lt;5,"Regular Order")</f>
        <v>Medium Order</v>
      </c>
    </row>
    <row r="186" spans="1:12" ht="15" thickBot="1" x14ac:dyDescent="0.4">
      <c r="A186" s="5">
        <v>1321</v>
      </c>
      <c r="B186" s="5" t="s">
        <v>32</v>
      </c>
      <c r="C186" s="5" t="s">
        <v>22</v>
      </c>
      <c r="D186" s="5" t="s">
        <v>18</v>
      </c>
      <c r="E186" s="5" t="s">
        <v>19</v>
      </c>
      <c r="F186" s="5">
        <v>8</v>
      </c>
      <c r="G186" s="5">
        <v>5619</v>
      </c>
      <c r="H186" s="5">
        <v>7</v>
      </c>
      <c r="I186" s="6">
        <v>46107</v>
      </c>
      <c r="J186" s="6">
        <v>46109</v>
      </c>
      <c r="K186" s="10" t="s">
        <v>51</v>
      </c>
      <c r="L186" s="18" t="str" cm="1">
        <f t="array" ref="L186">_xlfn.IFS(F186&gt;=15,"Bulk Order",AND(F186&gt;=5,F186&lt;=14),"Medium Order",F186&lt;5,"Regular Order")</f>
        <v>Medium Order</v>
      </c>
    </row>
    <row r="187" spans="1:12" ht="15" thickBot="1" x14ac:dyDescent="0.4">
      <c r="A187" s="5">
        <v>1123</v>
      </c>
      <c r="B187" s="5" t="s">
        <v>32</v>
      </c>
      <c r="C187" s="5" t="s">
        <v>31</v>
      </c>
      <c r="D187" s="5" t="s">
        <v>34</v>
      </c>
      <c r="E187" s="5" t="s">
        <v>45</v>
      </c>
      <c r="F187" s="5">
        <v>16</v>
      </c>
      <c r="G187" s="5">
        <v>1332</v>
      </c>
      <c r="H187" s="5">
        <v>7</v>
      </c>
      <c r="I187" s="6">
        <v>46107</v>
      </c>
      <c r="J187" s="6">
        <v>46109</v>
      </c>
      <c r="K187" s="10" t="s">
        <v>29</v>
      </c>
      <c r="L187" s="18" t="str" cm="1">
        <f t="array" ref="L187">_xlfn.IFS(F187&gt;=15,"Bulk Order",AND(F187&gt;=5,F187&lt;=14),"Medium Order",F187&lt;5,"Regular Order")</f>
        <v>Bulk Order</v>
      </c>
    </row>
    <row r="188" spans="1:12" ht="15" thickBot="1" x14ac:dyDescent="0.4">
      <c r="A188" s="5">
        <v>1182</v>
      </c>
      <c r="B188" s="5" t="s">
        <v>42</v>
      </c>
      <c r="C188" s="5" t="s">
        <v>12</v>
      </c>
      <c r="D188" s="5" t="s">
        <v>34</v>
      </c>
      <c r="E188" s="5" t="s">
        <v>39</v>
      </c>
      <c r="F188" s="5">
        <v>8</v>
      </c>
      <c r="G188" s="5">
        <v>66022</v>
      </c>
      <c r="H188" s="5">
        <v>12</v>
      </c>
      <c r="I188" s="6">
        <v>46108</v>
      </c>
      <c r="J188" s="6">
        <v>46114</v>
      </c>
      <c r="K188" s="10" t="s">
        <v>24</v>
      </c>
      <c r="L188" s="18" t="str" cm="1">
        <f t="array" ref="L188">_xlfn.IFS(F188&gt;=15,"Bulk Order",AND(F188&gt;=5,F188&lt;=14),"Medium Order",F188&lt;5,"Regular Order")</f>
        <v>Medium Order</v>
      </c>
    </row>
    <row r="189" spans="1:12" ht="15" thickBot="1" x14ac:dyDescent="0.4">
      <c r="A189" s="5">
        <v>1183</v>
      </c>
      <c r="B189" s="5" t="s">
        <v>52</v>
      </c>
      <c r="C189" s="5" t="s">
        <v>43</v>
      </c>
      <c r="D189" s="5" t="s">
        <v>13</v>
      </c>
      <c r="E189" s="5" t="s">
        <v>14</v>
      </c>
      <c r="F189" s="5">
        <v>2</v>
      </c>
      <c r="G189" s="5">
        <v>309</v>
      </c>
      <c r="H189" s="5">
        <v>2</v>
      </c>
      <c r="I189" s="6">
        <v>46109</v>
      </c>
      <c r="J189" s="6">
        <v>46111</v>
      </c>
      <c r="K189" s="10" t="s">
        <v>20</v>
      </c>
      <c r="L189" s="18" t="str" cm="1">
        <f t="array" ref="L189">_xlfn.IFS(F189&gt;=15,"Bulk Order",AND(F189&gt;=5,F189&lt;=14),"Medium Order",F189&lt;5,"Regular Order")</f>
        <v>Regular Order</v>
      </c>
    </row>
    <row r="190" spans="1:12" ht="15" thickBot="1" x14ac:dyDescent="0.4">
      <c r="A190" s="5">
        <v>1328</v>
      </c>
      <c r="B190" s="5" t="s">
        <v>16</v>
      </c>
      <c r="C190" s="5" t="s">
        <v>38</v>
      </c>
      <c r="D190" s="5" t="s">
        <v>13</v>
      </c>
      <c r="E190" s="5" t="s">
        <v>36</v>
      </c>
      <c r="F190" s="5">
        <v>4</v>
      </c>
      <c r="G190" s="5">
        <v>132</v>
      </c>
      <c r="H190" s="5">
        <v>0</v>
      </c>
      <c r="I190" s="6">
        <v>46109</v>
      </c>
      <c r="J190" s="6">
        <v>46114</v>
      </c>
      <c r="K190" s="10" t="s">
        <v>29</v>
      </c>
      <c r="L190" s="18" t="str" cm="1">
        <f t="array" ref="L190">_xlfn.IFS(F190&gt;=15,"Bulk Order",AND(F190&gt;=5,F190&lt;=14),"Medium Order",F190&lt;5,"Regular Order")</f>
        <v>Regular Order</v>
      </c>
    </row>
    <row r="191" spans="1:12" ht="15" thickBot="1" x14ac:dyDescent="0.4">
      <c r="A191" s="5">
        <v>1290</v>
      </c>
      <c r="B191" s="5" t="s">
        <v>26</v>
      </c>
      <c r="C191" s="5" t="s">
        <v>22</v>
      </c>
      <c r="D191" s="5" t="s">
        <v>34</v>
      </c>
      <c r="E191" s="5" t="s">
        <v>35</v>
      </c>
      <c r="F191" s="5">
        <v>3</v>
      </c>
      <c r="G191" s="5">
        <v>69793</v>
      </c>
      <c r="H191" s="5">
        <v>15</v>
      </c>
      <c r="I191" s="6">
        <v>46110</v>
      </c>
      <c r="J191" s="6">
        <v>46111</v>
      </c>
      <c r="K191" s="10" t="s">
        <v>29</v>
      </c>
      <c r="L191" s="18" t="str" cm="1">
        <f t="array" ref="L191">_xlfn.IFS(F191&gt;=15,"Bulk Order",AND(F191&gt;=5,F191&lt;=14),"Medium Order",F191&lt;5,"Regular Order")</f>
        <v>Regular Order</v>
      </c>
    </row>
    <row r="192" spans="1:12" ht="15" thickBot="1" x14ac:dyDescent="0.4">
      <c r="A192" s="5">
        <v>1193</v>
      </c>
      <c r="B192" s="5" t="s">
        <v>57</v>
      </c>
      <c r="C192" s="5" t="s">
        <v>12</v>
      </c>
      <c r="D192" s="5" t="s">
        <v>18</v>
      </c>
      <c r="E192" s="5" t="s">
        <v>23</v>
      </c>
      <c r="F192" s="5">
        <v>19</v>
      </c>
      <c r="G192" s="5">
        <v>2699</v>
      </c>
      <c r="H192" s="5">
        <v>7</v>
      </c>
      <c r="I192" s="6">
        <v>46110</v>
      </c>
      <c r="J192" s="6">
        <v>46112</v>
      </c>
      <c r="K192" s="10" t="s">
        <v>29</v>
      </c>
      <c r="L192" s="18" t="str" cm="1">
        <f t="array" ref="L192">_xlfn.IFS(F192&gt;=15,"Bulk Order",AND(F192&gt;=5,F192&lt;=14),"Medium Order",F192&lt;5,"Regular Order")</f>
        <v>Bulk Order</v>
      </c>
    </row>
    <row r="193" spans="1:12" ht="15" thickBot="1" x14ac:dyDescent="0.4">
      <c r="A193" s="5">
        <v>1300</v>
      </c>
      <c r="B193" s="5" t="s">
        <v>47</v>
      </c>
      <c r="C193" s="5" t="s">
        <v>33</v>
      </c>
      <c r="D193" s="5" t="s">
        <v>34</v>
      </c>
      <c r="E193" s="5" t="s">
        <v>45</v>
      </c>
      <c r="F193" s="5">
        <v>20</v>
      </c>
      <c r="G193" s="5">
        <v>1392</v>
      </c>
      <c r="H193" s="5">
        <v>2</v>
      </c>
      <c r="I193" s="6">
        <v>46110</v>
      </c>
      <c r="J193" s="6">
        <v>46117</v>
      </c>
      <c r="K193" s="10" t="s">
        <v>24</v>
      </c>
      <c r="L193" s="18" t="str" cm="1">
        <f t="array" ref="L193">_xlfn.IFS(F193&gt;=15,"Bulk Order",AND(F193&gt;=5,F193&lt;=14),"Medium Order",F193&lt;5,"Regular Order")</f>
        <v>Bulk Order</v>
      </c>
    </row>
    <row r="194" spans="1:12" ht="15" thickBot="1" x14ac:dyDescent="0.4">
      <c r="A194" s="5">
        <v>1180</v>
      </c>
      <c r="B194" s="5" t="s">
        <v>40</v>
      </c>
      <c r="C194" s="5" t="s">
        <v>31</v>
      </c>
      <c r="D194" s="5" t="s">
        <v>18</v>
      </c>
      <c r="E194" s="5" t="s">
        <v>28</v>
      </c>
      <c r="F194" s="5">
        <v>2</v>
      </c>
      <c r="G194" s="5">
        <v>2076</v>
      </c>
      <c r="H194" s="5">
        <v>2</v>
      </c>
      <c r="I194" s="6">
        <v>46111</v>
      </c>
      <c r="J194" s="6">
        <v>46121</v>
      </c>
      <c r="K194" s="10" t="s">
        <v>29</v>
      </c>
      <c r="L194" s="18" t="str" cm="1">
        <f t="array" ref="L194">_xlfn.IFS(F194&gt;=15,"Bulk Order",AND(F194&gt;=5,F194&lt;=14),"Medium Order",F194&lt;5,"Regular Order")</f>
        <v>Regular Order</v>
      </c>
    </row>
    <row r="195" spans="1:12" ht="15" thickBot="1" x14ac:dyDescent="0.4">
      <c r="A195" s="5">
        <v>1178</v>
      </c>
      <c r="B195" s="5" t="s">
        <v>57</v>
      </c>
      <c r="C195" s="5" t="s">
        <v>17</v>
      </c>
      <c r="D195" s="5" t="s">
        <v>13</v>
      </c>
      <c r="E195" s="5" t="s">
        <v>50</v>
      </c>
      <c r="F195" s="5">
        <v>5</v>
      </c>
      <c r="G195" s="5">
        <v>50</v>
      </c>
      <c r="H195" s="5">
        <v>0</v>
      </c>
      <c r="I195" s="6">
        <v>46111</v>
      </c>
      <c r="J195" s="6">
        <v>46117</v>
      </c>
      <c r="K195" s="10" t="s">
        <v>20</v>
      </c>
      <c r="L195" s="18" t="str" cm="1">
        <f t="array" ref="L195">_xlfn.IFS(F195&gt;=15,"Bulk Order",AND(F195&gt;=5,F195&lt;=14),"Medium Order",F195&lt;5,"Regular Order")</f>
        <v>Medium Order</v>
      </c>
    </row>
    <row r="196" spans="1:12" ht="15" thickBot="1" x14ac:dyDescent="0.4">
      <c r="A196" s="5">
        <v>1251</v>
      </c>
      <c r="B196" s="5" t="s">
        <v>55</v>
      </c>
      <c r="C196" s="5" t="s">
        <v>38</v>
      </c>
      <c r="D196" s="5" t="s">
        <v>34</v>
      </c>
      <c r="E196" s="5" t="s">
        <v>61</v>
      </c>
      <c r="F196" s="5">
        <v>19</v>
      </c>
      <c r="G196" s="5">
        <v>48548</v>
      </c>
      <c r="H196" s="5">
        <v>0</v>
      </c>
      <c r="I196" s="6">
        <v>46112</v>
      </c>
      <c r="J196" s="6">
        <v>46121</v>
      </c>
      <c r="K196" s="10" t="s">
        <v>51</v>
      </c>
      <c r="L196" s="18" t="str" cm="1">
        <f t="array" ref="L196">_xlfn.IFS(F196&gt;=15,"Bulk Order",AND(F196&gt;=5,F196&lt;=14),"Medium Order",F196&lt;5,"Regular Order")</f>
        <v>Bulk Order</v>
      </c>
    </row>
    <row r="197" spans="1:12" ht="15" thickBot="1" x14ac:dyDescent="0.4">
      <c r="A197" s="5">
        <v>1133</v>
      </c>
      <c r="B197" s="5" t="s">
        <v>11</v>
      </c>
      <c r="C197" s="5" t="s">
        <v>12</v>
      </c>
      <c r="D197" s="5" t="s">
        <v>18</v>
      </c>
      <c r="E197" s="5" t="s">
        <v>56</v>
      </c>
      <c r="F197" s="5">
        <v>6</v>
      </c>
      <c r="G197" s="5">
        <v>9037</v>
      </c>
      <c r="H197" s="5">
        <v>2</v>
      </c>
      <c r="I197" s="6">
        <v>46112</v>
      </c>
      <c r="J197" s="6">
        <v>46121</v>
      </c>
      <c r="K197" s="10" t="s">
        <v>51</v>
      </c>
      <c r="L197" s="18" t="str" cm="1">
        <f t="array" ref="L197">_xlfn.IFS(F197&gt;=15,"Bulk Order",AND(F197&gt;=5,F197&lt;=14),"Medium Order",F197&lt;5,"Regular Order")</f>
        <v>Medium Order</v>
      </c>
    </row>
    <row r="198" spans="1:12" ht="15" thickBot="1" x14ac:dyDescent="0.4">
      <c r="A198" s="5">
        <v>1227</v>
      </c>
      <c r="B198" s="5" t="s">
        <v>58</v>
      </c>
      <c r="C198" s="5" t="s">
        <v>22</v>
      </c>
      <c r="D198" s="5" t="s">
        <v>34</v>
      </c>
      <c r="E198" s="5" t="s">
        <v>45</v>
      </c>
      <c r="F198" s="5">
        <v>16</v>
      </c>
      <c r="G198" s="5">
        <v>1321</v>
      </c>
      <c r="H198" s="5">
        <v>12</v>
      </c>
      <c r="I198" s="6">
        <v>46113</v>
      </c>
      <c r="J198" s="6">
        <v>46116</v>
      </c>
      <c r="K198" s="10" t="s">
        <v>15</v>
      </c>
      <c r="L198" s="18" t="str" cm="1">
        <f t="array" ref="L198">_xlfn.IFS(F198&gt;=15,"Bulk Order",AND(F198&gt;=5,F198&lt;=14),"Medium Order",F198&lt;5,"Regular Order")</f>
        <v>Bulk Order</v>
      </c>
    </row>
    <row r="199" spans="1:12" ht="15" thickBot="1" x14ac:dyDescent="0.4">
      <c r="A199" s="5">
        <v>1077</v>
      </c>
      <c r="B199" s="5" t="s">
        <v>55</v>
      </c>
      <c r="C199" s="5" t="s">
        <v>25</v>
      </c>
      <c r="D199" s="5" t="s">
        <v>13</v>
      </c>
      <c r="E199" s="5" t="s">
        <v>14</v>
      </c>
      <c r="F199" s="5">
        <v>1</v>
      </c>
      <c r="G199" s="5">
        <v>123</v>
      </c>
      <c r="H199" s="5">
        <v>10</v>
      </c>
      <c r="I199" s="6">
        <v>46113</v>
      </c>
      <c r="J199" s="6">
        <v>46121</v>
      </c>
      <c r="K199" s="10" t="s">
        <v>51</v>
      </c>
      <c r="L199" s="18" t="str" cm="1">
        <f t="array" ref="L199">_xlfn.IFS(F199&gt;=15,"Bulk Order",AND(F199&gt;=5,F199&lt;=14),"Medium Order",F199&lt;5,"Regular Order")</f>
        <v>Regular Order</v>
      </c>
    </row>
    <row r="200" spans="1:12" ht="15" thickBot="1" x14ac:dyDescent="0.4">
      <c r="A200" s="5">
        <v>1059</v>
      </c>
      <c r="B200" s="5" t="s">
        <v>54</v>
      </c>
      <c r="C200" s="5" t="s">
        <v>25</v>
      </c>
      <c r="D200" s="5" t="s">
        <v>13</v>
      </c>
      <c r="E200" s="5" t="s">
        <v>50</v>
      </c>
      <c r="F200" s="5">
        <v>20</v>
      </c>
      <c r="G200" s="5">
        <v>112</v>
      </c>
      <c r="H200" s="5">
        <v>10</v>
      </c>
      <c r="I200" s="6">
        <v>46113</v>
      </c>
      <c r="J200" s="6">
        <v>46122</v>
      </c>
      <c r="K200" s="10" t="s">
        <v>51</v>
      </c>
      <c r="L200" s="18" t="str" cm="1">
        <f t="array" ref="L200">_xlfn.IFS(F200&gt;=15,"Bulk Order",AND(F200&gt;=5,F200&lt;=14),"Medium Order",F200&lt;5,"Regular Order")</f>
        <v>Bulk Order</v>
      </c>
    </row>
    <row r="201" spans="1:12" ht="15" thickBot="1" x14ac:dyDescent="0.4">
      <c r="A201" s="5">
        <v>1234</v>
      </c>
      <c r="B201" s="5" t="s">
        <v>11</v>
      </c>
      <c r="C201" s="5" t="s">
        <v>25</v>
      </c>
      <c r="D201" s="5" t="s">
        <v>18</v>
      </c>
      <c r="E201" s="5" t="s">
        <v>28</v>
      </c>
      <c r="F201" s="5">
        <v>1</v>
      </c>
      <c r="G201" s="5">
        <v>14320</v>
      </c>
      <c r="H201" s="5">
        <v>12</v>
      </c>
      <c r="I201" s="6">
        <v>46114</v>
      </c>
      <c r="J201" s="6">
        <v>46121</v>
      </c>
      <c r="K201" s="10" t="s">
        <v>51</v>
      </c>
      <c r="L201" s="18" t="str" cm="1">
        <f t="array" ref="L201">_xlfn.IFS(F201&gt;=15,"Bulk Order",AND(F201&gt;=5,F201&lt;=14),"Medium Order",F201&lt;5,"Regular Order")</f>
        <v>Regular Order</v>
      </c>
    </row>
    <row r="202" spans="1:12" ht="15" thickBot="1" x14ac:dyDescent="0.4">
      <c r="A202" s="5">
        <v>1074</v>
      </c>
      <c r="B202" s="5" t="s">
        <v>26</v>
      </c>
      <c r="C202" s="5" t="s">
        <v>31</v>
      </c>
      <c r="D202" s="5" t="s">
        <v>13</v>
      </c>
      <c r="E202" s="5" t="s">
        <v>50</v>
      </c>
      <c r="F202" s="5">
        <v>11</v>
      </c>
      <c r="G202" s="5">
        <v>390</v>
      </c>
      <c r="H202" s="5">
        <v>15</v>
      </c>
      <c r="I202" s="6">
        <v>46114</v>
      </c>
      <c r="J202" s="6">
        <v>46123</v>
      </c>
      <c r="K202" s="10" t="s">
        <v>29</v>
      </c>
      <c r="L202" s="18" t="str" cm="1">
        <f t="array" ref="L202">_xlfn.IFS(F202&gt;=15,"Bulk Order",AND(F202&gt;=5,F202&lt;=14),"Medium Order",F202&lt;5,"Regular Order")</f>
        <v>Medium Order</v>
      </c>
    </row>
    <row r="203" spans="1:12" ht="15" thickBot="1" x14ac:dyDescent="0.4">
      <c r="A203" s="5">
        <v>1213</v>
      </c>
      <c r="B203" s="5" t="s">
        <v>32</v>
      </c>
      <c r="C203" s="5" t="s">
        <v>38</v>
      </c>
      <c r="D203" s="5" t="s">
        <v>34</v>
      </c>
      <c r="E203" s="5" t="s">
        <v>45</v>
      </c>
      <c r="F203" s="5">
        <v>16</v>
      </c>
      <c r="G203" s="5">
        <v>27741</v>
      </c>
      <c r="H203" s="5">
        <v>12</v>
      </c>
      <c r="I203" s="6">
        <v>46116</v>
      </c>
      <c r="J203" s="6">
        <v>46119</v>
      </c>
      <c r="K203" s="10" t="s">
        <v>15</v>
      </c>
      <c r="L203" s="18" t="str" cm="1">
        <f t="array" ref="L203">_xlfn.IFS(F203&gt;=15,"Bulk Order",AND(F203&gt;=5,F203&lt;=14),"Medium Order",F203&lt;5,"Regular Order")</f>
        <v>Bulk Order</v>
      </c>
    </row>
    <row r="204" spans="1:12" ht="15" thickBot="1" x14ac:dyDescent="0.4">
      <c r="A204" s="5">
        <v>1028</v>
      </c>
      <c r="B204" s="5" t="s">
        <v>47</v>
      </c>
      <c r="C204" s="5" t="s">
        <v>22</v>
      </c>
      <c r="D204" s="5" t="s">
        <v>13</v>
      </c>
      <c r="E204" s="5" t="s">
        <v>36</v>
      </c>
      <c r="F204" s="5">
        <v>13</v>
      </c>
      <c r="G204" s="5">
        <v>433</v>
      </c>
      <c r="H204" s="5">
        <v>2</v>
      </c>
      <c r="I204" s="6">
        <v>46116</v>
      </c>
      <c r="J204" s="6">
        <v>46121</v>
      </c>
      <c r="K204" s="10" t="s">
        <v>24</v>
      </c>
      <c r="L204" s="18" t="str" cm="1">
        <f t="array" ref="L204">_xlfn.IFS(F204&gt;=15,"Bulk Order",AND(F204&gt;=5,F204&lt;=14),"Medium Order",F204&lt;5,"Regular Order")</f>
        <v>Medium Order</v>
      </c>
    </row>
    <row r="205" spans="1:12" ht="15" thickBot="1" x14ac:dyDescent="0.4">
      <c r="A205" s="5">
        <v>1287</v>
      </c>
      <c r="B205" s="5" t="s">
        <v>59</v>
      </c>
      <c r="C205" s="5" t="s">
        <v>31</v>
      </c>
      <c r="D205" s="5" t="s">
        <v>13</v>
      </c>
      <c r="E205" s="5" t="s">
        <v>14</v>
      </c>
      <c r="F205" s="5">
        <v>15</v>
      </c>
      <c r="G205" s="5">
        <v>251</v>
      </c>
      <c r="H205" s="5">
        <v>2</v>
      </c>
      <c r="I205" s="6">
        <v>46116</v>
      </c>
      <c r="J205" s="6">
        <v>46122</v>
      </c>
      <c r="K205" s="10" t="s">
        <v>51</v>
      </c>
      <c r="L205" s="18" t="str" cm="1">
        <f t="array" ref="L205">_xlfn.IFS(F205&gt;=15,"Bulk Order",AND(F205&gt;=5,F205&lt;=14),"Medium Order",F205&lt;5,"Regular Order")</f>
        <v>Bulk Order</v>
      </c>
    </row>
    <row r="206" spans="1:12" ht="15" thickBot="1" x14ac:dyDescent="0.4">
      <c r="A206" s="5">
        <v>1022</v>
      </c>
      <c r="B206" s="5" t="s">
        <v>26</v>
      </c>
      <c r="C206" s="5" t="s">
        <v>17</v>
      </c>
      <c r="D206" s="5" t="s">
        <v>34</v>
      </c>
      <c r="E206" s="5" t="s">
        <v>45</v>
      </c>
      <c r="F206" s="5">
        <v>15</v>
      </c>
      <c r="G206" s="5">
        <v>11596</v>
      </c>
      <c r="H206" s="5">
        <v>0</v>
      </c>
      <c r="I206" s="6">
        <v>46117</v>
      </c>
      <c r="J206" s="6">
        <v>46121</v>
      </c>
      <c r="K206" s="10" t="s">
        <v>29</v>
      </c>
      <c r="L206" s="18" t="str" cm="1">
        <f t="array" ref="L206">_xlfn.IFS(F206&gt;=15,"Bulk Order",AND(F206&gt;=5,F206&lt;=14),"Medium Order",F206&lt;5,"Regular Order")</f>
        <v>Bulk Order</v>
      </c>
    </row>
    <row r="207" spans="1:12" ht="15" thickBot="1" x14ac:dyDescent="0.4">
      <c r="A207" s="5">
        <v>1265</v>
      </c>
      <c r="B207" s="5" t="s">
        <v>58</v>
      </c>
      <c r="C207" s="5" t="s">
        <v>22</v>
      </c>
      <c r="D207" s="5" t="s">
        <v>18</v>
      </c>
      <c r="E207" s="5" t="s">
        <v>19</v>
      </c>
      <c r="F207" s="5">
        <v>1</v>
      </c>
      <c r="G207" s="5">
        <v>1052</v>
      </c>
      <c r="H207" s="5">
        <v>7</v>
      </c>
      <c r="I207" s="6">
        <v>46117</v>
      </c>
      <c r="J207" s="6">
        <v>46127</v>
      </c>
      <c r="K207" s="10" t="s">
        <v>51</v>
      </c>
      <c r="L207" s="18" t="str" cm="1">
        <f t="array" ref="L207">_xlfn.IFS(F207&gt;=15,"Bulk Order",AND(F207&gt;=5,F207&lt;=14),"Medium Order",F207&lt;5,"Regular Order")</f>
        <v>Regular Order</v>
      </c>
    </row>
    <row r="208" spans="1:12" ht="15" thickBot="1" x14ac:dyDescent="0.4">
      <c r="A208" s="5">
        <v>1354</v>
      </c>
      <c r="B208" s="5" t="s">
        <v>47</v>
      </c>
      <c r="C208" s="5" t="s">
        <v>43</v>
      </c>
      <c r="D208" s="5" t="s">
        <v>34</v>
      </c>
      <c r="E208" s="5" t="s">
        <v>35</v>
      </c>
      <c r="F208" s="5">
        <v>15</v>
      </c>
      <c r="G208" s="5">
        <v>14927</v>
      </c>
      <c r="H208" s="5">
        <v>15</v>
      </c>
      <c r="I208" s="6">
        <v>46118</v>
      </c>
      <c r="J208" s="6">
        <v>46120</v>
      </c>
      <c r="K208" s="10" t="s">
        <v>51</v>
      </c>
      <c r="L208" s="18" t="str" cm="1">
        <f t="array" ref="L208">_xlfn.IFS(F208&gt;=15,"Bulk Order",AND(F208&gt;=5,F208&lt;=14),"Medium Order",F208&lt;5,"Regular Order")</f>
        <v>Bulk Order</v>
      </c>
    </row>
    <row r="209" spans="1:12" ht="15" thickBot="1" x14ac:dyDescent="0.4">
      <c r="A209" s="5">
        <v>1108</v>
      </c>
      <c r="B209" s="5" t="s">
        <v>42</v>
      </c>
      <c r="C209" s="5" t="s">
        <v>33</v>
      </c>
      <c r="D209" s="5" t="s">
        <v>18</v>
      </c>
      <c r="E209" s="5" t="s">
        <v>28</v>
      </c>
      <c r="F209" s="5">
        <v>15</v>
      </c>
      <c r="G209" s="5">
        <v>13843</v>
      </c>
      <c r="H209" s="5">
        <v>7</v>
      </c>
      <c r="I209" s="6">
        <v>46119</v>
      </c>
      <c r="J209" s="6">
        <v>46127</v>
      </c>
      <c r="K209" s="10" t="s">
        <v>20</v>
      </c>
      <c r="L209" s="18" t="str" cm="1">
        <f t="array" ref="L209">_xlfn.IFS(F209&gt;=15,"Bulk Order",AND(F209&gt;=5,F209&lt;=14),"Medium Order",F209&lt;5,"Regular Order")</f>
        <v>Bulk Order</v>
      </c>
    </row>
    <row r="210" spans="1:12" ht="15" thickBot="1" x14ac:dyDescent="0.4">
      <c r="A210" s="5">
        <v>1241</v>
      </c>
      <c r="B210" s="5" t="s">
        <v>46</v>
      </c>
      <c r="C210" s="5" t="s">
        <v>31</v>
      </c>
      <c r="D210" s="5" t="s">
        <v>18</v>
      </c>
      <c r="E210" s="5" t="s">
        <v>44</v>
      </c>
      <c r="F210" s="5">
        <v>1</v>
      </c>
      <c r="G210" s="5">
        <v>12537</v>
      </c>
      <c r="H210" s="5">
        <v>0</v>
      </c>
      <c r="I210" s="6">
        <v>46119</v>
      </c>
      <c r="J210" s="6">
        <v>46122</v>
      </c>
      <c r="K210" s="10" t="s">
        <v>15</v>
      </c>
      <c r="L210" s="18" t="str" cm="1">
        <f t="array" ref="L210">_xlfn.IFS(F210&gt;=15,"Bulk Order",AND(F210&gt;=5,F210&lt;=14),"Medium Order",F210&lt;5,"Regular Order")</f>
        <v>Regular Order</v>
      </c>
    </row>
    <row r="211" spans="1:12" ht="15" thickBot="1" x14ac:dyDescent="0.4">
      <c r="A211" s="5">
        <v>1203</v>
      </c>
      <c r="B211" s="5" t="s">
        <v>40</v>
      </c>
      <c r="C211" s="5" t="s">
        <v>22</v>
      </c>
      <c r="D211" s="5" t="s">
        <v>18</v>
      </c>
      <c r="E211" s="5" t="s">
        <v>23</v>
      </c>
      <c r="F211" s="5">
        <v>17</v>
      </c>
      <c r="G211" s="5">
        <v>6695</v>
      </c>
      <c r="H211" s="5">
        <v>2</v>
      </c>
      <c r="I211" s="6">
        <v>46119</v>
      </c>
      <c r="J211" s="6">
        <v>46122</v>
      </c>
      <c r="K211" s="10" t="s">
        <v>51</v>
      </c>
      <c r="L211" s="18" t="str" cm="1">
        <f t="array" ref="L211">_xlfn.IFS(F211&gt;=15,"Bulk Order",AND(F211&gt;=5,F211&lt;=14),"Medium Order",F211&lt;5,"Regular Order")</f>
        <v>Bulk Order</v>
      </c>
    </row>
    <row r="212" spans="1:12" ht="15" thickBot="1" x14ac:dyDescent="0.4">
      <c r="A212" s="5">
        <v>1261</v>
      </c>
      <c r="B212" s="5" t="s">
        <v>40</v>
      </c>
      <c r="C212" s="5" t="s">
        <v>17</v>
      </c>
      <c r="D212" s="5" t="s">
        <v>13</v>
      </c>
      <c r="E212" s="5" t="s">
        <v>50</v>
      </c>
      <c r="F212" s="5">
        <v>20</v>
      </c>
      <c r="G212" s="5">
        <v>162</v>
      </c>
      <c r="H212" s="5">
        <v>7</v>
      </c>
      <c r="I212" s="6">
        <v>46119</v>
      </c>
      <c r="J212" s="6">
        <v>46120</v>
      </c>
      <c r="K212" s="10" t="s">
        <v>51</v>
      </c>
      <c r="L212" s="18" t="str" cm="1">
        <f t="array" ref="L212">_xlfn.IFS(F212&gt;=15,"Bulk Order",AND(F212&gt;=5,F212&lt;=14),"Medium Order",F212&lt;5,"Regular Order")</f>
        <v>Bulk Order</v>
      </c>
    </row>
    <row r="213" spans="1:12" ht="15" thickBot="1" x14ac:dyDescent="0.4">
      <c r="A213" s="5">
        <v>1172</v>
      </c>
      <c r="B213" s="5" t="s">
        <v>16</v>
      </c>
      <c r="C213" s="5" t="s">
        <v>12</v>
      </c>
      <c r="D213" s="5" t="s">
        <v>34</v>
      </c>
      <c r="E213" s="5" t="s">
        <v>45</v>
      </c>
      <c r="F213" s="5">
        <v>13</v>
      </c>
      <c r="G213" s="5">
        <v>43163</v>
      </c>
      <c r="H213" s="5">
        <v>12</v>
      </c>
      <c r="I213" s="6">
        <v>46120</v>
      </c>
      <c r="J213" s="6">
        <v>46129</v>
      </c>
      <c r="K213" s="10" t="s">
        <v>24</v>
      </c>
      <c r="L213" s="18" t="str" cm="1">
        <f t="array" ref="L213">_xlfn.IFS(F213&gt;=15,"Bulk Order",AND(F213&gt;=5,F213&lt;=14),"Medium Order",F213&lt;5,"Regular Order")</f>
        <v>Medium Order</v>
      </c>
    </row>
    <row r="214" spans="1:12" ht="15" thickBot="1" x14ac:dyDescent="0.4">
      <c r="A214" s="5">
        <v>1169</v>
      </c>
      <c r="B214" s="5" t="s">
        <v>47</v>
      </c>
      <c r="C214" s="5" t="s">
        <v>12</v>
      </c>
      <c r="D214" s="5" t="s">
        <v>18</v>
      </c>
      <c r="E214" s="5" t="s">
        <v>56</v>
      </c>
      <c r="F214" s="5">
        <v>12</v>
      </c>
      <c r="G214" s="5">
        <v>12104</v>
      </c>
      <c r="H214" s="5">
        <v>7</v>
      </c>
      <c r="I214" s="6">
        <v>46121</v>
      </c>
      <c r="J214" s="6">
        <v>46130</v>
      </c>
      <c r="K214" s="10" t="s">
        <v>24</v>
      </c>
      <c r="L214" s="18" t="str" cm="1">
        <f t="array" ref="L214">_xlfn.IFS(F214&gt;=15,"Bulk Order",AND(F214&gt;=5,F214&lt;=14),"Medium Order",F214&lt;5,"Regular Order")</f>
        <v>Medium Order</v>
      </c>
    </row>
    <row r="215" spans="1:12" ht="15" thickBot="1" x14ac:dyDescent="0.4">
      <c r="A215" s="5">
        <v>1363</v>
      </c>
      <c r="B215" s="5" t="s">
        <v>27</v>
      </c>
      <c r="C215" s="5" t="s">
        <v>25</v>
      </c>
      <c r="D215" s="5" t="s">
        <v>34</v>
      </c>
      <c r="E215" s="5" t="s">
        <v>35</v>
      </c>
      <c r="F215" s="5">
        <v>7</v>
      </c>
      <c r="G215" s="5">
        <v>45381</v>
      </c>
      <c r="H215" s="5">
        <v>0</v>
      </c>
      <c r="I215" s="6">
        <v>46122</v>
      </c>
      <c r="J215" s="6">
        <v>46128</v>
      </c>
      <c r="K215" s="10" t="s">
        <v>15</v>
      </c>
      <c r="L215" s="18" t="str" cm="1">
        <f t="array" ref="L215">_xlfn.IFS(F215&gt;=15,"Bulk Order",AND(F215&gt;=5,F215&lt;=14),"Medium Order",F215&lt;5,"Regular Order")</f>
        <v>Medium Order</v>
      </c>
    </row>
    <row r="216" spans="1:12" ht="15" thickBot="1" x14ac:dyDescent="0.4">
      <c r="A216" s="5">
        <v>1289</v>
      </c>
      <c r="B216" s="5" t="s">
        <v>26</v>
      </c>
      <c r="C216" s="5" t="s">
        <v>22</v>
      </c>
      <c r="D216" s="5" t="s">
        <v>34</v>
      </c>
      <c r="E216" s="5" t="s">
        <v>45</v>
      </c>
      <c r="F216" s="5">
        <v>19</v>
      </c>
      <c r="G216" s="5">
        <v>25336</v>
      </c>
      <c r="H216" s="5">
        <v>2</v>
      </c>
      <c r="I216" s="6">
        <v>46122</v>
      </c>
      <c r="J216" s="6">
        <v>46130</v>
      </c>
      <c r="K216" s="10" t="s">
        <v>24</v>
      </c>
      <c r="L216" s="18" t="str" cm="1">
        <f t="array" ref="L216">_xlfn.IFS(F216&gt;=15,"Bulk Order",AND(F216&gt;=5,F216&lt;=14),"Medium Order",F216&lt;5,"Regular Order")</f>
        <v>Bulk Order</v>
      </c>
    </row>
    <row r="217" spans="1:12" ht="15" thickBot="1" x14ac:dyDescent="0.4">
      <c r="A217" s="5">
        <v>1239</v>
      </c>
      <c r="B217" s="5" t="s">
        <v>48</v>
      </c>
      <c r="C217" s="5" t="s">
        <v>17</v>
      </c>
      <c r="D217" s="5" t="s">
        <v>18</v>
      </c>
      <c r="E217" s="5" t="s">
        <v>56</v>
      </c>
      <c r="F217" s="5">
        <v>2</v>
      </c>
      <c r="G217" s="5">
        <v>12330</v>
      </c>
      <c r="H217" s="5">
        <v>12</v>
      </c>
      <c r="I217" s="6">
        <v>46122</v>
      </c>
      <c r="J217" s="6">
        <v>46125</v>
      </c>
      <c r="K217" s="10" t="s">
        <v>15</v>
      </c>
      <c r="L217" s="18" t="str" cm="1">
        <f t="array" ref="L217">_xlfn.IFS(F217&gt;=15,"Bulk Order",AND(F217&gt;=5,F217&lt;=14),"Medium Order",F217&lt;5,"Regular Order")</f>
        <v>Regular Order</v>
      </c>
    </row>
    <row r="218" spans="1:12" ht="15" thickBot="1" x14ac:dyDescent="0.4">
      <c r="A218" s="5">
        <v>1221</v>
      </c>
      <c r="B218" s="5" t="s">
        <v>11</v>
      </c>
      <c r="C218" s="5" t="s">
        <v>31</v>
      </c>
      <c r="D218" s="5" t="s">
        <v>18</v>
      </c>
      <c r="E218" s="5" t="s">
        <v>56</v>
      </c>
      <c r="F218" s="5">
        <v>18</v>
      </c>
      <c r="G218" s="5">
        <v>2681</v>
      </c>
      <c r="H218" s="5">
        <v>10</v>
      </c>
      <c r="I218" s="6">
        <v>46122</v>
      </c>
      <c r="J218" s="6">
        <v>46125</v>
      </c>
      <c r="K218" s="10" t="s">
        <v>51</v>
      </c>
      <c r="L218" s="18" t="str" cm="1">
        <f t="array" ref="L218">_xlfn.IFS(F218&gt;=15,"Bulk Order",AND(F218&gt;=5,F218&lt;=14),"Medium Order",F218&lt;5,"Regular Order")</f>
        <v>Bulk Order</v>
      </c>
    </row>
    <row r="219" spans="1:12" ht="15" thickBot="1" x14ac:dyDescent="0.4">
      <c r="A219" s="5">
        <v>1299</v>
      </c>
      <c r="B219" s="5" t="s">
        <v>26</v>
      </c>
      <c r="C219" s="5" t="s">
        <v>17</v>
      </c>
      <c r="D219" s="5" t="s">
        <v>18</v>
      </c>
      <c r="E219" s="5" t="s">
        <v>56</v>
      </c>
      <c r="F219" s="5">
        <v>8</v>
      </c>
      <c r="G219" s="5">
        <v>8783</v>
      </c>
      <c r="H219" s="5">
        <v>2</v>
      </c>
      <c r="I219" s="6">
        <v>46123</v>
      </c>
      <c r="J219" s="6">
        <v>46132</v>
      </c>
      <c r="K219" s="10" t="s">
        <v>15</v>
      </c>
      <c r="L219" s="18" t="str" cm="1">
        <f t="array" ref="L219">_xlfn.IFS(F219&gt;=15,"Bulk Order",AND(F219&gt;=5,F219&lt;=14),"Medium Order",F219&lt;5,"Regular Order")</f>
        <v>Medium Order</v>
      </c>
    </row>
    <row r="220" spans="1:12" ht="15" thickBot="1" x14ac:dyDescent="0.4">
      <c r="A220" s="5">
        <v>1204</v>
      </c>
      <c r="B220" s="5" t="s">
        <v>16</v>
      </c>
      <c r="C220" s="5" t="s">
        <v>31</v>
      </c>
      <c r="D220" s="5" t="s">
        <v>13</v>
      </c>
      <c r="E220" s="5" t="s">
        <v>37</v>
      </c>
      <c r="F220" s="5">
        <v>13</v>
      </c>
      <c r="G220" s="5">
        <v>416</v>
      </c>
      <c r="H220" s="5">
        <v>10</v>
      </c>
      <c r="I220" s="6">
        <v>46123</v>
      </c>
      <c r="J220" s="6">
        <v>46132</v>
      </c>
      <c r="K220" s="10" t="s">
        <v>20</v>
      </c>
      <c r="L220" s="18" t="str" cm="1">
        <f t="array" ref="L220">_xlfn.IFS(F220&gt;=15,"Bulk Order",AND(F220&gt;=5,F220&lt;=14),"Medium Order",F220&lt;5,"Regular Order")</f>
        <v>Medium Order</v>
      </c>
    </row>
    <row r="221" spans="1:12" ht="15" thickBot="1" x14ac:dyDescent="0.4">
      <c r="A221" s="5">
        <v>1279</v>
      </c>
      <c r="B221" s="5" t="s">
        <v>55</v>
      </c>
      <c r="C221" s="5" t="s">
        <v>33</v>
      </c>
      <c r="D221" s="5" t="s">
        <v>34</v>
      </c>
      <c r="E221" s="5" t="s">
        <v>45</v>
      </c>
      <c r="F221" s="5">
        <v>20</v>
      </c>
      <c r="G221" s="5">
        <v>49042</v>
      </c>
      <c r="H221" s="5">
        <v>2</v>
      </c>
      <c r="I221" s="6">
        <v>46124</v>
      </c>
      <c r="J221" s="6">
        <v>46126</v>
      </c>
      <c r="K221" s="10" t="s">
        <v>15</v>
      </c>
      <c r="L221" s="18" t="str" cm="1">
        <f t="array" ref="L221">_xlfn.IFS(F221&gt;=15,"Bulk Order",AND(F221&gt;=5,F221&lt;=14),"Medium Order",F221&lt;5,"Regular Order")</f>
        <v>Bulk Order</v>
      </c>
    </row>
    <row r="222" spans="1:12" ht="15" thickBot="1" x14ac:dyDescent="0.4">
      <c r="A222" s="5">
        <v>1392</v>
      </c>
      <c r="B222" s="5" t="s">
        <v>29</v>
      </c>
      <c r="C222" s="5" t="s">
        <v>43</v>
      </c>
      <c r="D222" s="5" t="s">
        <v>34</v>
      </c>
      <c r="E222" s="5" t="s">
        <v>35</v>
      </c>
      <c r="F222" s="5">
        <v>13</v>
      </c>
      <c r="G222" s="5">
        <v>23903</v>
      </c>
      <c r="H222" s="5">
        <v>5</v>
      </c>
      <c r="I222" s="6">
        <v>46124</v>
      </c>
      <c r="J222" s="6">
        <v>46125</v>
      </c>
      <c r="K222" s="10" t="s">
        <v>29</v>
      </c>
      <c r="L222" s="18" t="str" cm="1">
        <f t="array" ref="L222">_xlfn.IFS(F222&gt;=15,"Bulk Order",AND(F222&gt;=5,F222&lt;=14),"Medium Order",F222&lt;5,"Regular Order")</f>
        <v>Medium Order</v>
      </c>
    </row>
    <row r="223" spans="1:12" ht="15" thickBot="1" x14ac:dyDescent="0.4">
      <c r="A223" s="5">
        <v>1303</v>
      </c>
      <c r="B223" s="5" t="s">
        <v>57</v>
      </c>
      <c r="C223" s="5" t="s">
        <v>38</v>
      </c>
      <c r="D223" s="5" t="s">
        <v>34</v>
      </c>
      <c r="E223" s="5" t="s">
        <v>35</v>
      </c>
      <c r="F223" s="5">
        <v>13</v>
      </c>
      <c r="G223" s="5">
        <v>5170</v>
      </c>
      <c r="H223" s="5">
        <v>2</v>
      </c>
      <c r="I223" s="6">
        <v>46124</v>
      </c>
      <c r="J223" s="6">
        <v>46127</v>
      </c>
      <c r="K223" s="10" t="s">
        <v>15</v>
      </c>
      <c r="L223" s="18" t="str" cm="1">
        <f t="array" ref="L223">_xlfn.IFS(F223&gt;=15,"Bulk Order",AND(F223&gt;=5,F223&lt;=14),"Medium Order",F223&lt;5,"Regular Order")</f>
        <v>Medium Order</v>
      </c>
    </row>
    <row r="224" spans="1:12" ht="15" thickBot="1" x14ac:dyDescent="0.4">
      <c r="A224" s="5">
        <v>1225</v>
      </c>
      <c r="B224" s="5" t="s">
        <v>42</v>
      </c>
      <c r="C224" s="5" t="s">
        <v>31</v>
      </c>
      <c r="D224" s="5" t="s">
        <v>34</v>
      </c>
      <c r="E224" s="5" t="s">
        <v>35</v>
      </c>
      <c r="F224" s="5">
        <v>16</v>
      </c>
      <c r="G224" s="5">
        <v>32262</v>
      </c>
      <c r="H224" s="5">
        <v>12</v>
      </c>
      <c r="I224" s="6">
        <v>46125</v>
      </c>
      <c r="J224" s="6">
        <v>46126</v>
      </c>
      <c r="K224" s="10" t="s">
        <v>20</v>
      </c>
      <c r="L224" s="18" t="str" cm="1">
        <f t="array" ref="L224">_xlfn.IFS(F224&gt;=15,"Bulk Order",AND(F224&gt;=5,F224&lt;=14),"Medium Order",F224&lt;5,"Regular Order")</f>
        <v>Bulk Order</v>
      </c>
    </row>
    <row r="225" spans="1:12" ht="15" thickBot="1" x14ac:dyDescent="0.4">
      <c r="A225" s="5">
        <v>1130</v>
      </c>
      <c r="B225" s="5" t="s">
        <v>48</v>
      </c>
      <c r="C225" s="5" t="s">
        <v>33</v>
      </c>
      <c r="D225" s="5" t="s">
        <v>13</v>
      </c>
      <c r="E225" s="5" t="s">
        <v>14</v>
      </c>
      <c r="F225" s="5">
        <v>12</v>
      </c>
      <c r="G225" s="5">
        <v>50</v>
      </c>
      <c r="H225" s="5">
        <v>2</v>
      </c>
      <c r="I225" s="6">
        <v>46125</v>
      </c>
      <c r="J225" s="6">
        <v>46131</v>
      </c>
      <c r="K225" s="10" t="s">
        <v>24</v>
      </c>
      <c r="L225" s="18" t="str" cm="1">
        <f t="array" ref="L225">_xlfn.IFS(F225&gt;=15,"Bulk Order",AND(F225&gt;=5,F225&lt;=14),"Medium Order",F225&lt;5,"Regular Order")</f>
        <v>Medium Order</v>
      </c>
    </row>
    <row r="226" spans="1:12" ht="15" thickBot="1" x14ac:dyDescent="0.4">
      <c r="A226" s="5">
        <v>1073</v>
      </c>
      <c r="B226" s="5" t="s">
        <v>58</v>
      </c>
      <c r="C226" s="5" t="s">
        <v>17</v>
      </c>
      <c r="D226" s="5" t="s">
        <v>18</v>
      </c>
      <c r="E226" s="5" t="s">
        <v>56</v>
      </c>
      <c r="F226" s="5">
        <v>4</v>
      </c>
      <c r="G226" s="5">
        <v>2453</v>
      </c>
      <c r="H226" s="5">
        <v>7</v>
      </c>
      <c r="I226" s="6">
        <v>46126</v>
      </c>
      <c r="J226" s="6">
        <v>46129</v>
      </c>
      <c r="K226" s="10" t="s">
        <v>51</v>
      </c>
      <c r="L226" s="18" t="str" cm="1">
        <f t="array" ref="L226">_xlfn.IFS(F226&gt;=15,"Bulk Order",AND(F226&gt;=5,F226&lt;=14),"Medium Order",F226&lt;5,"Regular Order")</f>
        <v>Regular Order</v>
      </c>
    </row>
    <row r="227" spans="1:12" ht="15" thickBot="1" x14ac:dyDescent="0.4">
      <c r="A227" s="5">
        <v>1098</v>
      </c>
      <c r="B227" s="5" t="s">
        <v>26</v>
      </c>
      <c r="C227" s="5" t="s">
        <v>25</v>
      </c>
      <c r="D227" s="5" t="s">
        <v>13</v>
      </c>
      <c r="E227" s="5" t="s">
        <v>53</v>
      </c>
      <c r="F227" s="5">
        <v>17</v>
      </c>
      <c r="G227" s="5">
        <v>345</v>
      </c>
      <c r="H227" s="5">
        <v>2</v>
      </c>
      <c r="I227" s="6">
        <v>46126</v>
      </c>
      <c r="J227" s="6">
        <v>46127</v>
      </c>
      <c r="K227" s="10" t="s">
        <v>51</v>
      </c>
      <c r="L227" s="18" t="str" cm="1">
        <f t="array" ref="L227">_xlfn.IFS(F227&gt;=15,"Bulk Order",AND(F227&gt;=5,F227&lt;=14),"Medium Order",F227&lt;5,"Regular Order")</f>
        <v>Bulk Order</v>
      </c>
    </row>
    <row r="228" spans="1:12" ht="15" thickBot="1" x14ac:dyDescent="0.4">
      <c r="A228" s="5">
        <v>1329</v>
      </c>
      <c r="B228" s="5" t="s">
        <v>30</v>
      </c>
      <c r="C228" s="5" t="s">
        <v>43</v>
      </c>
      <c r="D228" s="5" t="s">
        <v>13</v>
      </c>
      <c r="E228" s="5" t="s">
        <v>53</v>
      </c>
      <c r="F228" s="5">
        <v>18</v>
      </c>
      <c r="G228" s="5">
        <v>227</v>
      </c>
      <c r="H228" s="5">
        <v>5</v>
      </c>
      <c r="I228" s="6">
        <v>46126</v>
      </c>
      <c r="J228" s="6">
        <v>46136</v>
      </c>
      <c r="K228" s="10" t="s">
        <v>29</v>
      </c>
      <c r="L228" s="18" t="str" cm="1">
        <f t="array" ref="L228">_xlfn.IFS(F228&gt;=15,"Bulk Order",AND(F228&gt;=5,F228&lt;=14),"Medium Order",F228&lt;5,"Regular Order")</f>
        <v>Bulk Order</v>
      </c>
    </row>
    <row r="229" spans="1:12" ht="15" thickBot="1" x14ac:dyDescent="0.4">
      <c r="A229" s="5">
        <v>1358</v>
      </c>
      <c r="B229" s="5" t="s">
        <v>40</v>
      </c>
      <c r="C229" s="5" t="s">
        <v>38</v>
      </c>
      <c r="D229" s="5" t="s">
        <v>18</v>
      </c>
      <c r="E229" s="5" t="s">
        <v>19</v>
      </c>
      <c r="F229" s="5">
        <v>7</v>
      </c>
      <c r="G229" s="5">
        <v>6618</v>
      </c>
      <c r="H229" s="5">
        <v>0</v>
      </c>
      <c r="I229" s="6">
        <v>46127</v>
      </c>
      <c r="J229" s="6">
        <v>46129</v>
      </c>
      <c r="K229" s="10" t="s">
        <v>20</v>
      </c>
      <c r="L229" s="18" t="str" cm="1">
        <f t="array" ref="L229">_xlfn.IFS(F229&gt;=15,"Bulk Order",AND(F229&gt;=5,F229&lt;=14),"Medium Order",F229&lt;5,"Regular Order")</f>
        <v>Medium Order</v>
      </c>
    </row>
    <row r="230" spans="1:12" ht="15" thickBot="1" x14ac:dyDescent="0.4">
      <c r="A230" s="5">
        <v>1050</v>
      </c>
      <c r="B230" s="5" t="s">
        <v>32</v>
      </c>
      <c r="C230" s="5" t="s">
        <v>25</v>
      </c>
      <c r="D230" s="5" t="s">
        <v>13</v>
      </c>
      <c r="E230" s="5" t="s">
        <v>53</v>
      </c>
      <c r="F230" s="5">
        <v>12</v>
      </c>
      <c r="G230" s="5">
        <v>360</v>
      </c>
      <c r="H230" s="5">
        <v>5</v>
      </c>
      <c r="I230" s="6">
        <v>46127</v>
      </c>
      <c r="J230" s="6">
        <v>46137</v>
      </c>
      <c r="K230" s="10" t="s">
        <v>29</v>
      </c>
      <c r="L230" s="18" t="str" cm="1">
        <f t="array" ref="L230">_xlfn.IFS(F230&gt;=15,"Bulk Order",AND(F230&gt;=5,F230&lt;=14),"Medium Order",F230&lt;5,"Regular Order")</f>
        <v>Medium Order</v>
      </c>
    </row>
    <row r="231" spans="1:12" ht="15" thickBot="1" x14ac:dyDescent="0.4">
      <c r="A231" s="5">
        <v>1380</v>
      </c>
      <c r="B231" s="5" t="s">
        <v>52</v>
      </c>
      <c r="C231" s="5" t="s">
        <v>43</v>
      </c>
      <c r="D231" s="5" t="s">
        <v>13</v>
      </c>
      <c r="E231" s="5" t="s">
        <v>53</v>
      </c>
      <c r="F231" s="5">
        <v>3</v>
      </c>
      <c r="G231" s="5">
        <v>412</v>
      </c>
      <c r="H231" s="5">
        <v>7</v>
      </c>
      <c r="I231" s="6">
        <v>46128</v>
      </c>
      <c r="J231" s="6">
        <v>46138</v>
      </c>
      <c r="K231" s="10" t="s">
        <v>24</v>
      </c>
      <c r="L231" s="18" t="str" cm="1">
        <f t="array" ref="L231">_xlfn.IFS(F231&gt;=15,"Bulk Order",AND(F231&gt;=5,F231&lt;=14),"Medium Order",F231&lt;5,"Regular Order")</f>
        <v>Regular Order</v>
      </c>
    </row>
    <row r="232" spans="1:12" ht="15" thickBot="1" x14ac:dyDescent="0.4">
      <c r="A232" s="5">
        <v>1308</v>
      </c>
      <c r="B232" s="5" t="s">
        <v>30</v>
      </c>
      <c r="C232" s="5" t="s">
        <v>22</v>
      </c>
      <c r="D232" s="5" t="s">
        <v>34</v>
      </c>
      <c r="E232" s="5" t="s">
        <v>41</v>
      </c>
      <c r="F232" s="5">
        <v>12</v>
      </c>
      <c r="G232" s="5">
        <v>66075</v>
      </c>
      <c r="H232" s="5">
        <v>5</v>
      </c>
      <c r="I232" s="6">
        <v>46129</v>
      </c>
      <c r="J232" s="6">
        <v>46135</v>
      </c>
      <c r="K232" s="10" t="s">
        <v>20</v>
      </c>
      <c r="L232" s="18" t="str" cm="1">
        <f t="array" ref="L232">_xlfn.IFS(F232&gt;=15,"Bulk Order",AND(F232&gt;=5,F232&lt;=14),"Medium Order",F232&lt;5,"Regular Order")</f>
        <v>Medium Order</v>
      </c>
    </row>
    <row r="233" spans="1:12" ht="15" thickBot="1" x14ac:dyDescent="0.4">
      <c r="A233" s="5">
        <v>1014</v>
      </c>
      <c r="B233" s="5" t="s">
        <v>40</v>
      </c>
      <c r="C233" s="5" t="s">
        <v>17</v>
      </c>
      <c r="D233" s="5" t="s">
        <v>34</v>
      </c>
      <c r="E233" s="5" t="s">
        <v>41</v>
      </c>
      <c r="F233" s="5">
        <v>19</v>
      </c>
      <c r="G233" s="5">
        <v>53683</v>
      </c>
      <c r="H233" s="5">
        <v>12</v>
      </c>
      <c r="I233" s="6">
        <v>46129</v>
      </c>
      <c r="J233" s="6">
        <v>46134</v>
      </c>
      <c r="K233" s="10" t="s">
        <v>29</v>
      </c>
      <c r="L233" s="18" t="str" cm="1">
        <f t="array" ref="L233">_xlfn.IFS(F233&gt;=15,"Bulk Order",AND(F233&gt;=5,F233&lt;=14),"Medium Order",F233&lt;5,"Regular Order")</f>
        <v>Bulk Order</v>
      </c>
    </row>
    <row r="234" spans="1:12" ht="15" thickBot="1" x14ac:dyDescent="0.4">
      <c r="A234" s="5">
        <v>1071</v>
      </c>
      <c r="B234" s="5" t="s">
        <v>59</v>
      </c>
      <c r="C234" s="5" t="s">
        <v>22</v>
      </c>
      <c r="D234" s="5" t="s">
        <v>34</v>
      </c>
      <c r="E234" s="5" t="s">
        <v>61</v>
      </c>
      <c r="F234" s="5">
        <v>18</v>
      </c>
      <c r="G234" s="5">
        <v>32197</v>
      </c>
      <c r="H234" s="5">
        <v>5</v>
      </c>
      <c r="I234" s="6">
        <v>46129</v>
      </c>
      <c r="J234" s="6">
        <v>46137</v>
      </c>
      <c r="K234" s="10" t="s">
        <v>20</v>
      </c>
      <c r="L234" s="18" t="str" cm="1">
        <f t="array" ref="L234">_xlfn.IFS(F234&gt;=15,"Bulk Order",AND(F234&gt;=5,F234&lt;=14),"Medium Order",F234&lt;5,"Regular Order")</f>
        <v>Bulk Order</v>
      </c>
    </row>
    <row r="235" spans="1:12" ht="15" thickBot="1" x14ac:dyDescent="0.4">
      <c r="A235" s="5">
        <v>1194</v>
      </c>
      <c r="B235" s="5" t="s">
        <v>57</v>
      </c>
      <c r="C235" s="5" t="s">
        <v>43</v>
      </c>
      <c r="D235" s="5" t="s">
        <v>18</v>
      </c>
      <c r="E235" s="5" t="s">
        <v>28</v>
      </c>
      <c r="F235" s="5">
        <v>13</v>
      </c>
      <c r="G235" s="5">
        <v>12856</v>
      </c>
      <c r="H235" s="5">
        <v>15</v>
      </c>
      <c r="I235" s="6">
        <v>46129</v>
      </c>
      <c r="J235" s="6">
        <v>46133</v>
      </c>
      <c r="K235" s="10" t="s">
        <v>51</v>
      </c>
      <c r="L235" s="18" t="str" cm="1">
        <f t="array" ref="L235">_xlfn.IFS(F235&gt;=15,"Bulk Order",AND(F235&gt;=5,F235&lt;=14),"Medium Order",F235&lt;5,"Regular Order")</f>
        <v>Medium Order</v>
      </c>
    </row>
    <row r="236" spans="1:12" ht="15" thickBot="1" x14ac:dyDescent="0.4">
      <c r="A236" s="5">
        <v>1269</v>
      </c>
      <c r="B236" s="5" t="s">
        <v>52</v>
      </c>
      <c r="C236" s="5" t="s">
        <v>43</v>
      </c>
      <c r="D236" s="5" t="s">
        <v>18</v>
      </c>
      <c r="E236" s="5" t="s">
        <v>19</v>
      </c>
      <c r="F236" s="5">
        <v>14</v>
      </c>
      <c r="G236" s="5">
        <v>5704</v>
      </c>
      <c r="H236" s="5">
        <v>2</v>
      </c>
      <c r="I236" s="6">
        <v>46129</v>
      </c>
      <c r="J236" s="6">
        <v>46131</v>
      </c>
      <c r="K236" s="10" t="s">
        <v>15</v>
      </c>
      <c r="L236" s="18" t="str" cm="1">
        <f t="array" ref="L236">_xlfn.IFS(F236&gt;=15,"Bulk Order",AND(F236&gt;=5,F236&lt;=14),"Medium Order",F236&lt;5,"Regular Order")</f>
        <v>Medium Order</v>
      </c>
    </row>
    <row r="237" spans="1:12" ht="15" thickBot="1" x14ac:dyDescent="0.4">
      <c r="A237" s="5">
        <v>1267</v>
      </c>
      <c r="B237" s="5" t="s">
        <v>27</v>
      </c>
      <c r="C237" s="5" t="s">
        <v>38</v>
      </c>
      <c r="D237" s="5" t="s">
        <v>13</v>
      </c>
      <c r="E237" s="5" t="s">
        <v>50</v>
      </c>
      <c r="F237" s="5">
        <v>1</v>
      </c>
      <c r="G237" s="5">
        <v>50</v>
      </c>
      <c r="H237" s="5">
        <v>0</v>
      </c>
      <c r="I237" s="6">
        <v>46129</v>
      </c>
      <c r="J237" s="6">
        <v>46138</v>
      </c>
      <c r="K237" s="10" t="s">
        <v>20</v>
      </c>
      <c r="L237" s="18" t="str" cm="1">
        <f t="array" ref="L237">_xlfn.IFS(F237&gt;=15,"Bulk Order",AND(F237&gt;=5,F237&lt;=14),"Medium Order",F237&lt;5,"Regular Order")</f>
        <v>Regular Order</v>
      </c>
    </row>
    <row r="238" spans="1:12" ht="15" thickBot="1" x14ac:dyDescent="0.4">
      <c r="A238" s="5">
        <v>1382</v>
      </c>
      <c r="B238" s="5" t="s">
        <v>49</v>
      </c>
      <c r="C238" s="5" t="s">
        <v>33</v>
      </c>
      <c r="D238" s="5" t="s">
        <v>34</v>
      </c>
      <c r="E238" s="5" t="s">
        <v>60</v>
      </c>
      <c r="F238" s="5">
        <v>11</v>
      </c>
      <c r="G238" s="5">
        <v>36198</v>
      </c>
      <c r="H238" s="5">
        <v>0</v>
      </c>
      <c r="I238" s="6">
        <v>46130</v>
      </c>
      <c r="J238" s="6">
        <v>46134</v>
      </c>
      <c r="K238" s="10" t="s">
        <v>15</v>
      </c>
      <c r="L238" s="18" t="str" cm="1">
        <f t="array" ref="L238">_xlfn.IFS(F238&gt;=15,"Bulk Order",AND(F238&gt;=5,F238&lt;=14),"Medium Order",F238&lt;5,"Regular Order")</f>
        <v>Medium Order</v>
      </c>
    </row>
    <row r="239" spans="1:12" ht="15" thickBot="1" x14ac:dyDescent="0.4">
      <c r="A239" s="5">
        <v>1263</v>
      </c>
      <c r="B239" s="5" t="s">
        <v>29</v>
      </c>
      <c r="C239" s="5" t="s">
        <v>38</v>
      </c>
      <c r="D239" s="5" t="s">
        <v>18</v>
      </c>
      <c r="E239" s="5" t="s">
        <v>28</v>
      </c>
      <c r="F239" s="5">
        <v>10</v>
      </c>
      <c r="G239" s="5">
        <v>1505</v>
      </c>
      <c r="H239" s="5">
        <v>0</v>
      </c>
      <c r="I239" s="6">
        <v>46130</v>
      </c>
      <c r="J239" s="6">
        <v>46138</v>
      </c>
      <c r="K239" s="10" t="s">
        <v>51</v>
      </c>
      <c r="L239" s="18" t="str" cm="1">
        <f t="array" ref="L239">_xlfn.IFS(F239&gt;=15,"Bulk Order",AND(F239&gt;=5,F239&lt;=14),"Medium Order",F239&lt;5,"Regular Order")</f>
        <v>Medium Order</v>
      </c>
    </row>
    <row r="240" spans="1:12" ht="15" thickBot="1" x14ac:dyDescent="0.4">
      <c r="A240" s="5">
        <v>1168</v>
      </c>
      <c r="B240" s="5" t="s">
        <v>54</v>
      </c>
      <c r="C240" s="5" t="s">
        <v>12</v>
      </c>
      <c r="D240" s="5" t="s">
        <v>13</v>
      </c>
      <c r="E240" s="5" t="s">
        <v>37</v>
      </c>
      <c r="F240" s="5">
        <v>18</v>
      </c>
      <c r="G240" s="5">
        <v>335</v>
      </c>
      <c r="H240" s="5">
        <v>15</v>
      </c>
      <c r="I240" s="6">
        <v>46130</v>
      </c>
      <c r="J240" s="6">
        <v>46140</v>
      </c>
      <c r="K240" s="10" t="s">
        <v>29</v>
      </c>
      <c r="L240" s="18" t="str" cm="1">
        <f t="array" ref="L240">_xlfn.IFS(F240&gt;=15,"Bulk Order",AND(F240&gt;=5,F240&lt;=14),"Medium Order",F240&lt;5,"Regular Order")</f>
        <v>Bulk Order</v>
      </c>
    </row>
    <row r="241" spans="1:12" ht="15" thickBot="1" x14ac:dyDescent="0.4">
      <c r="A241" s="5">
        <v>1215</v>
      </c>
      <c r="B241" s="5" t="s">
        <v>27</v>
      </c>
      <c r="C241" s="5" t="s">
        <v>12</v>
      </c>
      <c r="D241" s="5" t="s">
        <v>18</v>
      </c>
      <c r="E241" s="5" t="s">
        <v>28</v>
      </c>
      <c r="F241" s="5">
        <v>6</v>
      </c>
      <c r="G241" s="5">
        <v>1254</v>
      </c>
      <c r="H241" s="5">
        <v>0</v>
      </c>
      <c r="I241" s="6">
        <v>46131</v>
      </c>
      <c r="J241" s="6">
        <v>46136</v>
      </c>
      <c r="K241" s="10" t="s">
        <v>29</v>
      </c>
      <c r="L241" s="18" t="str" cm="1">
        <f t="array" ref="L241">_xlfn.IFS(F241&gt;=15,"Bulk Order",AND(F241&gt;=5,F241&lt;=14),"Medium Order",F241&lt;5,"Regular Order")</f>
        <v>Medium Order</v>
      </c>
    </row>
    <row r="242" spans="1:12" ht="15" thickBot="1" x14ac:dyDescent="0.4">
      <c r="A242" s="5">
        <v>1122</v>
      </c>
      <c r="B242" s="5" t="s">
        <v>40</v>
      </c>
      <c r="C242" s="5" t="s">
        <v>22</v>
      </c>
      <c r="D242" s="5" t="s">
        <v>34</v>
      </c>
      <c r="E242" s="5" t="s">
        <v>39</v>
      </c>
      <c r="F242" s="5">
        <v>14</v>
      </c>
      <c r="G242" s="5">
        <v>49990</v>
      </c>
      <c r="H242" s="5">
        <v>10</v>
      </c>
      <c r="I242" s="6">
        <v>46132</v>
      </c>
      <c r="J242" s="6">
        <v>46135</v>
      </c>
      <c r="K242" s="10" t="s">
        <v>29</v>
      </c>
      <c r="L242" s="18" t="str" cm="1">
        <f t="array" ref="L242">_xlfn.IFS(F242&gt;=15,"Bulk Order",AND(F242&gt;=5,F242&lt;=14),"Medium Order",F242&lt;5,"Regular Order")</f>
        <v>Medium Order</v>
      </c>
    </row>
    <row r="243" spans="1:12" ht="15" thickBot="1" x14ac:dyDescent="0.4">
      <c r="A243" s="5">
        <v>1342</v>
      </c>
      <c r="B243" s="5" t="s">
        <v>59</v>
      </c>
      <c r="C243" s="5" t="s">
        <v>31</v>
      </c>
      <c r="D243" s="5" t="s">
        <v>34</v>
      </c>
      <c r="E243" s="5" t="s">
        <v>35</v>
      </c>
      <c r="F243" s="5">
        <v>13</v>
      </c>
      <c r="G243" s="5">
        <v>47881</v>
      </c>
      <c r="H243" s="5">
        <v>15</v>
      </c>
      <c r="I243" s="6">
        <v>46132</v>
      </c>
      <c r="J243" s="6">
        <v>46139</v>
      </c>
      <c r="K243" s="10" t="s">
        <v>29</v>
      </c>
      <c r="L243" s="18" t="str" cm="1">
        <f t="array" ref="L243">_xlfn.IFS(F243&gt;=15,"Bulk Order",AND(F243&gt;=5,F243&lt;=14),"Medium Order",F243&lt;5,"Regular Order")</f>
        <v>Medium Order</v>
      </c>
    </row>
    <row r="244" spans="1:12" ht="15" thickBot="1" x14ac:dyDescent="0.4">
      <c r="A244" s="5">
        <v>1080</v>
      </c>
      <c r="B244" s="5" t="s">
        <v>21</v>
      </c>
      <c r="C244" s="5" t="s">
        <v>22</v>
      </c>
      <c r="D244" s="5" t="s">
        <v>34</v>
      </c>
      <c r="E244" s="5" t="s">
        <v>41</v>
      </c>
      <c r="F244" s="5">
        <v>12</v>
      </c>
      <c r="G244" s="5">
        <v>54161</v>
      </c>
      <c r="H244" s="5">
        <v>15</v>
      </c>
      <c r="I244" s="6">
        <v>46133</v>
      </c>
      <c r="J244" s="6">
        <v>46143</v>
      </c>
      <c r="K244" s="10" t="s">
        <v>24</v>
      </c>
      <c r="L244" s="18" t="str" cm="1">
        <f t="array" ref="L244">_xlfn.IFS(F244&gt;=15,"Bulk Order",AND(F244&gt;=5,F244&lt;=14),"Medium Order",F244&lt;5,"Regular Order")</f>
        <v>Medium Order</v>
      </c>
    </row>
    <row r="245" spans="1:12" ht="15" thickBot="1" x14ac:dyDescent="0.4">
      <c r="A245" s="5">
        <v>1111</v>
      </c>
      <c r="B245" s="5" t="s">
        <v>47</v>
      </c>
      <c r="C245" s="5" t="s">
        <v>17</v>
      </c>
      <c r="D245" s="5" t="s">
        <v>34</v>
      </c>
      <c r="E245" s="5" t="s">
        <v>35</v>
      </c>
      <c r="F245" s="5">
        <v>5</v>
      </c>
      <c r="G245" s="5">
        <v>49945</v>
      </c>
      <c r="H245" s="5">
        <v>12</v>
      </c>
      <c r="I245" s="6">
        <v>46133</v>
      </c>
      <c r="J245" s="6">
        <v>46141</v>
      </c>
      <c r="K245" s="10" t="s">
        <v>29</v>
      </c>
      <c r="L245" s="18" t="str" cm="1">
        <f t="array" ref="L245">_xlfn.IFS(F245&gt;=15,"Bulk Order",AND(F245&gt;=5,F245&lt;=14),"Medium Order",F245&lt;5,"Regular Order")</f>
        <v>Medium Order</v>
      </c>
    </row>
    <row r="246" spans="1:12" ht="15" thickBot="1" x14ac:dyDescent="0.4">
      <c r="A246" s="5">
        <v>1056</v>
      </c>
      <c r="B246" s="5" t="s">
        <v>11</v>
      </c>
      <c r="C246" s="5" t="s">
        <v>22</v>
      </c>
      <c r="D246" s="5" t="s">
        <v>18</v>
      </c>
      <c r="E246" s="5" t="s">
        <v>19</v>
      </c>
      <c r="F246" s="5">
        <v>3</v>
      </c>
      <c r="G246" s="5">
        <v>9771</v>
      </c>
      <c r="H246" s="5">
        <v>5</v>
      </c>
      <c r="I246" s="6">
        <v>46133</v>
      </c>
      <c r="J246" s="6">
        <v>46139</v>
      </c>
      <c r="K246" s="10" t="s">
        <v>24</v>
      </c>
      <c r="L246" s="18" t="str" cm="1">
        <f t="array" ref="L246">_xlfn.IFS(F246&gt;=15,"Bulk Order",AND(F246&gt;=5,F246&lt;=14),"Medium Order",F246&lt;5,"Regular Order")</f>
        <v>Regular Order</v>
      </c>
    </row>
    <row r="247" spans="1:12" ht="15" thickBot="1" x14ac:dyDescent="0.4">
      <c r="A247" s="5">
        <v>1357</v>
      </c>
      <c r="B247" s="5" t="s">
        <v>59</v>
      </c>
      <c r="C247" s="5" t="s">
        <v>25</v>
      </c>
      <c r="D247" s="5" t="s">
        <v>13</v>
      </c>
      <c r="E247" s="5" t="s">
        <v>37</v>
      </c>
      <c r="F247" s="5">
        <v>6</v>
      </c>
      <c r="G247" s="5">
        <v>365</v>
      </c>
      <c r="H247" s="5">
        <v>7</v>
      </c>
      <c r="I247" s="6">
        <v>46133</v>
      </c>
      <c r="J247" s="6">
        <v>46140</v>
      </c>
      <c r="K247" s="10" t="s">
        <v>51</v>
      </c>
      <c r="L247" s="18" t="str" cm="1">
        <f t="array" ref="L247">_xlfn.IFS(F247&gt;=15,"Bulk Order",AND(F247&gt;=5,F247&lt;=14),"Medium Order",F247&lt;5,"Regular Order")</f>
        <v>Medium Order</v>
      </c>
    </row>
    <row r="248" spans="1:12" ht="15" thickBot="1" x14ac:dyDescent="0.4">
      <c r="A248" s="5">
        <v>1125</v>
      </c>
      <c r="B248" s="5" t="s">
        <v>49</v>
      </c>
      <c r="C248" s="5" t="s">
        <v>33</v>
      </c>
      <c r="D248" s="5" t="s">
        <v>13</v>
      </c>
      <c r="E248" s="5" t="s">
        <v>14</v>
      </c>
      <c r="F248" s="5">
        <v>6</v>
      </c>
      <c r="G248" s="5">
        <v>30</v>
      </c>
      <c r="H248" s="5">
        <v>2</v>
      </c>
      <c r="I248" s="6">
        <v>46133</v>
      </c>
      <c r="J248" s="6">
        <v>46138</v>
      </c>
      <c r="K248" s="10" t="s">
        <v>24</v>
      </c>
      <c r="L248" s="18" t="str" cm="1">
        <f t="array" ref="L248">_xlfn.IFS(F248&gt;=15,"Bulk Order",AND(F248&gt;=5,F248&lt;=14),"Medium Order",F248&lt;5,"Regular Order")</f>
        <v>Medium Order</v>
      </c>
    </row>
    <row r="249" spans="1:12" ht="15" thickBot="1" x14ac:dyDescent="0.4">
      <c r="A249" s="5">
        <v>1200</v>
      </c>
      <c r="B249" s="5" t="s">
        <v>29</v>
      </c>
      <c r="C249" s="5" t="s">
        <v>31</v>
      </c>
      <c r="D249" s="5" t="s">
        <v>34</v>
      </c>
      <c r="E249" s="5" t="s">
        <v>45</v>
      </c>
      <c r="F249" s="5">
        <v>13</v>
      </c>
      <c r="G249" s="5">
        <v>69422</v>
      </c>
      <c r="H249" s="5">
        <v>0</v>
      </c>
      <c r="I249" s="6">
        <v>46134</v>
      </c>
      <c r="J249" s="6">
        <v>46143</v>
      </c>
      <c r="K249" s="10" t="s">
        <v>29</v>
      </c>
      <c r="L249" s="18" t="str" cm="1">
        <f t="array" ref="L249">_xlfn.IFS(F249&gt;=15,"Bulk Order",AND(F249&gt;=5,F249&lt;=14),"Medium Order",F249&lt;5,"Regular Order")</f>
        <v>Medium Order</v>
      </c>
    </row>
    <row r="250" spans="1:12" ht="15" thickBot="1" x14ac:dyDescent="0.4">
      <c r="A250" s="5">
        <v>1270</v>
      </c>
      <c r="B250" s="5" t="s">
        <v>49</v>
      </c>
      <c r="C250" s="5" t="s">
        <v>43</v>
      </c>
      <c r="D250" s="5" t="s">
        <v>34</v>
      </c>
      <c r="E250" s="5" t="s">
        <v>35</v>
      </c>
      <c r="F250" s="5">
        <v>16</v>
      </c>
      <c r="G250" s="5">
        <v>62941</v>
      </c>
      <c r="H250" s="5">
        <v>7</v>
      </c>
      <c r="I250" s="6">
        <v>46135</v>
      </c>
      <c r="J250" s="6">
        <v>46141</v>
      </c>
      <c r="K250" s="10" t="s">
        <v>51</v>
      </c>
      <c r="L250" s="18" t="str" cm="1">
        <f t="array" ref="L250">_xlfn.IFS(F250&gt;=15,"Bulk Order",AND(F250&gt;=5,F250&lt;=14),"Medium Order",F250&lt;5,"Regular Order")</f>
        <v>Bulk Order</v>
      </c>
    </row>
    <row r="251" spans="1:12" ht="15" thickBot="1" x14ac:dyDescent="0.4">
      <c r="A251" s="5">
        <v>1216</v>
      </c>
      <c r="B251" s="5" t="s">
        <v>40</v>
      </c>
      <c r="C251" s="5" t="s">
        <v>22</v>
      </c>
      <c r="D251" s="5" t="s">
        <v>34</v>
      </c>
      <c r="E251" s="5" t="s">
        <v>45</v>
      </c>
      <c r="F251" s="5">
        <v>10</v>
      </c>
      <c r="G251" s="5">
        <v>56709</v>
      </c>
      <c r="H251" s="5">
        <v>15</v>
      </c>
      <c r="I251" s="6">
        <v>46135</v>
      </c>
      <c r="J251" s="6">
        <v>46139</v>
      </c>
      <c r="K251" s="10" t="s">
        <v>29</v>
      </c>
      <c r="L251" s="18" t="str" cm="1">
        <f t="array" ref="L251">_xlfn.IFS(F251&gt;=15,"Bulk Order",AND(F251&gt;=5,F251&lt;=14),"Medium Order",F251&lt;5,"Regular Order")</f>
        <v>Medium Order</v>
      </c>
    </row>
    <row r="252" spans="1:12" ht="15" thickBot="1" x14ac:dyDescent="0.4">
      <c r="A252" s="5">
        <v>1091</v>
      </c>
      <c r="B252" s="5" t="s">
        <v>55</v>
      </c>
      <c r="C252" s="5" t="s">
        <v>17</v>
      </c>
      <c r="D252" s="5" t="s">
        <v>13</v>
      </c>
      <c r="E252" s="5" t="s">
        <v>53</v>
      </c>
      <c r="F252" s="5">
        <v>2</v>
      </c>
      <c r="G252" s="5">
        <v>305</v>
      </c>
      <c r="H252" s="5">
        <v>0</v>
      </c>
      <c r="I252" s="6">
        <v>46136</v>
      </c>
      <c r="J252" s="6">
        <v>46144</v>
      </c>
      <c r="K252" s="10" t="s">
        <v>15</v>
      </c>
      <c r="L252" s="18" t="str" cm="1">
        <f t="array" ref="L252">_xlfn.IFS(F252&gt;=15,"Bulk Order",AND(F252&gt;=5,F252&lt;=14),"Medium Order",F252&lt;5,"Regular Order")</f>
        <v>Regular Order</v>
      </c>
    </row>
    <row r="253" spans="1:12" ht="15" thickBot="1" x14ac:dyDescent="0.4">
      <c r="A253" s="5">
        <v>1016</v>
      </c>
      <c r="B253" s="5" t="s">
        <v>32</v>
      </c>
      <c r="C253" s="5" t="s">
        <v>33</v>
      </c>
      <c r="D253" s="5" t="s">
        <v>34</v>
      </c>
      <c r="E253" s="5" t="s">
        <v>45</v>
      </c>
      <c r="F253" s="5">
        <v>16</v>
      </c>
      <c r="G253" s="5">
        <v>30234</v>
      </c>
      <c r="H253" s="5">
        <v>15</v>
      </c>
      <c r="I253" s="6">
        <v>46137</v>
      </c>
      <c r="J253" s="6">
        <v>46140</v>
      </c>
      <c r="K253" s="10" t="s">
        <v>24</v>
      </c>
      <c r="L253" s="18" t="str" cm="1">
        <f t="array" ref="L253">_xlfn.IFS(F253&gt;=15,"Bulk Order",AND(F253&gt;=5,F253&lt;=14),"Medium Order",F253&lt;5,"Regular Order")</f>
        <v>Bulk Order</v>
      </c>
    </row>
    <row r="254" spans="1:12" ht="15" thickBot="1" x14ac:dyDescent="0.4">
      <c r="A254" s="5">
        <v>1237</v>
      </c>
      <c r="B254" s="5" t="s">
        <v>46</v>
      </c>
      <c r="C254" s="5" t="s">
        <v>38</v>
      </c>
      <c r="D254" s="5" t="s">
        <v>18</v>
      </c>
      <c r="E254" s="5" t="s">
        <v>56</v>
      </c>
      <c r="F254" s="5">
        <v>8</v>
      </c>
      <c r="G254" s="5">
        <v>12123</v>
      </c>
      <c r="H254" s="5">
        <v>2</v>
      </c>
      <c r="I254" s="6">
        <v>46137</v>
      </c>
      <c r="J254" s="6">
        <v>46145</v>
      </c>
      <c r="K254" s="10" t="s">
        <v>15</v>
      </c>
      <c r="L254" s="18" t="str" cm="1">
        <f t="array" ref="L254">_xlfn.IFS(F254&gt;=15,"Bulk Order",AND(F254&gt;=5,F254&lt;=14),"Medium Order",F254&lt;5,"Regular Order")</f>
        <v>Medium Order</v>
      </c>
    </row>
    <row r="255" spans="1:12" ht="15" thickBot="1" x14ac:dyDescent="0.4">
      <c r="A255" s="5">
        <v>1258</v>
      </c>
      <c r="B255" s="5" t="s">
        <v>32</v>
      </c>
      <c r="C255" s="5" t="s">
        <v>31</v>
      </c>
      <c r="D255" s="5" t="s">
        <v>34</v>
      </c>
      <c r="E255" s="5" t="s">
        <v>60</v>
      </c>
      <c r="F255" s="5">
        <v>1</v>
      </c>
      <c r="G255" s="5">
        <v>10600</v>
      </c>
      <c r="H255" s="5">
        <v>5</v>
      </c>
      <c r="I255" s="6">
        <v>46137</v>
      </c>
      <c r="J255" s="6">
        <v>46138</v>
      </c>
      <c r="K255" s="10" t="s">
        <v>29</v>
      </c>
      <c r="L255" s="18" t="str" cm="1">
        <f t="array" ref="L255">_xlfn.IFS(F255&gt;=15,"Bulk Order",AND(F255&gt;=5,F255&lt;=14),"Medium Order",F255&lt;5,"Regular Order")</f>
        <v>Regular Order</v>
      </c>
    </row>
    <row r="256" spans="1:12" ht="15" thickBot="1" x14ac:dyDescent="0.4">
      <c r="A256" s="5">
        <v>1188</v>
      </c>
      <c r="B256" s="5" t="s">
        <v>29</v>
      </c>
      <c r="C256" s="5" t="s">
        <v>22</v>
      </c>
      <c r="D256" s="5" t="s">
        <v>18</v>
      </c>
      <c r="E256" s="5" t="s">
        <v>56</v>
      </c>
      <c r="F256" s="5">
        <v>6</v>
      </c>
      <c r="G256" s="5">
        <v>10368</v>
      </c>
      <c r="H256" s="5">
        <v>7</v>
      </c>
      <c r="I256" s="6">
        <v>46137</v>
      </c>
      <c r="J256" s="6">
        <v>46142</v>
      </c>
      <c r="K256" s="10" t="s">
        <v>15</v>
      </c>
      <c r="L256" s="18" t="str" cm="1">
        <f t="array" ref="L256">_xlfn.IFS(F256&gt;=15,"Bulk Order",AND(F256&gt;=5,F256&lt;=14),"Medium Order",F256&lt;5,"Regular Order")</f>
        <v>Medium Order</v>
      </c>
    </row>
    <row r="257" spans="1:12" ht="15" thickBot="1" x14ac:dyDescent="0.4">
      <c r="A257" s="5">
        <v>1291</v>
      </c>
      <c r="B257" s="5" t="s">
        <v>21</v>
      </c>
      <c r="C257" s="5" t="s">
        <v>17</v>
      </c>
      <c r="D257" s="5" t="s">
        <v>13</v>
      </c>
      <c r="E257" s="5" t="s">
        <v>36</v>
      </c>
      <c r="F257" s="5">
        <v>17</v>
      </c>
      <c r="G257" s="5">
        <v>415</v>
      </c>
      <c r="H257" s="5">
        <v>5</v>
      </c>
      <c r="I257" s="6">
        <v>46137</v>
      </c>
      <c r="J257" s="6">
        <v>46141</v>
      </c>
      <c r="K257" s="10" t="s">
        <v>20</v>
      </c>
      <c r="L257" s="18" t="str" cm="1">
        <f t="array" ref="L257">_xlfn.IFS(F257&gt;=15,"Bulk Order",AND(F257&gt;=5,F257&lt;=14),"Medium Order",F257&lt;5,"Regular Order")</f>
        <v>Bulk Order</v>
      </c>
    </row>
    <row r="258" spans="1:12" ht="15" thickBot="1" x14ac:dyDescent="0.4">
      <c r="A258" s="5">
        <v>1144</v>
      </c>
      <c r="B258" s="5" t="s">
        <v>42</v>
      </c>
      <c r="C258" s="5" t="s">
        <v>25</v>
      </c>
      <c r="D258" s="5" t="s">
        <v>13</v>
      </c>
      <c r="E258" s="5" t="s">
        <v>14</v>
      </c>
      <c r="F258" s="5">
        <v>16</v>
      </c>
      <c r="G258" s="5">
        <v>219</v>
      </c>
      <c r="H258" s="5">
        <v>7</v>
      </c>
      <c r="I258" s="6">
        <v>46138</v>
      </c>
      <c r="J258" s="6">
        <v>46140</v>
      </c>
      <c r="K258" s="10" t="s">
        <v>20</v>
      </c>
      <c r="L258" s="18" t="str" cm="1">
        <f t="array" ref="L258">_xlfn.IFS(F258&gt;=15,"Bulk Order",AND(F258&gt;=5,F258&lt;=14),"Medium Order",F258&lt;5,"Regular Order")</f>
        <v>Bulk Order</v>
      </c>
    </row>
    <row r="259" spans="1:12" ht="15" thickBot="1" x14ac:dyDescent="0.4">
      <c r="A259" s="5">
        <v>1214</v>
      </c>
      <c r="B259" s="5" t="s">
        <v>42</v>
      </c>
      <c r="C259" s="5" t="s">
        <v>25</v>
      </c>
      <c r="D259" s="5" t="s">
        <v>18</v>
      </c>
      <c r="E259" s="5" t="s">
        <v>28</v>
      </c>
      <c r="F259" s="5">
        <v>19</v>
      </c>
      <c r="G259" s="5">
        <v>13832</v>
      </c>
      <c r="H259" s="5">
        <v>0</v>
      </c>
      <c r="I259" s="6">
        <v>46140</v>
      </c>
      <c r="J259" s="6">
        <v>46145</v>
      </c>
      <c r="K259" s="10" t="s">
        <v>51</v>
      </c>
      <c r="L259" s="18" t="str" cm="1">
        <f t="array" ref="L259">_xlfn.IFS(F259&gt;=15,"Bulk Order",AND(F259&gt;=5,F259&lt;=14),"Medium Order",F259&lt;5,"Regular Order")</f>
        <v>Bulk Order</v>
      </c>
    </row>
    <row r="260" spans="1:12" ht="15" thickBot="1" x14ac:dyDescent="0.4">
      <c r="A260" s="5">
        <v>1346</v>
      </c>
      <c r="B260" s="5" t="s">
        <v>32</v>
      </c>
      <c r="C260" s="5" t="s">
        <v>22</v>
      </c>
      <c r="D260" s="5" t="s">
        <v>18</v>
      </c>
      <c r="E260" s="5" t="s">
        <v>19</v>
      </c>
      <c r="F260" s="5">
        <v>16</v>
      </c>
      <c r="G260" s="5">
        <v>6910</v>
      </c>
      <c r="H260" s="5">
        <v>15</v>
      </c>
      <c r="I260" s="6">
        <v>46140</v>
      </c>
      <c r="J260" s="6">
        <v>46142</v>
      </c>
      <c r="K260" s="10" t="s">
        <v>29</v>
      </c>
      <c r="L260" s="18" t="str" cm="1">
        <f t="array" ref="L260">_xlfn.IFS(F260&gt;=15,"Bulk Order",AND(F260&gt;=5,F260&lt;=14),"Medium Order",F260&lt;5,"Regular Order")</f>
        <v>Bulk Order</v>
      </c>
    </row>
    <row r="261" spans="1:12" ht="15" thickBot="1" x14ac:dyDescent="0.4">
      <c r="A261" s="5">
        <v>1101</v>
      </c>
      <c r="B261" s="5" t="s">
        <v>27</v>
      </c>
      <c r="C261" s="5" t="s">
        <v>22</v>
      </c>
      <c r="D261" s="5" t="s">
        <v>34</v>
      </c>
      <c r="E261" s="5" t="s">
        <v>61</v>
      </c>
      <c r="F261" s="5">
        <v>9</v>
      </c>
      <c r="G261" s="5">
        <v>37361</v>
      </c>
      <c r="H261" s="5">
        <v>10</v>
      </c>
      <c r="I261" s="6">
        <v>46141</v>
      </c>
      <c r="J261" s="6">
        <v>46142</v>
      </c>
      <c r="K261" s="10" t="s">
        <v>24</v>
      </c>
      <c r="L261" s="18" t="str" cm="1">
        <f t="array" ref="L261">_xlfn.IFS(F261&gt;=15,"Bulk Order",AND(F261&gt;=5,F261&lt;=14),"Medium Order",F261&lt;5,"Regular Order")</f>
        <v>Medium Order</v>
      </c>
    </row>
    <row r="262" spans="1:12" ht="15" thickBot="1" x14ac:dyDescent="0.4">
      <c r="A262" s="5">
        <v>1322</v>
      </c>
      <c r="B262" s="5" t="s">
        <v>27</v>
      </c>
      <c r="C262" s="5" t="s">
        <v>12</v>
      </c>
      <c r="D262" s="5" t="s">
        <v>18</v>
      </c>
      <c r="E262" s="5" t="s">
        <v>23</v>
      </c>
      <c r="F262" s="5">
        <v>14</v>
      </c>
      <c r="G262" s="5">
        <v>9081</v>
      </c>
      <c r="H262" s="5">
        <v>15</v>
      </c>
      <c r="I262" s="6">
        <v>46141</v>
      </c>
      <c r="J262" s="6">
        <v>46146</v>
      </c>
      <c r="K262" s="10" t="s">
        <v>15</v>
      </c>
      <c r="L262" s="18" t="str" cm="1">
        <f t="array" ref="L262">_xlfn.IFS(F262&gt;=15,"Bulk Order",AND(F262&gt;=5,F262&lt;=14),"Medium Order",F262&lt;5,"Regular Order")</f>
        <v>Medium Order</v>
      </c>
    </row>
    <row r="263" spans="1:12" ht="15" thickBot="1" x14ac:dyDescent="0.4">
      <c r="A263" s="5">
        <v>1361</v>
      </c>
      <c r="B263" s="5" t="s">
        <v>42</v>
      </c>
      <c r="C263" s="5" t="s">
        <v>17</v>
      </c>
      <c r="D263" s="5" t="s">
        <v>18</v>
      </c>
      <c r="E263" s="5" t="s">
        <v>23</v>
      </c>
      <c r="F263" s="5">
        <v>2</v>
      </c>
      <c r="G263" s="5">
        <v>1822</v>
      </c>
      <c r="H263" s="5">
        <v>5</v>
      </c>
      <c r="I263" s="6">
        <v>46141</v>
      </c>
      <c r="J263" s="6">
        <v>46145</v>
      </c>
      <c r="K263" s="10" t="s">
        <v>20</v>
      </c>
      <c r="L263" s="18" t="str" cm="1">
        <f t="array" ref="L263">_xlfn.IFS(F263&gt;=15,"Bulk Order",AND(F263&gt;=5,F263&lt;=14),"Medium Order",F263&lt;5,"Regular Order")</f>
        <v>Regular Order</v>
      </c>
    </row>
    <row r="264" spans="1:12" ht="15" thickBot="1" x14ac:dyDescent="0.4">
      <c r="A264" s="5">
        <v>1254</v>
      </c>
      <c r="B264" s="5" t="s">
        <v>52</v>
      </c>
      <c r="C264" s="5" t="s">
        <v>22</v>
      </c>
      <c r="D264" s="5" t="s">
        <v>13</v>
      </c>
      <c r="E264" s="5" t="s">
        <v>50</v>
      </c>
      <c r="F264" s="5">
        <v>18</v>
      </c>
      <c r="G264" s="5">
        <v>447</v>
      </c>
      <c r="H264" s="5">
        <v>15</v>
      </c>
      <c r="I264" s="6">
        <v>46141</v>
      </c>
      <c r="J264" s="6">
        <v>46149</v>
      </c>
      <c r="K264" s="10" t="s">
        <v>24</v>
      </c>
      <c r="L264" s="18" t="str" cm="1">
        <f t="array" ref="L264">_xlfn.IFS(F264&gt;=15,"Bulk Order",AND(F264&gt;=5,F264&lt;=14),"Medium Order",F264&lt;5,"Regular Order")</f>
        <v>Bulk Order</v>
      </c>
    </row>
    <row r="265" spans="1:12" ht="15" thickBot="1" x14ac:dyDescent="0.4">
      <c r="A265" s="5">
        <v>1160</v>
      </c>
      <c r="B265" s="5" t="s">
        <v>59</v>
      </c>
      <c r="C265" s="5" t="s">
        <v>22</v>
      </c>
      <c r="D265" s="5" t="s">
        <v>34</v>
      </c>
      <c r="E265" s="5" t="s">
        <v>39</v>
      </c>
      <c r="F265" s="5">
        <v>7</v>
      </c>
      <c r="G265" s="5">
        <v>53986</v>
      </c>
      <c r="H265" s="5">
        <v>10</v>
      </c>
      <c r="I265" s="6">
        <v>46142</v>
      </c>
      <c r="J265" s="6">
        <v>46147</v>
      </c>
      <c r="K265" s="10" t="s">
        <v>51</v>
      </c>
      <c r="L265" s="18" t="str" cm="1">
        <f t="array" ref="L265">_xlfn.IFS(F265&gt;=15,"Bulk Order",AND(F265&gt;=5,F265&lt;=14),"Medium Order",F265&lt;5,"Regular Order")</f>
        <v>Medium Order</v>
      </c>
    </row>
    <row r="266" spans="1:12" ht="15" thickBot="1" x14ac:dyDescent="0.4">
      <c r="A266" s="5">
        <v>1240</v>
      </c>
      <c r="B266" s="5" t="s">
        <v>55</v>
      </c>
      <c r="C266" s="5" t="s">
        <v>33</v>
      </c>
      <c r="D266" s="5" t="s">
        <v>18</v>
      </c>
      <c r="E266" s="5" t="s">
        <v>23</v>
      </c>
      <c r="F266" s="5">
        <v>2</v>
      </c>
      <c r="G266" s="5">
        <v>5475</v>
      </c>
      <c r="H266" s="5">
        <v>2</v>
      </c>
      <c r="I266" s="6">
        <v>46142</v>
      </c>
      <c r="J266" s="6">
        <v>46146</v>
      </c>
      <c r="K266" s="10" t="s">
        <v>29</v>
      </c>
      <c r="L266" s="18" t="str" cm="1">
        <f t="array" ref="L266">_xlfn.IFS(F266&gt;=15,"Bulk Order",AND(F266&gt;=5,F266&lt;=14),"Medium Order",F266&lt;5,"Regular Order")</f>
        <v>Regular Order</v>
      </c>
    </row>
    <row r="267" spans="1:12" ht="15" thickBot="1" x14ac:dyDescent="0.4">
      <c r="A267" s="5">
        <v>1339</v>
      </c>
      <c r="B267" s="5" t="s">
        <v>32</v>
      </c>
      <c r="C267" s="5" t="s">
        <v>25</v>
      </c>
      <c r="D267" s="5" t="s">
        <v>13</v>
      </c>
      <c r="E267" s="5" t="s">
        <v>14</v>
      </c>
      <c r="F267" s="5">
        <v>6</v>
      </c>
      <c r="G267" s="5">
        <v>302</v>
      </c>
      <c r="H267" s="5">
        <v>5</v>
      </c>
      <c r="I267" s="6">
        <v>46142</v>
      </c>
      <c r="J267" s="6">
        <v>46148</v>
      </c>
      <c r="K267" s="10" t="s">
        <v>20</v>
      </c>
      <c r="L267" s="18" t="str" cm="1">
        <f t="array" ref="L267">_xlfn.IFS(F267&gt;=15,"Bulk Order",AND(F267&gt;=5,F267&lt;=14),"Medium Order",F267&lt;5,"Regular Order")</f>
        <v>Medium Order</v>
      </c>
    </row>
    <row r="268" spans="1:12" ht="15" thickBot="1" x14ac:dyDescent="0.4">
      <c r="A268" s="5">
        <v>1150</v>
      </c>
      <c r="B268" s="5" t="s">
        <v>42</v>
      </c>
      <c r="C268" s="5" t="s">
        <v>12</v>
      </c>
      <c r="D268" s="5" t="s">
        <v>18</v>
      </c>
      <c r="E268" s="5" t="s">
        <v>56</v>
      </c>
      <c r="F268" s="5">
        <v>10</v>
      </c>
      <c r="G268" s="5">
        <v>5323</v>
      </c>
      <c r="H268" s="5">
        <v>7</v>
      </c>
      <c r="I268" s="6">
        <v>46143</v>
      </c>
      <c r="J268" s="6">
        <v>46153</v>
      </c>
      <c r="K268" s="10" t="s">
        <v>24</v>
      </c>
      <c r="L268" s="18" t="str" cm="1">
        <f t="array" ref="L268">_xlfn.IFS(F268&gt;=15,"Bulk Order",AND(F268&gt;=5,F268&lt;=14),"Medium Order",F268&lt;5,"Regular Order")</f>
        <v>Medium Order</v>
      </c>
    </row>
    <row r="269" spans="1:12" ht="15" thickBot="1" x14ac:dyDescent="0.4">
      <c r="A269" s="5">
        <v>1218</v>
      </c>
      <c r="B269" s="5" t="s">
        <v>55</v>
      </c>
      <c r="C269" s="5" t="s">
        <v>38</v>
      </c>
      <c r="D269" s="5" t="s">
        <v>13</v>
      </c>
      <c r="E269" s="5" t="s">
        <v>14</v>
      </c>
      <c r="F269" s="5">
        <v>1</v>
      </c>
      <c r="G269" s="5">
        <v>134</v>
      </c>
      <c r="H269" s="5">
        <v>10</v>
      </c>
      <c r="I269" s="6">
        <v>46143</v>
      </c>
      <c r="J269" s="6">
        <v>46151</v>
      </c>
      <c r="K269" s="10" t="s">
        <v>51</v>
      </c>
      <c r="L269" s="18" t="str" cm="1">
        <f t="array" ref="L269">_xlfn.IFS(F269&gt;=15,"Bulk Order",AND(F269&gt;=5,F269&lt;=14),"Medium Order",F269&lt;5,"Regular Order")</f>
        <v>Regular Order</v>
      </c>
    </row>
    <row r="270" spans="1:12" ht="15" thickBot="1" x14ac:dyDescent="0.4">
      <c r="A270" s="5">
        <v>1021</v>
      </c>
      <c r="B270" s="5" t="s">
        <v>48</v>
      </c>
      <c r="C270" s="5" t="s">
        <v>43</v>
      </c>
      <c r="D270" s="5" t="s">
        <v>13</v>
      </c>
      <c r="E270" s="5" t="s">
        <v>14</v>
      </c>
      <c r="F270" s="5">
        <v>3</v>
      </c>
      <c r="G270" s="5">
        <v>484</v>
      </c>
      <c r="H270" s="5">
        <v>2</v>
      </c>
      <c r="I270" s="6">
        <v>46144</v>
      </c>
      <c r="J270" s="6">
        <v>46148</v>
      </c>
      <c r="K270" s="10" t="s">
        <v>24</v>
      </c>
      <c r="L270" s="18" t="str" cm="1">
        <f t="array" ref="L270">_xlfn.IFS(F270&gt;=15,"Bulk Order",AND(F270&gt;=5,F270&lt;=14),"Medium Order",F270&lt;5,"Regular Order")</f>
        <v>Regular Order</v>
      </c>
    </row>
    <row r="271" spans="1:12" ht="15" thickBot="1" x14ac:dyDescent="0.4">
      <c r="A271" s="5">
        <v>1184</v>
      </c>
      <c r="B271" s="5" t="s">
        <v>40</v>
      </c>
      <c r="C271" s="5" t="s">
        <v>31</v>
      </c>
      <c r="D271" s="5" t="s">
        <v>34</v>
      </c>
      <c r="E271" s="5" t="s">
        <v>39</v>
      </c>
      <c r="F271" s="5">
        <v>12</v>
      </c>
      <c r="G271" s="5">
        <v>50517</v>
      </c>
      <c r="H271" s="5">
        <v>15</v>
      </c>
      <c r="I271" s="6">
        <v>46145</v>
      </c>
      <c r="J271" s="6">
        <v>46153</v>
      </c>
      <c r="K271" s="10" t="s">
        <v>29</v>
      </c>
      <c r="L271" s="18" t="str" cm="1">
        <f t="array" ref="L271">_xlfn.IFS(F271&gt;=15,"Bulk Order",AND(F271&gt;=5,F271&lt;=14),"Medium Order",F271&lt;5,"Regular Order")</f>
        <v>Medium Order</v>
      </c>
    </row>
    <row r="272" spans="1:12" ht="15" thickBot="1" x14ac:dyDescent="0.4">
      <c r="A272" s="5">
        <v>1333</v>
      </c>
      <c r="B272" s="5" t="s">
        <v>29</v>
      </c>
      <c r="C272" s="5" t="s">
        <v>38</v>
      </c>
      <c r="D272" s="5" t="s">
        <v>13</v>
      </c>
      <c r="E272" s="5" t="s">
        <v>53</v>
      </c>
      <c r="F272" s="5">
        <v>20</v>
      </c>
      <c r="G272" s="5">
        <v>416</v>
      </c>
      <c r="H272" s="5">
        <v>12</v>
      </c>
      <c r="I272" s="6">
        <v>46145</v>
      </c>
      <c r="J272" s="6">
        <v>46146</v>
      </c>
      <c r="K272" s="10" t="s">
        <v>51</v>
      </c>
      <c r="L272" s="18" t="str" cm="1">
        <f t="array" ref="L272">_xlfn.IFS(F272&gt;=15,"Bulk Order",AND(F272&gt;=5,F272&lt;=14),"Medium Order",F272&lt;5,"Regular Order")</f>
        <v>Bulk Order</v>
      </c>
    </row>
    <row r="273" spans="1:12" ht="15" thickBot="1" x14ac:dyDescent="0.4">
      <c r="A273" s="5">
        <v>1085</v>
      </c>
      <c r="B273" s="5" t="s">
        <v>32</v>
      </c>
      <c r="C273" s="5" t="s">
        <v>38</v>
      </c>
      <c r="D273" s="5" t="s">
        <v>34</v>
      </c>
      <c r="E273" s="5" t="s">
        <v>60</v>
      </c>
      <c r="F273" s="5">
        <v>19</v>
      </c>
      <c r="G273" s="5">
        <v>45307</v>
      </c>
      <c r="H273" s="5">
        <v>12</v>
      </c>
      <c r="I273" s="6">
        <v>46146</v>
      </c>
      <c r="J273" s="6">
        <v>46150</v>
      </c>
      <c r="K273" s="10" t="s">
        <v>24</v>
      </c>
      <c r="L273" s="18" t="str" cm="1">
        <f t="array" ref="L273">_xlfn.IFS(F273&gt;=15,"Bulk Order",AND(F273&gt;=5,F273&lt;=14),"Medium Order",F273&lt;5,"Regular Order")</f>
        <v>Bulk Order</v>
      </c>
    </row>
    <row r="274" spans="1:12" ht="15" thickBot="1" x14ac:dyDescent="0.4">
      <c r="A274" s="5">
        <v>1305</v>
      </c>
      <c r="B274" s="5" t="s">
        <v>58</v>
      </c>
      <c r="C274" s="5" t="s">
        <v>31</v>
      </c>
      <c r="D274" s="5" t="s">
        <v>34</v>
      </c>
      <c r="E274" s="5" t="s">
        <v>60</v>
      </c>
      <c r="F274" s="5">
        <v>20</v>
      </c>
      <c r="G274" s="5">
        <v>31406</v>
      </c>
      <c r="H274" s="5">
        <v>15</v>
      </c>
      <c r="I274" s="6">
        <v>46146</v>
      </c>
      <c r="J274" s="6">
        <v>46154</v>
      </c>
      <c r="K274" s="10" t="s">
        <v>51</v>
      </c>
      <c r="L274" s="18" t="str" cm="1">
        <f t="array" ref="L274">_xlfn.IFS(F274&gt;=15,"Bulk Order",AND(F274&gt;=5,F274&lt;=14),"Medium Order",F274&lt;5,"Regular Order")</f>
        <v>Bulk Order</v>
      </c>
    </row>
    <row r="275" spans="1:12" ht="15" thickBot="1" x14ac:dyDescent="0.4">
      <c r="A275" s="5">
        <v>1360</v>
      </c>
      <c r="B275" s="5" t="s">
        <v>11</v>
      </c>
      <c r="C275" s="5" t="s">
        <v>43</v>
      </c>
      <c r="D275" s="5" t="s">
        <v>18</v>
      </c>
      <c r="E275" s="5" t="s">
        <v>23</v>
      </c>
      <c r="F275" s="5">
        <v>19</v>
      </c>
      <c r="G275" s="5">
        <v>6681</v>
      </c>
      <c r="H275" s="5">
        <v>2</v>
      </c>
      <c r="I275" s="6">
        <v>46146</v>
      </c>
      <c r="J275" s="6">
        <v>46150</v>
      </c>
      <c r="K275" s="10" t="s">
        <v>15</v>
      </c>
      <c r="L275" s="18" t="str" cm="1">
        <f t="array" ref="L275">_xlfn.IFS(F275&gt;=15,"Bulk Order",AND(F275&gt;=5,F275&lt;=14),"Medium Order",F275&lt;5,"Regular Order")</f>
        <v>Bulk Order</v>
      </c>
    </row>
    <row r="276" spans="1:12" ht="15" thickBot="1" x14ac:dyDescent="0.4">
      <c r="A276" s="5">
        <v>1117</v>
      </c>
      <c r="B276" s="5" t="s">
        <v>55</v>
      </c>
      <c r="C276" s="5" t="s">
        <v>43</v>
      </c>
      <c r="D276" s="5" t="s">
        <v>34</v>
      </c>
      <c r="E276" s="5" t="s">
        <v>39</v>
      </c>
      <c r="F276" s="5">
        <v>16</v>
      </c>
      <c r="G276" s="5">
        <v>33162</v>
      </c>
      <c r="H276" s="5">
        <v>7</v>
      </c>
      <c r="I276" s="6">
        <v>46147</v>
      </c>
      <c r="J276" s="6">
        <v>46155</v>
      </c>
      <c r="K276" s="10" t="s">
        <v>29</v>
      </c>
      <c r="L276" s="18" t="str" cm="1">
        <f t="array" ref="L276">_xlfn.IFS(F276&gt;=15,"Bulk Order",AND(F276&gt;=5,F276&lt;=14),"Medium Order",F276&lt;5,"Regular Order")</f>
        <v>Bulk Order</v>
      </c>
    </row>
    <row r="277" spans="1:12" ht="15" thickBot="1" x14ac:dyDescent="0.4">
      <c r="A277" s="5">
        <v>1063</v>
      </c>
      <c r="B277" s="5" t="s">
        <v>54</v>
      </c>
      <c r="C277" s="5" t="s">
        <v>22</v>
      </c>
      <c r="D277" s="5" t="s">
        <v>34</v>
      </c>
      <c r="E277" s="5" t="s">
        <v>45</v>
      </c>
      <c r="F277" s="5">
        <v>7</v>
      </c>
      <c r="G277" s="5">
        <v>66744</v>
      </c>
      <c r="H277" s="5">
        <v>7</v>
      </c>
      <c r="I277" s="6">
        <v>46148</v>
      </c>
      <c r="J277" s="6">
        <v>46155</v>
      </c>
      <c r="K277" s="10" t="s">
        <v>15</v>
      </c>
      <c r="L277" s="18" t="str" cm="1">
        <f t="array" ref="L277">_xlfn.IFS(F277&gt;=15,"Bulk Order",AND(F277&gt;=5,F277&lt;=14),"Medium Order",F277&lt;5,"Regular Order")</f>
        <v>Medium Order</v>
      </c>
    </row>
    <row r="278" spans="1:12" ht="15" thickBot="1" x14ac:dyDescent="0.4">
      <c r="A278" s="5">
        <v>1134</v>
      </c>
      <c r="B278" s="5" t="s">
        <v>57</v>
      </c>
      <c r="C278" s="5" t="s">
        <v>31</v>
      </c>
      <c r="D278" s="5" t="s">
        <v>34</v>
      </c>
      <c r="E278" s="5" t="s">
        <v>61</v>
      </c>
      <c r="F278" s="5">
        <v>10</v>
      </c>
      <c r="G278" s="5">
        <v>29217</v>
      </c>
      <c r="H278" s="5">
        <v>15</v>
      </c>
      <c r="I278" s="6">
        <v>46148</v>
      </c>
      <c r="J278" s="6">
        <v>46150</v>
      </c>
      <c r="K278" s="10" t="s">
        <v>24</v>
      </c>
      <c r="L278" s="18" t="str" cm="1">
        <f t="array" ref="L278">_xlfn.IFS(F278&gt;=15,"Bulk Order",AND(F278&gt;=5,F278&lt;=14),"Medium Order",F278&lt;5,"Regular Order")</f>
        <v>Medium Order</v>
      </c>
    </row>
    <row r="279" spans="1:12" ht="15" thickBot="1" x14ac:dyDescent="0.4">
      <c r="A279" s="5">
        <v>1312</v>
      </c>
      <c r="B279" s="5" t="s">
        <v>57</v>
      </c>
      <c r="C279" s="5" t="s">
        <v>22</v>
      </c>
      <c r="D279" s="5" t="s">
        <v>18</v>
      </c>
      <c r="E279" s="5" t="s">
        <v>56</v>
      </c>
      <c r="F279" s="5">
        <v>20</v>
      </c>
      <c r="G279" s="5">
        <v>3274</v>
      </c>
      <c r="H279" s="5">
        <v>2</v>
      </c>
      <c r="I279" s="6">
        <v>46148</v>
      </c>
      <c r="J279" s="6">
        <v>46156</v>
      </c>
      <c r="K279" s="10" t="s">
        <v>24</v>
      </c>
      <c r="L279" s="18" t="str" cm="1">
        <f t="array" ref="L279">_xlfn.IFS(F279&gt;=15,"Bulk Order",AND(F279&gt;=5,F279&lt;=14),"Medium Order",F279&lt;5,"Regular Order")</f>
        <v>Bulk Order</v>
      </c>
    </row>
    <row r="280" spans="1:12" ht="15" thickBot="1" x14ac:dyDescent="0.4">
      <c r="A280" s="5">
        <v>1191</v>
      </c>
      <c r="B280" s="5" t="s">
        <v>52</v>
      </c>
      <c r="C280" s="5" t="s">
        <v>33</v>
      </c>
      <c r="D280" s="5" t="s">
        <v>18</v>
      </c>
      <c r="E280" s="5" t="s">
        <v>56</v>
      </c>
      <c r="F280" s="5">
        <v>9</v>
      </c>
      <c r="G280" s="5">
        <v>8631</v>
      </c>
      <c r="H280" s="5">
        <v>10</v>
      </c>
      <c r="I280" s="6">
        <v>46149</v>
      </c>
      <c r="J280" s="6">
        <v>46156</v>
      </c>
      <c r="K280" s="10" t="s">
        <v>20</v>
      </c>
      <c r="L280" s="18" t="str" cm="1">
        <f t="array" ref="L280">_xlfn.IFS(F280&gt;=15,"Bulk Order",AND(F280&gt;=5,F280&lt;=14),"Medium Order",F280&lt;5,"Regular Order")</f>
        <v>Medium Order</v>
      </c>
    </row>
    <row r="281" spans="1:12" ht="15" thickBot="1" x14ac:dyDescent="0.4">
      <c r="A281" s="5">
        <v>1115</v>
      </c>
      <c r="B281" s="5" t="s">
        <v>59</v>
      </c>
      <c r="C281" s="5" t="s">
        <v>43</v>
      </c>
      <c r="D281" s="5" t="s">
        <v>13</v>
      </c>
      <c r="E281" s="5" t="s">
        <v>50</v>
      </c>
      <c r="F281" s="5">
        <v>9</v>
      </c>
      <c r="G281" s="5">
        <v>303</v>
      </c>
      <c r="H281" s="5">
        <v>10</v>
      </c>
      <c r="I281" s="6">
        <v>46149</v>
      </c>
      <c r="J281" s="6">
        <v>46157</v>
      </c>
      <c r="K281" s="10" t="s">
        <v>29</v>
      </c>
      <c r="L281" s="18" t="str" cm="1">
        <f t="array" ref="L281">_xlfn.IFS(F281&gt;=15,"Bulk Order",AND(F281&gt;=5,F281&lt;=14),"Medium Order",F281&lt;5,"Regular Order")</f>
        <v>Medium Order</v>
      </c>
    </row>
    <row r="282" spans="1:12" ht="15" thickBot="1" x14ac:dyDescent="0.4">
      <c r="A282" s="5">
        <v>1327</v>
      </c>
      <c r="B282" s="5" t="s">
        <v>48</v>
      </c>
      <c r="C282" s="5" t="s">
        <v>12</v>
      </c>
      <c r="D282" s="5" t="s">
        <v>13</v>
      </c>
      <c r="E282" s="5" t="s">
        <v>53</v>
      </c>
      <c r="F282" s="5">
        <v>15</v>
      </c>
      <c r="G282" s="5">
        <v>449</v>
      </c>
      <c r="H282" s="5">
        <v>5</v>
      </c>
      <c r="I282" s="6">
        <v>46152</v>
      </c>
      <c r="J282" s="6">
        <v>46153</v>
      </c>
      <c r="K282" s="10" t="s">
        <v>15</v>
      </c>
      <c r="L282" s="18" t="str" cm="1">
        <f t="array" ref="L282">_xlfn.IFS(F282&gt;=15,"Bulk Order",AND(F282&gt;=5,F282&lt;=14),"Medium Order",F282&lt;5,"Regular Order")</f>
        <v>Bulk Order</v>
      </c>
    </row>
    <row r="283" spans="1:12" ht="15" thickBot="1" x14ac:dyDescent="0.4">
      <c r="A283" s="5">
        <v>1046</v>
      </c>
      <c r="B283" s="5" t="s">
        <v>57</v>
      </c>
      <c r="C283" s="5" t="s">
        <v>38</v>
      </c>
      <c r="D283" s="5" t="s">
        <v>34</v>
      </c>
      <c r="E283" s="5" t="s">
        <v>45</v>
      </c>
      <c r="F283" s="5">
        <v>3</v>
      </c>
      <c r="G283" s="5">
        <v>19443</v>
      </c>
      <c r="H283" s="5">
        <v>10</v>
      </c>
      <c r="I283" s="6">
        <v>46153</v>
      </c>
      <c r="J283" s="6">
        <v>46158</v>
      </c>
      <c r="K283" s="10" t="s">
        <v>29</v>
      </c>
      <c r="L283" s="18" t="str" cm="1">
        <f t="array" ref="L283">_xlfn.IFS(F283&gt;=15,"Bulk Order",AND(F283&gt;=5,F283&lt;=14),"Medium Order",F283&lt;5,"Regular Order")</f>
        <v>Regular Order</v>
      </c>
    </row>
    <row r="284" spans="1:12" ht="15" thickBot="1" x14ac:dyDescent="0.4">
      <c r="A284" s="5">
        <v>1185</v>
      </c>
      <c r="B284" s="5" t="s">
        <v>58</v>
      </c>
      <c r="C284" s="5" t="s">
        <v>22</v>
      </c>
      <c r="D284" s="5" t="s">
        <v>34</v>
      </c>
      <c r="E284" s="5" t="s">
        <v>60</v>
      </c>
      <c r="F284" s="5">
        <v>16</v>
      </c>
      <c r="G284" s="5">
        <v>15536</v>
      </c>
      <c r="H284" s="5">
        <v>2</v>
      </c>
      <c r="I284" s="6">
        <v>46153</v>
      </c>
      <c r="J284" s="6">
        <v>46156</v>
      </c>
      <c r="K284" s="10" t="s">
        <v>15</v>
      </c>
      <c r="L284" s="18" t="str" cm="1">
        <f t="array" ref="L284">_xlfn.IFS(F284&gt;=15,"Bulk Order",AND(F284&gt;=5,F284&lt;=14),"Medium Order",F284&lt;5,"Regular Order")</f>
        <v>Bulk Order</v>
      </c>
    </row>
    <row r="285" spans="1:12" ht="15" thickBot="1" x14ac:dyDescent="0.4">
      <c r="A285" s="5">
        <v>1147</v>
      </c>
      <c r="B285" s="5" t="s">
        <v>11</v>
      </c>
      <c r="C285" s="5" t="s">
        <v>22</v>
      </c>
      <c r="D285" s="5" t="s">
        <v>18</v>
      </c>
      <c r="E285" s="5" t="s">
        <v>28</v>
      </c>
      <c r="F285" s="5">
        <v>7</v>
      </c>
      <c r="G285" s="5">
        <v>9581</v>
      </c>
      <c r="H285" s="5">
        <v>5</v>
      </c>
      <c r="I285" s="6">
        <v>46154</v>
      </c>
      <c r="J285" s="6">
        <v>46155</v>
      </c>
      <c r="K285" s="10" t="s">
        <v>20</v>
      </c>
      <c r="L285" s="18" t="str" cm="1">
        <f t="array" ref="L285">_xlfn.IFS(F285&gt;=15,"Bulk Order",AND(F285&gt;=5,F285&lt;=14),"Medium Order",F285&lt;5,"Regular Order")</f>
        <v>Medium Order</v>
      </c>
    </row>
    <row r="286" spans="1:12" ht="15" thickBot="1" x14ac:dyDescent="0.4">
      <c r="A286" s="5">
        <v>1222</v>
      </c>
      <c r="B286" s="5" t="s">
        <v>30</v>
      </c>
      <c r="C286" s="5" t="s">
        <v>33</v>
      </c>
      <c r="D286" s="5" t="s">
        <v>18</v>
      </c>
      <c r="E286" s="5" t="s">
        <v>23</v>
      </c>
      <c r="F286" s="5">
        <v>9</v>
      </c>
      <c r="G286" s="5">
        <v>2712</v>
      </c>
      <c r="H286" s="5">
        <v>12</v>
      </c>
      <c r="I286" s="6">
        <v>46154</v>
      </c>
      <c r="J286" s="6">
        <v>46163</v>
      </c>
      <c r="K286" s="10" t="s">
        <v>15</v>
      </c>
      <c r="L286" s="18" t="str" cm="1">
        <f t="array" ref="L286">_xlfn.IFS(F286&gt;=15,"Bulk Order",AND(F286&gt;=5,F286&lt;=14),"Medium Order",F286&lt;5,"Regular Order")</f>
        <v>Medium Order</v>
      </c>
    </row>
    <row r="287" spans="1:12" ht="15" thickBot="1" x14ac:dyDescent="0.4">
      <c r="A287" s="5">
        <v>1332</v>
      </c>
      <c r="B287" s="5" t="s">
        <v>29</v>
      </c>
      <c r="C287" s="5" t="s">
        <v>43</v>
      </c>
      <c r="D287" s="5" t="s">
        <v>13</v>
      </c>
      <c r="E287" s="5" t="s">
        <v>50</v>
      </c>
      <c r="F287" s="5">
        <v>7</v>
      </c>
      <c r="G287" s="5">
        <v>439</v>
      </c>
      <c r="H287" s="5">
        <v>2</v>
      </c>
      <c r="I287" s="6">
        <v>46154</v>
      </c>
      <c r="J287" s="6">
        <v>46157</v>
      </c>
      <c r="K287" s="10" t="s">
        <v>15</v>
      </c>
      <c r="L287" s="18" t="str" cm="1">
        <f t="array" ref="L287">_xlfn.IFS(F287&gt;=15,"Bulk Order",AND(F287&gt;=5,F287&lt;=14),"Medium Order",F287&lt;5,"Regular Order")</f>
        <v>Medium Order</v>
      </c>
    </row>
    <row r="288" spans="1:12" ht="15" thickBot="1" x14ac:dyDescent="0.4">
      <c r="A288" s="5">
        <v>1179</v>
      </c>
      <c r="B288" s="5" t="s">
        <v>47</v>
      </c>
      <c r="C288" s="5" t="s">
        <v>17</v>
      </c>
      <c r="D288" s="5" t="s">
        <v>34</v>
      </c>
      <c r="E288" s="5" t="s">
        <v>39</v>
      </c>
      <c r="F288" s="5">
        <v>6</v>
      </c>
      <c r="G288" s="5">
        <v>10400</v>
      </c>
      <c r="H288" s="5">
        <v>2</v>
      </c>
      <c r="I288" s="6">
        <v>46155</v>
      </c>
      <c r="J288" s="6">
        <v>46158</v>
      </c>
      <c r="K288" s="10" t="s">
        <v>15</v>
      </c>
      <c r="L288" s="18" t="str" cm="1">
        <f t="array" ref="L288">_xlfn.IFS(F288&gt;=15,"Bulk Order",AND(F288&gt;=5,F288&lt;=14),"Medium Order",F288&lt;5,"Regular Order")</f>
        <v>Medium Order</v>
      </c>
    </row>
    <row r="289" spans="1:12" ht="15" thickBot="1" x14ac:dyDescent="0.4">
      <c r="A289" s="5">
        <v>1196</v>
      </c>
      <c r="B289" s="5" t="s">
        <v>48</v>
      </c>
      <c r="C289" s="5" t="s">
        <v>22</v>
      </c>
      <c r="D289" s="5" t="s">
        <v>34</v>
      </c>
      <c r="E289" s="5" t="s">
        <v>35</v>
      </c>
      <c r="F289" s="5">
        <v>20</v>
      </c>
      <c r="G289" s="5">
        <v>3172</v>
      </c>
      <c r="H289" s="5">
        <v>5</v>
      </c>
      <c r="I289" s="6">
        <v>46155</v>
      </c>
      <c r="J289" s="6">
        <v>46159</v>
      </c>
      <c r="K289" s="10" t="s">
        <v>20</v>
      </c>
      <c r="L289" s="18" t="str" cm="1">
        <f t="array" ref="L289">_xlfn.IFS(F289&gt;=15,"Bulk Order",AND(F289&gt;=5,F289&lt;=14),"Medium Order",F289&lt;5,"Regular Order")</f>
        <v>Bulk Order</v>
      </c>
    </row>
    <row r="290" spans="1:12" ht="15" thickBot="1" x14ac:dyDescent="0.4">
      <c r="A290" s="5">
        <v>1027</v>
      </c>
      <c r="B290" s="5" t="s">
        <v>29</v>
      </c>
      <c r="C290" s="5" t="s">
        <v>43</v>
      </c>
      <c r="D290" s="5" t="s">
        <v>13</v>
      </c>
      <c r="E290" s="5" t="s">
        <v>50</v>
      </c>
      <c r="F290" s="5">
        <v>4</v>
      </c>
      <c r="G290" s="5">
        <v>264</v>
      </c>
      <c r="H290" s="5">
        <v>0</v>
      </c>
      <c r="I290" s="6">
        <v>46155</v>
      </c>
      <c r="J290" s="6">
        <v>46161</v>
      </c>
      <c r="K290" s="10" t="s">
        <v>51</v>
      </c>
      <c r="L290" s="18" t="str" cm="1">
        <f t="array" ref="L290">_xlfn.IFS(F290&gt;=15,"Bulk Order",AND(F290&gt;=5,F290&lt;=14),"Medium Order",F290&lt;5,"Regular Order")</f>
        <v>Regular Order</v>
      </c>
    </row>
    <row r="291" spans="1:12" ht="15" thickBot="1" x14ac:dyDescent="0.4">
      <c r="A291" s="5">
        <v>1344</v>
      </c>
      <c r="B291" s="5" t="s">
        <v>30</v>
      </c>
      <c r="C291" s="5" t="s">
        <v>17</v>
      </c>
      <c r="D291" s="5" t="s">
        <v>13</v>
      </c>
      <c r="E291" s="5" t="s">
        <v>53</v>
      </c>
      <c r="F291" s="5">
        <v>18</v>
      </c>
      <c r="G291" s="5">
        <v>240</v>
      </c>
      <c r="H291" s="5">
        <v>10</v>
      </c>
      <c r="I291" s="6">
        <v>46155</v>
      </c>
      <c r="J291" s="6">
        <v>46156</v>
      </c>
      <c r="K291" s="10" t="s">
        <v>24</v>
      </c>
      <c r="L291" s="18" t="str" cm="1">
        <f t="array" ref="L291">_xlfn.IFS(F291&gt;=15,"Bulk Order",AND(F291&gt;=5,F291&lt;=14),"Medium Order",F291&lt;5,"Regular Order")</f>
        <v>Bulk Order</v>
      </c>
    </row>
    <row r="292" spans="1:12" ht="15" thickBot="1" x14ac:dyDescent="0.4">
      <c r="A292" s="5">
        <v>1171</v>
      </c>
      <c r="B292" s="5" t="s">
        <v>57</v>
      </c>
      <c r="C292" s="5" t="s">
        <v>25</v>
      </c>
      <c r="D292" s="5" t="s">
        <v>13</v>
      </c>
      <c r="E292" s="5" t="s">
        <v>50</v>
      </c>
      <c r="F292" s="5">
        <v>17</v>
      </c>
      <c r="G292" s="5">
        <v>147</v>
      </c>
      <c r="H292" s="5">
        <v>12</v>
      </c>
      <c r="I292" s="6">
        <v>46155</v>
      </c>
      <c r="J292" s="6">
        <v>46160</v>
      </c>
      <c r="K292" s="10" t="s">
        <v>20</v>
      </c>
      <c r="L292" s="18" t="str" cm="1">
        <f t="array" ref="L292">_xlfn.IFS(F292&gt;=15,"Bulk Order",AND(F292&gt;=5,F292&lt;=14),"Medium Order",F292&lt;5,"Regular Order")</f>
        <v>Bulk Order</v>
      </c>
    </row>
    <row r="293" spans="1:12" ht="15" thickBot="1" x14ac:dyDescent="0.4">
      <c r="A293" s="5">
        <v>1295</v>
      </c>
      <c r="B293" s="5" t="s">
        <v>52</v>
      </c>
      <c r="C293" s="5" t="s">
        <v>38</v>
      </c>
      <c r="D293" s="5" t="s">
        <v>18</v>
      </c>
      <c r="E293" s="5" t="s">
        <v>28</v>
      </c>
      <c r="F293" s="5">
        <v>16</v>
      </c>
      <c r="G293" s="5">
        <v>11935</v>
      </c>
      <c r="H293" s="5">
        <v>12</v>
      </c>
      <c r="I293" s="6">
        <v>46157</v>
      </c>
      <c r="J293" s="6">
        <v>46162</v>
      </c>
      <c r="K293" s="10" t="s">
        <v>15</v>
      </c>
      <c r="L293" s="18" t="str" cm="1">
        <f t="array" ref="L293">_xlfn.IFS(F293&gt;=15,"Bulk Order",AND(F293&gt;=5,F293&lt;=14),"Medium Order",F293&lt;5,"Regular Order")</f>
        <v>Bulk Order</v>
      </c>
    </row>
    <row r="294" spans="1:12" ht="15" thickBot="1" x14ac:dyDescent="0.4">
      <c r="A294" s="5">
        <v>1367</v>
      </c>
      <c r="B294" s="5" t="s">
        <v>54</v>
      </c>
      <c r="C294" s="5" t="s">
        <v>25</v>
      </c>
      <c r="D294" s="5" t="s">
        <v>13</v>
      </c>
      <c r="E294" s="5" t="s">
        <v>53</v>
      </c>
      <c r="F294" s="5">
        <v>1</v>
      </c>
      <c r="G294" s="5">
        <v>371</v>
      </c>
      <c r="H294" s="5">
        <v>5</v>
      </c>
      <c r="I294" s="6">
        <v>46158</v>
      </c>
      <c r="J294" s="6">
        <v>46168</v>
      </c>
      <c r="K294" s="10" t="s">
        <v>29</v>
      </c>
      <c r="L294" s="18" t="str" cm="1">
        <f t="array" ref="L294">_xlfn.IFS(F294&gt;=15,"Bulk Order",AND(F294&gt;=5,F294&lt;=14),"Medium Order",F294&lt;5,"Regular Order")</f>
        <v>Regular Order</v>
      </c>
    </row>
    <row r="295" spans="1:12" ht="15" thickBot="1" x14ac:dyDescent="0.4">
      <c r="A295" s="5">
        <v>1317</v>
      </c>
      <c r="B295" s="5" t="s">
        <v>59</v>
      </c>
      <c r="C295" s="5" t="s">
        <v>33</v>
      </c>
      <c r="D295" s="5" t="s">
        <v>34</v>
      </c>
      <c r="E295" s="5" t="s">
        <v>41</v>
      </c>
      <c r="F295" s="5">
        <v>7</v>
      </c>
      <c r="G295" s="5">
        <v>67339</v>
      </c>
      <c r="H295" s="5">
        <v>5</v>
      </c>
      <c r="I295" s="6">
        <v>46159</v>
      </c>
      <c r="J295" s="6">
        <v>46169</v>
      </c>
      <c r="K295" s="10" t="s">
        <v>51</v>
      </c>
      <c r="L295" s="18" t="str" cm="1">
        <f t="array" ref="L295">_xlfn.IFS(F295&gt;=15,"Bulk Order",AND(F295&gt;=5,F295&lt;=14),"Medium Order",F295&lt;5,"Regular Order")</f>
        <v>Medium Order</v>
      </c>
    </row>
    <row r="296" spans="1:12" ht="15" thickBot="1" x14ac:dyDescent="0.4">
      <c r="A296" s="5">
        <v>1052</v>
      </c>
      <c r="B296" s="5" t="s">
        <v>55</v>
      </c>
      <c r="C296" s="5" t="s">
        <v>12</v>
      </c>
      <c r="D296" s="5" t="s">
        <v>13</v>
      </c>
      <c r="E296" s="5" t="s">
        <v>14</v>
      </c>
      <c r="F296" s="5">
        <v>17</v>
      </c>
      <c r="G296" s="5">
        <v>172</v>
      </c>
      <c r="H296" s="5">
        <v>10</v>
      </c>
      <c r="I296" s="6">
        <v>46159</v>
      </c>
      <c r="J296" s="6">
        <v>46165</v>
      </c>
      <c r="K296" s="10" t="s">
        <v>20</v>
      </c>
      <c r="L296" s="18" t="str" cm="1">
        <f t="array" ref="L296">_xlfn.IFS(F296&gt;=15,"Bulk Order",AND(F296&gt;=5,F296&lt;=14),"Medium Order",F296&lt;5,"Regular Order")</f>
        <v>Bulk Order</v>
      </c>
    </row>
    <row r="297" spans="1:12" ht="15" thickBot="1" x14ac:dyDescent="0.4">
      <c r="A297" s="5">
        <v>1143</v>
      </c>
      <c r="B297" s="5" t="s">
        <v>29</v>
      </c>
      <c r="C297" s="5" t="s">
        <v>17</v>
      </c>
      <c r="D297" s="5" t="s">
        <v>13</v>
      </c>
      <c r="E297" s="5" t="s">
        <v>37</v>
      </c>
      <c r="F297" s="5">
        <v>13</v>
      </c>
      <c r="G297" s="5">
        <v>456</v>
      </c>
      <c r="H297" s="5">
        <v>2</v>
      </c>
      <c r="I297" s="6">
        <v>46160</v>
      </c>
      <c r="J297" s="6">
        <v>46167</v>
      </c>
      <c r="K297" s="10" t="s">
        <v>24</v>
      </c>
      <c r="L297" s="18" t="str" cm="1">
        <f t="array" ref="L297">_xlfn.IFS(F297&gt;=15,"Bulk Order",AND(F297&gt;=5,F297&lt;=14),"Medium Order",F297&lt;5,"Regular Order")</f>
        <v>Medium Order</v>
      </c>
    </row>
    <row r="298" spans="1:12" ht="15" thickBot="1" x14ac:dyDescent="0.4">
      <c r="A298" s="5">
        <v>1167</v>
      </c>
      <c r="B298" s="5" t="s">
        <v>48</v>
      </c>
      <c r="C298" s="5" t="s">
        <v>17</v>
      </c>
      <c r="D298" s="5" t="s">
        <v>13</v>
      </c>
      <c r="E298" s="5" t="s">
        <v>37</v>
      </c>
      <c r="F298" s="5">
        <v>20</v>
      </c>
      <c r="G298" s="5">
        <v>251</v>
      </c>
      <c r="H298" s="5">
        <v>5</v>
      </c>
      <c r="I298" s="6">
        <v>46160</v>
      </c>
      <c r="J298" s="6">
        <v>46170</v>
      </c>
      <c r="K298" s="10" t="s">
        <v>29</v>
      </c>
      <c r="L298" s="18" t="str" cm="1">
        <f t="array" ref="L298">_xlfn.IFS(F298&gt;=15,"Bulk Order",AND(F298&gt;=5,F298&lt;=14),"Medium Order",F298&lt;5,"Regular Order")</f>
        <v>Bulk Order</v>
      </c>
    </row>
    <row r="299" spans="1:12" ht="15" thickBot="1" x14ac:dyDescent="0.4">
      <c r="A299" s="5">
        <v>1129</v>
      </c>
      <c r="B299" s="5" t="s">
        <v>58</v>
      </c>
      <c r="C299" s="5" t="s">
        <v>17</v>
      </c>
      <c r="D299" s="5" t="s">
        <v>13</v>
      </c>
      <c r="E299" s="5" t="s">
        <v>50</v>
      </c>
      <c r="F299" s="5">
        <v>15</v>
      </c>
      <c r="G299" s="5">
        <v>75</v>
      </c>
      <c r="H299" s="5">
        <v>7</v>
      </c>
      <c r="I299" s="6">
        <v>46160</v>
      </c>
      <c r="J299" s="6">
        <v>46164</v>
      </c>
      <c r="K299" s="10" t="s">
        <v>29</v>
      </c>
      <c r="L299" s="18" t="str" cm="1">
        <f t="array" ref="L299">_xlfn.IFS(F299&gt;=15,"Bulk Order",AND(F299&gt;=5,F299&lt;=14),"Medium Order",F299&lt;5,"Regular Order")</f>
        <v>Bulk Order</v>
      </c>
    </row>
    <row r="300" spans="1:12" ht="15" thickBot="1" x14ac:dyDescent="0.4">
      <c r="A300" s="5">
        <v>1257</v>
      </c>
      <c r="B300" s="5" t="s">
        <v>54</v>
      </c>
      <c r="C300" s="5" t="s">
        <v>25</v>
      </c>
      <c r="D300" s="5" t="s">
        <v>34</v>
      </c>
      <c r="E300" s="5" t="s">
        <v>61</v>
      </c>
      <c r="F300" s="5">
        <v>7</v>
      </c>
      <c r="G300" s="5">
        <v>53243</v>
      </c>
      <c r="H300" s="5">
        <v>12</v>
      </c>
      <c r="I300" s="6">
        <v>46161</v>
      </c>
      <c r="J300" s="6">
        <v>46171</v>
      </c>
      <c r="K300" s="10" t="s">
        <v>15</v>
      </c>
      <c r="L300" s="18" t="str" cm="1">
        <f t="array" ref="L300">_xlfn.IFS(F300&gt;=15,"Bulk Order",AND(F300&gt;=5,F300&lt;=14),"Medium Order",F300&lt;5,"Regular Order")</f>
        <v>Medium Order</v>
      </c>
    </row>
    <row r="301" spans="1:12" ht="15" thickBot="1" x14ac:dyDescent="0.4">
      <c r="A301" s="5">
        <v>1372</v>
      </c>
      <c r="B301" s="5" t="s">
        <v>48</v>
      </c>
      <c r="C301" s="5" t="s">
        <v>17</v>
      </c>
      <c r="D301" s="5" t="s">
        <v>34</v>
      </c>
      <c r="E301" s="5" t="s">
        <v>39</v>
      </c>
      <c r="F301" s="5">
        <v>9</v>
      </c>
      <c r="G301" s="5">
        <v>9551</v>
      </c>
      <c r="H301" s="5">
        <v>10</v>
      </c>
      <c r="I301" s="6">
        <v>46161</v>
      </c>
      <c r="J301" s="6">
        <v>46168</v>
      </c>
      <c r="K301" s="10" t="s">
        <v>15</v>
      </c>
      <c r="L301" s="18" t="str" cm="1">
        <f t="array" ref="L301">_xlfn.IFS(F301&gt;=15,"Bulk Order",AND(F301&gt;=5,F301&lt;=14),"Medium Order",F301&lt;5,"Regular Order")</f>
        <v>Medium Order</v>
      </c>
    </row>
    <row r="302" spans="1:12" ht="15" thickBot="1" x14ac:dyDescent="0.4">
      <c r="A302" s="5">
        <v>1024</v>
      </c>
      <c r="B302" s="5" t="s">
        <v>32</v>
      </c>
      <c r="C302" s="5" t="s">
        <v>38</v>
      </c>
      <c r="D302" s="5" t="s">
        <v>34</v>
      </c>
      <c r="E302" s="5" t="s">
        <v>41</v>
      </c>
      <c r="F302" s="5">
        <v>12</v>
      </c>
      <c r="G302" s="5">
        <v>1682</v>
      </c>
      <c r="H302" s="5">
        <v>5</v>
      </c>
      <c r="I302" s="6">
        <v>46161</v>
      </c>
      <c r="J302" s="6">
        <v>46165</v>
      </c>
      <c r="K302" s="10" t="s">
        <v>15</v>
      </c>
      <c r="L302" s="18" t="str" cm="1">
        <f t="array" ref="L302">_xlfn.IFS(F302&gt;=15,"Bulk Order",AND(F302&gt;=5,F302&lt;=14),"Medium Order",F302&lt;5,"Regular Order")</f>
        <v>Medium Order</v>
      </c>
    </row>
    <row r="303" spans="1:12" ht="15" thickBot="1" x14ac:dyDescent="0.4">
      <c r="A303" s="5">
        <v>1248</v>
      </c>
      <c r="B303" s="5" t="s">
        <v>27</v>
      </c>
      <c r="C303" s="5" t="s">
        <v>43</v>
      </c>
      <c r="D303" s="5" t="s">
        <v>13</v>
      </c>
      <c r="E303" s="5" t="s">
        <v>37</v>
      </c>
      <c r="F303" s="5">
        <v>5</v>
      </c>
      <c r="G303" s="5">
        <v>398</v>
      </c>
      <c r="H303" s="5">
        <v>7</v>
      </c>
      <c r="I303" s="6">
        <v>46161</v>
      </c>
      <c r="J303" s="6">
        <v>46171</v>
      </c>
      <c r="K303" s="10" t="s">
        <v>29</v>
      </c>
      <c r="L303" s="18" t="str" cm="1">
        <f t="array" ref="L303">_xlfn.IFS(F303&gt;=15,"Bulk Order",AND(F303&gt;=5,F303&lt;=14),"Medium Order",F303&lt;5,"Regular Order")</f>
        <v>Medium Order</v>
      </c>
    </row>
    <row r="304" spans="1:12" ht="15" thickBot="1" x14ac:dyDescent="0.4">
      <c r="A304" s="5">
        <v>1011</v>
      </c>
      <c r="B304" s="5" t="s">
        <v>11</v>
      </c>
      <c r="C304" s="5" t="s">
        <v>17</v>
      </c>
      <c r="D304" s="5" t="s">
        <v>13</v>
      </c>
      <c r="E304" s="5" t="s">
        <v>37</v>
      </c>
      <c r="F304" s="5">
        <v>14</v>
      </c>
      <c r="G304" s="5">
        <v>88</v>
      </c>
      <c r="H304" s="5">
        <v>12</v>
      </c>
      <c r="I304" s="6">
        <v>46161</v>
      </c>
      <c r="J304" s="6">
        <v>46163</v>
      </c>
      <c r="K304" s="10" t="s">
        <v>15</v>
      </c>
      <c r="L304" s="18" t="str" cm="1">
        <f t="array" ref="L304">_xlfn.IFS(F304&gt;=15,"Bulk Order",AND(F304&gt;=5,F304&lt;=14),"Medium Order",F304&lt;5,"Regular Order")</f>
        <v>Medium Order</v>
      </c>
    </row>
    <row r="305" spans="1:12" ht="15" thickBot="1" x14ac:dyDescent="0.4">
      <c r="A305" s="5">
        <v>1386</v>
      </c>
      <c r="B305" s="5" t="s">
        <v>27</v>
      </c>
      <c r="C305" s="5" t="s">
        <v>31</v>
      </c>
      <c r="D305" s="5" t="s">
        <v>18</v>
      </c>
      <c r="E305" s="5" t="s">
        <v>28</v>
      </c>
      <c r="F305" s="5">
        <v>9</v>
      </c>
      <c r="G305" s="5">
        <v>7509</v>
      </c>
      <c r="H305" s="5">
        <v>5</v>
      </c>
      <c r="I305" s="6">
        <v>46162</v>
      </c>
      <c r="J305" s="6">
        <v>46171</v>
      </c>
      <c r="K305" s="10" t="s">
        <v>51</v>
      </c>
      <c r="L305" s="18" t="str" cm="1">
        <f t="array" ref="L305">_xlfn.IFS(F305&gt;=15,"Bulk Order",AND(F305&gt;=5,F305&lt;=14),"Medium Order",F305&lt;5,"Regular Order")</f>
        <v>Medium Order</v>
      </c>
    </row>
    <row r="306" spans="1:12" ht="15" thickBot="1" x14ac:dyDescent="0.4">
      <c r="A306" s="5">
        <v>1007</v>
      </c>
      <c r="B306" s="5" t="s">
        <v>21</v>
      </c>
      <c r="C306" s="5" t="s">
        <v>22</v>
      </c>
      <c r="D306" s="5" t="s">
        <v>13</v>
      </c>
      <c r="E306" s="5" t="s">
        <v>14</v>
      </c>
      <c r="F306" s="5">
        <v>19</v>
      </c>
      <c r="G306" s="5">
        <v>149</v>
      </c>
      <c r="H306" s="5">
        <v>7</v>
      </c>
      <c r="I306" s="6">
        <v>46162</v>
      </c>
      <c r="J306" s="6">
        <v>46168</v>
      </c>
      <c r="K306" s="10" t="s">
        <v>24</v>
      </c>
      <c r="L306" s="18" t="str" cm="1">
        <f t="array" ref="L306">_xlfn.IFS(F306&gt;=15,"Bulk Order",AND(F306&gt;=5,F306&lt;=14),"Medium Order",F306&lt;5,"Regular Order")</f>
        <v>Bulk Order</v>
      </c>
    </row>
    <row r="307" spans="1:12" ht="15" thickBot="1" x14ac:dyDescent="0.4">
      <c r="A307" s="5">
        <v>1032</v>
      </c>
      <c r="B307" s="5" t="s">
        <v>54</v>
      </c>
      <c r="C307" s="5" t="s">
        <v>43</v>
      </c>
      <c r="D307" s="5" t="s">
        <v>34</v>
      </c>
      <c r="E307" s="5" t="s">
        <v>39</v>
      </c>
      <c r="F307" s="5">
        <v>20</v>
      </c>
      <c r="G307" s="5">
        <v>11305</v>
      </c>
      <c r="H307" s="5">
        <v>2</v>
      </c>
      <c r="I307" s="6">
        <v>46163</v>
      </c>
      <c r="J307" s="6">
        <v>46165</v>
      </c>
      <c r="K307" s="10" t="s">
        <v>29</v>
      </c>
      <c r="L307" s="18" t="str" cm="1">
        <f t="array" ref="L307">_xlfn.IFS(F307&gt;=15,"Bulk Order",AND(F307&gt;=5,F307&lt;=14),"Medium Order",F307&lt;5,"Regular Order")</f>
        <v>Bulk Order</v>
      </c>
    </row>
    <row r="308" spans="1:12" ht="15" thickBot="1" x14ac:dyDescent="0.4">
      <c r="A308" s="5">
        <v>1302</v>
      </c>
      <c r="B308" s="5" t="s">
        <v>57</v>
      </c>
      <c r="C308" s="5" t="s">
        <v>12</v>
      </c>
      <c r="D308" s="5" t="s">
        <v>34</v>
      </c>
      <c r="E308" s="5" t="s">
        <v>35</v>
      </c>
      <c r="F308" s="5">
        <v>9</v>
      </c>
      <c r="G308" s="5">
        <v>8500</v>
      </c>
      <c r="H308" s="5">
        <v>15</v>
      </c>
      <c r="I308" s="6">
        <v>46163</v>
      </c>
      <c r="J308" s="6">
        <v>46172</v>
      </c>
      <c r="K308" s="10" t="s">
        <v>24</v>
      </c>
      <c r="L308" s="18" t="str" cm="1">
        <f t="array" ref="L308">_xlfn.IFS(F308&gt;=15,"Bulk Order",AND(F308&gt;=5,F308&lt;=14),"Medium Order",F308&lt;5,"Regular Order")</f>
        <v>Medium Order</v>
      </c>
    </row>
    <row r="309" spans="1:12" ht="15" thickBot="1" x14ac:dyDescent="0.4">
      <c r="A309" s="5">
        <v>1249</v>
      </c>
      <c r="B309" s="5" t="s">
        <v>16</v>
      </c>
      <c r="C309" s="5" t="s">
        <v>25</v>
      </c>
      <c r="D309" s="5" t="s">
        <v>34</v>
      </c>
      <c r="E309" s="5" t="s">
        <v>41</v>
      </c>
      <c r="F309" s="5">
        <v>18</v>
      </c>
      <c r="G309" s="5">
        <v>6360</v>
      </c>
      <c r="H309" s="5">
        <v>12</v>
      </c>
      <c r="I309" s="6">
        <v>46163</v>
      </c>
      <c r="J309" s="6">
        <v>46165</v>
      </c>
      <c r="K309" s="10" t="s">
        <v>20</v>
      </c>
      <c r="L309" s="18" t="str" cm="1">
        <f t="array" ref="L309">_xlfn.IFS(F309&gt;=15,"Bulk Order",AND(F309&gt;=5,F309&lt;=14),"Medium Order",F309&lt;5,"Regular Order")</f>
        <v>Bulk Order</v>
      </c>
    </row>
    <row r="310" spans="1:12" ht="15" thickBot="1" x14ac:dyDescent="0.4">
      <c r="A310" s="5">
        <v>1207</v>
      </c>
      <c r="B310" s="5" t="s">
        <v>55</v>
      </c>
      <c r="C310" s="5" t="s">
        <v>25</v>
      </c>
      <c r="D310" s="5" t="s">
        <v>13</v>
      </c>
      <c r="E310" s="5" t="s">
        <v>53</v>
      </c>
      <c r="F310" s="5">
        <v>7</v>
      </c>
      <c r="G310" s="5">
        <v>244</v>
      </c>
      <c r="H310" s="5">
        <v>2</v>
      </c>
      <c r="I310" s="6">
        <v>46164</v>
      </c>
      <c r="J310" s="6">
        <v>46173</v>
      </c>
      <c r="K310" s="10" t="s">
        <v>24</v>
      </c>
      <c r="L310" s="18" t="str" cm="1">
        <f t="array" ref="L310">_xlfn.IFS(F310&gt;=15,"Bulk Order",AND(F310&gt;=5,F310&lt;=14),"Medium Order",F310&lt;5,"Regular Order")</f>
        <v>Medium Order</v>
      </c>
    </row>
    <row r="311" spans="1:12" ht="15" thickBot="1" x14ac:dyDescent="0.4">
      <c r="A311" s="5">
        <v>1236</v>
      </c>
      <c r="B311" s="5" t="s">
        <v>54</v>
      </c>
      <c r="C311" s="5" t="s">
        <v>43</v>
      </c>
      <c r="D311" s="5" t="s">
        <v>13</v>
      </c>
      <c r="E311" s="5" t="s">
        <v>37</v>
      </c>
      <c r="F311" s="5">
        <v>12</v>
      </c>
      <c r="G311" s="5">
        <v>189</v>
      </c>
      <c r="H311" s="5">
        <v>7</v>
      </c>
      <c r="I311" s="6">
        <v>46164</v>
      </c>
      <c r="J311" s="6">
        <v>46169</v>
      </c>
      <c r="K311" s="10" t="s">
        <v>29</v>
      </c>
      <c r="L311" s="18" t="str" cm="1">
        <f t="array" ref="L311">_xlfn.IFS(F311&gt;=15,"Bulk Order",AND(F311&gt;=5,F311&lt;=14),"Medium Order",F311&lt;5,"Regular Order")</f>
        <v>Medium Order</v>
      </c>
    </row>
    <row r="312" spans="1:12" ht="15" thickBot="1" x14ac:dyDescent="0.4">
      <c r="A312" s="5">
        <v>1326</v>
      </c>
      <c r="B312" s="5" t="s">
        <v>26</v>
      </c>
      <c r="C312" s="5" t="s">
        <v>17</v>
      </c>
      <c r="D312" s="5" t="s">
        <v>18</v>
      </c>
      <c r="E312" s="5" t="s">
        <v>44</v>
      </c>
      <c r="F312" s="5">
        <v>18</v>
      </c>
      <c r="G312" s="5">
        <v>1830</v>
      </c>
      <c r="H312" s="5">
        <v>10</v>
      </c>
      <c r="I312" s="6">
        <v>46165</v>
      </c>
      <c r="J312" s="6">
        <v>46172</v>
      </c>
      <c r="K312" s="10" t="s">
        <v>15</v>
      </c>
      <c r="L312" s="18" t="str" cm="1">
        <f t="array" ref="L312">_xlfn.IFS(F312&gt;=15,"Bulk Order",AND(F312&gt;=5,F312&lt;=14),"Medium Order",F312&lt;5,"Regular Order")</f>
        <v>Bulk Order</v>
      </c>
    </row>
    <row r="313" spans="1:12" ht="15" thickBot="1" x14ac:dyDescent="0.4">
      <c r="A313" s="5">
        <v>1252</v>
      </c>
      <c r="B313" s="5" t="s">
        <v>47</v>
      </c>
      <c r="C313" s="5" t="s">
        <v>25</v>
      </c>
      <c r="D313" s="5" t="s">
        <v>13</v>
      </c>
      <c r="E313" s="5" t="s">
        <v>36</v>
      </c>
      <c r="F313" s="5">
        <v>15</v>
      </c>
      <c r="G313" s="5">
        <v>257</v>
      </c>
      <c r="H313" s="5">
        <v>5</v>
      </c>
      <c r="I313" s="6">
        <v>46166</v>
      </c>
      <c r="J313" s="6">
        <v>46173</v>
      </c>
      <c r="K313" s="10" t="s">
        <v>20</v>
      </c>
      <c r="L313" s="18" t="str" cm="1">
        <f t="array" ref="L313">_xlfn.IFS(F313&gt;=15,"Bulk Order",AND(F313&gt;=5,F313&lt;=14),"Medium Order",F313&lt;5,"Regular Order")</f>
        <v>Bulk Order</v>
      </c>
    </row>
    <row r="314" spans="1:12" ht="15" thickBot="1" x14ac:dyDescent="0.4">
      <c r="A314" s="5">
        <v>1206</v>
      </c>
      <c r="B314" s="5" t="s">
        <v>55</v>
      </c>
      <c r="C314" s="5" t="s">
        <v>33</v>
      </c>
      <c r="D314" s="5" t="s">
        <v>13</v>
      </c>
      <c r="E314" s="5" t="s">
        <v>14</v>
      </c>
      <c r="F314" s="5">
        <v>9</v>
      </c>
      <c r="G314" s="5">
        <v>60</v>
      </c>
      <c r="H314" s="5">
        <v>0</v>
      </c>
      <c r="I314" s="6">
        <v>46166</v>
      </c>
      <c r="J314" s="6">
        <v>46174</v>
      </c>
      <c r="K314" s="10" t="s">
        <v>15</v>
      </c>
      <c r="L314" s="18" t="str" cm="1">
        <f t="array" ref="L314">_xlfn.IFS(F314&gt;=15,"Bulk Order",AND(F314&gt;=5,F314&lt;=14),"Medium Order",F314&lt;5,"Regular Order")</f>
        <v>Medium Order</v>
      </c>
    </row>
    <row r="315" spans="1:12" ht="15" thickBot="1" x14ac:dyDescent="0.4">
      <c r="A315" s="5">
        <v>1095</v>
      </c>
      <c r="B315" s="5" t="s">
        <v>47</v>
      </c>
      <c r="C315" s="5" t="s">
        <v>25</v>
      </c>
      <c r="D315" s="5" t="s">
        <v>34</v>
      </c>
      <c r="E315" s="5" t="s">
        <v>41</v>
      </c>
      <c r="F315" s="5">
        <v>18</v>
      </c>
      <c r="G315" s="5">
        <v>587</v>
      </c>
      <c r="H315" s="5">
        <v>2</v>
      </c>
      <c r="I315" s="6">
        <v>46167</v>
      </c>
      <c r="J315" s="6">
        <v>46171</v>
      </c>
      <c r="K315" s="10" t="s">
        <v>20</v>
      </c>
      <c r="L315" s="18" t="str" cm="1">
        <f t="array" ref="L315">_xlfn.IFS(F315&gt;=15,"Bulk Order",AND(F315&gt;=5,F315&lt;=14),"Medium Order",F315&lt;5,"Regular Order")</f>
        <v>Bulk Order</v>
      </c>
    </row>
    <row r="316" spans="1:12" ht="15" thickBot="1" x14ac:dyDescent="0.4">
      <c r="A316" s="5">
        <v>1131</v>
      </c>
      <c r="B316" s="5" t="s">
        <v>21</v>
      </c>
      <c r="C316" s="5" t="s">
        <v>31</v>
      </c>
      <c r="D316" s="5" t="s">
        <v>18</v>
      </c>
      <c r="E316" s="5" t="s">
        <v>23</v>
      </c>
      <c r="F316" s="5">
        <v>13</v>
      </c>
      <c r="G316" s="5">
        <v>3083</v>
      </c>
      <c r="H316" s="5">
        <v>7</v>
      </c>
      <c r="I316" s="6">
        <v>46168</v>
      </c>
      <c r="J316" s="6">
        <v>46173</v>
      </c>
      <c r="K316" s="10" t="s">
        <v>51</v>
      </c>
      <c r="L316" s="18" t="str" cm="1">
        <f t="array" ref="L316">_xlfn.IFS(F316&gt;=15,"Bulk Order",AND(F316&gt;=5,F316&lt;=14),"Medium Order",F316&lt;5,"Regular Order")</f>
        <v>Medium Order</v>
      </c>
    </row>
    <row r="317" spans="1:12" ht="15" thickBot="1" x14ac:dyDescent="0.4">
      <c r="A317" s="5">
        <v>1335</v>
      </c>
      <c r="B317" s="5" t="s">
        <v>47</v>
      </c>
      <c r="C317" s="5" t="s">
        <v>17</v>
      </c>
      <c r="D317" s="5" t="s">
        <v>18</v>
      </c>
      <c r="E317" s="5" t="s">
        <v>19</v>
      </c>
      <c r="F317" s="5">
        <v>9</v>
      </c>
      <c r="G317" s="5">
        <v>1495</v>
      </c>
      <c r="H317" s="5">
        <v>12</v>
      </c>
      <c r="I317" s="6">
        <v>46168</v>
      </c>
      <c r="J317" s="6">
        <v>46173</v>
      </c>
      <c r="K317" s="10" t="s">
        <v>15</v>
      </c>
      <c r="L317" s="18" t="str" cm="1">
        <f t="array" ref="L317">_xlfn.IFS(F317&gt;=15,"Bulk Order",AND(F317&gt;=5,F317&lt;=14),"Medium Order",F317&lt;5,"Regular Order")</f>
        <v>Medium Order</v>
      </c>
    </row>
    <row r="318" spans="1:12" ht="15" thickBot="1" x14ac:dyDescent="0.4">
      <c r="A318" s="5">
        <v>1286</v>
      </c>
      <c r="B318" s="5" t="s">
        <v>46</v>
      </c>
      <c r="C318" s="5" t="s">
        <v>17</v>
      </c>
      <c r="D318" s="5" t="s">
        <v>18</v>
      </c>
      <c r="E318" s="5" t="s">
        <v>56</v>
      </c>
      <c r="F318" s="5">
        <v>9</v>
      </c>
      <c r="G318" s="5">
        <v>1340</v>
      </c>
      <c r="H318" s="5">
        <v>2</v>
      </c>
      <c r="I318" s="6">
        <v>46168</v>
      </c>
      <c r="J318" s="6">
        <v>46173</v>
      </c>
      <c r="K318" s="10" t="s">
        <v>15</v>
      </c>
      <c r="L318" s="18" t="str" cm="1">
        <f t="array" ref="L318">_xlfn.IFS(F318&gt;=15,"Bulk Order",AND(F318&gt;=5,F318&lt;=14),"Medium Order",F318&lt;5,"Regular Order")</f>
        <v>Medium Order</v>
      </c>
    </row>
    <row r="319" spans="1:12" ht="15" thickBot="1" x14ac:dyDescent="0.4">
      <c r="A319" s="5">
        <v>1177</v>
      </c>
      <c r="B319" s="5" t="s">
        <v>29</v>
      </c>
      <c r="C319" s="5" t="s">
        <v>22</v>
      </c>
      <c r="D319" s="5" t="s">
        <v>18</v>
      </c>
      <c r="E319" s="5" t="s">
        <v>19</v>
      </c>
      <c r="F319" s="5">
        <v>14</v>
      </c>
      <c r="G319" s="5">
        <v>7501</v>
      </c>
      <c r="H319" s="5">
        <v>7</v>
      </c>
      <c r="I319" s="6">
        <v>46169</v>
      </c>
      <c r="J319" s="6">
        <v>46179</v>
      </c>
      <c r="K319" s="10" t="s">
        <v>20</v>
      </c>
      <c r="L319" s="18" t="str" cm="1">
        <f t="array" ref="L319">_xlfn.IFS(F319&gt;=15,"Bulk Order",AND(F319&gt;=5,F319&lt;=14),"Medium Order",F319&lt;5,"Regular Order")</f>
        <v>Medium Order</v>
      </c>
    </row>
    <row r="320" spans="1:12" ht="15" thickBot="1" x14ac:dyDescent="0.4">
      <c r="A320" s="5">
        <v>1318</v>
      </c>
      <c r="B320" s="5" t="s">
        <v>11</v>
      </c>
      <c r="C320" s="5" t="s">
        <v>43</v>
      </c>
      <c r="D320" s="5" t="s">
        <v>13</v>
      </c>
      <c r="E320" s="5" t="s">
        <v>50</v>
      </c>
      <c r="F320" s="5">
        <v>4</v>
      </c>
      <c r="G320" s="5">
        <v>38</v>
      </c>
      <c r="H320" s="5">
        <v>12</v>
      </c>
      <c r="I320" s="6">
        <v>46169</v>
      </c>
      <c r="J320" s="6">
        <v>46175</v>
      </c>
      <c r="K320" s="10" t="s">
        <v>29</v>
      </c>
      <c r="L320" s="18" t="str" cm="1">
        <f t="array" ref="L320">_xlfn.IFS(F320&gt;=15,"Bulk Order",AND(F320&gt;=5,F320&lt;=14),"Medium Order",F320&lt;5,"Regular Order")</f>
        <v>Regular Order</v>
      </c>
    </row>
    <row r="321" spans="1:12" ht="15" thickBot="1" x14ac:dyDescent="0.4">
      <c r="A321" s="5">
        <v>1079</v>
      </c>
      <c r="B321" s="5" t="s">
        <v>26</v>
      </c>
      <c r="C321" s="5" t="s">
        <v>38</v>
      </c>
      <c r="D321" s="5" t="s">
        <v>34</v>
      </c>
      <c r="E321" s="5" t="s">
        <v>41</v>
      </c>
      <c r="F321" s="5">
        <v>19</v>
      </c>
      <c r="G321" s="5">
        <v>48956</v>
      </c>
      <c r="H321" s="5">
        <v>12</v>
      </c>
      <c r="I321" s="6">
        <v>46170</v>
      </c>
      <c r="J321" s="6">
        <v>46177</v>
      </c>
      <c r="K321" s="10" t="s">
        <v>51</v>
      </c>
      <c r="L321" s="18" t="str" cm="1">
        <f t="array" ref="L321">_xlfn.IFS(F321&gt;=15,"Bulk Order",AND(F321&gt;=5,F321&lt;=14),"Medium Order",F321&lt;5,"Regular Order")</f>
        <v>Bulk Order</v>
      </c>
    </row>
    <row r="322" spans="1:12" ht="15" thickBot="1" x14ac:dyDescent="0.4">
      <c r="A322" s="5">
        <v>1127</v>
      </c>
      <c r="B322" s="5" t="s">
        <v>26</v>
      </c>
      <c r="C322" s="5" t="s">
        <v>33</v>
      </c>
      <c r="D322" s="5" t="s">
        <v>18</v>
      </c>
      <c r="E322" s="5" t="s">
        <v>28</v>
      </c>
      <c r="F322" s="5">
        <v>15</v>
      </c>
      <c r="G322" s="5">
        <v>11694</v>
      </c>
      <c r="H322" s="5">
        <v>12</v>
      </c>
      <c r="I322" s="6">
        <v>46170</v>
      </c>
      <c r="J322" s="6">
        <v>46179</v>
      </c>
      <c r="K322" s="10" t="s">
        <v>29</v>
      </c>
      <c r="L322" s="18" t="str" cm="1">
        <f t="array" ref="L322">_xlfn.IFS(F322&gt;=15,"Bulk Order",AND(F322&gt;=5,F322&lt;=14),"Medium Order",F322&lt;5,"Regular Order")</f>
        <v>Bulk Order</v>
      </c>
    </row>
    <row r="323" spans="1:12" ht="15" thickBot="1" x14ac:dyDescent="0.4">
      <c r="A323" s="5">
        <v>1398</v>
      </c>
      <c r="B323" s="5" t="s">
        <v>58</v>
      </c>
      <c r="C323" s="5" t="s">
        <v>43</v>
      </c>
      <c r="D323" s="5" t="s">
        <v>34</v>
      </c>
      <c r="E323" s="5" t="s">
        <v>39</v>
      </c>
      <c r="F323" s="5">
        <v>12</v>
      </c>
      <c r="G323" s="5">
        <v>10668</v>
      </c>
      <c r="H323" s="5">
        <v>0</v>
      </c>
      <c r="I323" s="6">
        <v>46170</v>
      </c>
      <c r="J323" s="6">
        <v>46176</v>
      </c>
      <c r="K323" s="10" t="s">
        <v>15</v>
      </c>
      <c r="L323" s="18" t="str" cm="1">
        <f t="array" ref="L323">_xlfn.IFS(F323&gt;=15,"Bulk Order",AND(F323&gt;=5,F323&lt;=14),"Medium Order",F323&lt;5,"Regular Order")</f>
        <v>Medium Order</v>
      </c>
    </row>
    <row r="324" spans="1:12" ht="15" thickBot="1" x14ac:dyDescent="0.4">
      <c r="A324" s="5">
        <v>1220</v>
      </c>
      <c r="B324" s="5" t="s">
        <v>11</v>
      </c>
      <c r="C324" s="5" t="s">
        <v>25</v>
      </c>
      <c r="D324" s="5" t="s">
        <v>18</v>
      </c>
      <c r="E324" s="5" t="s">
        <v>56</v>
      </c>
      <c r="F324" s="5">
        <v>2</v>
      </c>
      <c r="G324" s="5">
        <v>8861</v>
      </c>
      <c r="H324" s="5">
        <v>2</v>
      </c>
      <c r="I324" s="6">
        <v>46170</v>
      </c>
      <c r="J324" s="6">
        <v>46174</v>
      </c>
      <c r="K324" s="10" t="s">
        <v>24</v>
      </c>
      <c r="L324" s="18" t="str" cm="1">
        <f t="array" ref="L324">_xlfn.IFS(F324&gt;=15,"Bulk Order",AND(F324&gt;=5,F324&lt;=14),"Medium Order",F324&lt;5,"Regular Order")</f>
        <v>Regular Order</v>
      </c>
    </row>
    <row r="325" spans="1:12" ht="15" thickBot="1" x14ac:dyDescent="0.4">
      <c r="A325" s="5">
        <v>1040</v>
      </c>
      <c r="B325" s="5" t="s">
        <v>49</v>
      </c>
      <c r="C325" s="5" t="s">
        <v>38</v>
      </c>
      <c r="D325" s="5" t="s">
        <v>18</v>
      </c>
      <c r="E325" s="5" t="s">
        <v>28</v>
      </c>
      <c r="F325" s="5">
        <v>10</v>
      </c>
      <c r="G325" s="5">
        <v>7531</v>
      </c>
      <c r="H325" s="5">
        <v>2</v>
      </c>
      <c r="I325" s="6">
        <v>46171</v>
      </c>
      <c r="J325" s="6">
        <v>46178</v>
      </c>
      <c r="K325" s="10" t="s">
        <v>24</v>
      </c>
      <c r="L325" s="18" t="str" cm="1">
        <f t="array" ref="L325">_xlfn.IFS(F325&gt;=15,"Bulk Order",AND(F325&gt;=5,F325&lt;=14),"Medium Order",F325&lt;5,"Regular Order")</f>
        <v>Medium Order</v>
      </c>
    </row>
    <row r="326" spans="1:12" ht="15" thickBot="1" x14ac:dyDescent="0.4">
      <c r="A326" s="5">
        <v>1087</v>
      </c>
      <c r="B326" s="5" t="s">
        <v>11</v>
      </c>
      <c r="C326" s="5" t="s">
        <v>31</v>
      </c>
      <c r="D326" s="5" t="s">
        <v>13</v>
      </c>
      <c r="E326" s="5" t="s">
        <v>37</v>
      </c>
      <c r="F326" s="5">
        <v>13</v>
      </c>
      <c r="G326" s="5">
        <v>387</v>
      </c>
      <c r="H326" s="5">
        <v>7</v>
      </c>
      <c r="I326" s="6">
        <v>46171</v>
      </c>
      <c r="J326" s="6">
        <v>46176</v>
      </c>
      <c r="K326" s="10" t="s">
        <v>24</v>
      </c>
      <c r="L326" s="18" t="str" cm="1">
        <f t="array" ref="L326">_xlfn.IFS(F326&gt;=15,"Bulk Order",AND(F326&gt;=5,F326&lt;=14),"Medium Order",F326&lt;5,"Regular Order")</f>
        <v>Medium Order</v>
      </c>
    </row>
    <row r="327" spans="1:12" ht="15" thickBot="1" x14ac:dyDescent="0.4">
      <c r="A327" s="5">
        <v>1005</v>
      </c>
      <c r="B327" s="5" t="s">
        <v>26</v>
      </c>
      <c r="C327" s="5" t="s">
        <v>17</v>
      </c>
      <c r="D327" s="5" t="s">
        <v>13</v>
      </c>
      <c r="E327" s="5" t="s">
        <v>14</v>
      </c>
      <c r="F327" s="5">
        <v>18</v>
      </c>
      <c r="G327" s="5">
        <v>70</v>
      </c>
      <c r="H327" s="5">
        <v>0</v>
      </c>
      <c r="I327" s="6">
        <v>46171</v>
      </c>
      <c r="J327" s="6">
        <v>46179</v>
      </c>
      <c r="K327" s="10" t="s">
        <v>24</v>
      </c>
      <c r="L327" s="18" t="str" cm="1">
        <f t="array" ref="L327">_xlfn.IFS(F327&gt;=15,"Bulk Order",AND(F327&gt;=5,F327&lt;=14),"Medium Order",F327&lt;5,"Regular Order")</f>
        <v>Bulk Order</v>
      </c>
    </row>
    <row r="328" spans="1:12" ht="15" thickBot="1" x14ac:dyDescent="0.4">
      <c r="A328" s="5">
        <v>1217</v>
      </c>
      <c r="B328" s="5" t="s">
        <v>30</v>
      </c>
      <c r="C328" s="5" t="s">
        <v>22</v>
      </c>
      <c r="D328" s="5" t="s">
        <v>13</v>
      </c>
      <c r="E328" s="5" t="s">
        <v>50</v>
      </c>
      <c r="F328" s="5">
        <v>18</v>
      </c>
      <c r="G328" s="5">
        <v>60</v>
      </c>
      <c r="H328" s="5">
        <v>0</v>
      </c>
      <c r="I328" s="6">
        <v>46171</v>
      </c>
      <c r="J328" s="6">
        <v>46172</v>
      </c>
      <c r="K328" s="10" t="s">
        <v>29</v>
      </c>
      <c r="L328" s="18" t="str" cm="1">
        <f t="array" ref="L328">_xlfn.IFS(F328&gt;=15,"Bulk Order",AND(F328&gt;=5,F328&lt;=14),"Medium Order",F328&lt;5,"Regular Order")</f>
        <v>Bulk Order</v>
      </c>
    </row>
    <row r="329" spans="1:12" ht="15" thickBot="1" x14ac:dyDescent="0.4">
      <c r="A329" s="5">
        <v>1259</v>
      </c>
      <c r="B329" s="5" t="s">
        <v>42</v>
      </c>
      <c r="C329" s="5" t="s">
        <v>22</v>
      </c>
      <c r="D329" s="5" t="s">
        <v>34</v>
      </c>
      <c r="E329" s="5" t="s">
        <v>45</v>
      </c>
      <c r="F329" s="5">
        <v>10</v>
      </c>
      <c r="G329" s="5">
        <v>38771</v>
      </c>
      <c r="H329" s="5">
        <v>15</v>
      </c>
      <c r="I329" s="6">
        <v>46172</v>
      </c>
      <c r="J329" s="6">
        <v>46182</v>
      </c>
      <c r="K329" s="10" t="s">
        <v>15</v>
      </c>
      <c r="L329" s="18" t="str" cm="1">
        <f t="array" ref="L329">_xlfn.IFS(F329&gt;=15,"Bulk Order",AND(F329&gt;=5,F329&lt;=14),"Medium Order",F329&lt;5,"Regular Order")</f>
        <v>Medium Order</v>
      </c>
    </row>
    <row r="330" spans="1:12" ht="15" thickBot="1" x14ac:dyDescent="0.4">
      <c r="A330" s="5">
        <v>1273</v>
      </c>
      <c r="B330" s="5" t="s">
        <v>46</v>
      </c>
      <c r="C330" s="5" t="s">
        <v>25</v>
      </c>
      <c r="D330" s="5" t="s">
        <v>34</v>
      </c>
      <c r="E330" s="5" t="s">
        <v>39</v>
      </c>
      <c r="F330" s="5">
        <v>12</v>
      </c>
      <c r="G330" s="5">
        <v>20618</v>
      </c>
      <c r="H330" s="5">
        <v>12</v>
      </c>
      <c r="I330" s="6">
        <v>46172</v>
      </c>
      <c r="J330" s="6">
        <v>46174</v>
      </c>
      <c r="K330" s="10" t="s">
        <v>20</v>
      </c>
      <c r="L330" s="18" t="str" cm="1">
        <f t="array" ref="L330">_xlfn.IFS(F330&gt;=15,"Bulk Order",AND(F330&gt;=5,F330&lt;=14),"Medium Order",F330&lt;5,"Regular Order")</f>
        <v>Medium Order</v>
      </c>
    </row>
    <row r="331" spans="1:12" ht="15" thickBot="1" x14ac:dyDescent="0.4">
      <c r="A331" s="5">
        <v>1235</v>
      </c>
      <c r="B331" s="5" t="s">
        <v>57</v>
      </c>
      <c r="C331" s="5" t="s">
        <v>25</v>
      </c>
      <c r="D331" s="5" t="s">
        <v>13</v>
      </c>
      <c r="E331" s="5" t="s">
        <v>50</v>
      </c>
      <c r="F331" s="5">
        <v>15</v>
      </c>
      <c r="G331" s="5">
        <v>267</v>
      </c>
      <c r="H331" s="5">
        <v>15</v>
      </c>
      <c r="I331" s="6">
        <v>46172</v>
      </c>
      <c r="J331" s="6">
        <v>46177</v>
      </c>
      <c r="K331" s="10" t="s">
        <v>29</v>
      </c>
      <c r="L331" s="18" t="str" cm="1">
        <f t="array" ref="L331">_xlfn.IFS(F331&gt;=15,"Bulk Order",AND(F331&gt;=5,F331&lt;=14),"Medium Order",F331&lt;5,"Regular Order")</f>
        <v>Bulk Order</v>
      </c>
    </row>
    <row r="332" spans="1:12" ht="15" thickBot="1" x14ac:dyDescent="0.4">
      <c r="A332" s="5">
        <v>1044</v>
      </c>
      <c r="B332" s="5" t="s">
        <v>48</v>
      </c>
      <c r="C332" s="5" t="s">
        <v>38</v>
      </c>
      <c r="D332" s="5" t="s">
        <v>18</v>
      </c>
      <c r="E332" s="5" t="s">
        <v>19</v>
      </c>
      <c r="F332" s="5">
        <v>4</v>
      </c>
      <c r="G332" s="5">
        <v>14731</v>
      </c>
      <c r="H332" s="5">
        <v>2</v>
      </c>
      <c r="I332" s="6">
        <v>46173</v>
      </c>
      <c r="J332" s="6">
        <v>46176</v>
      </c>
      <c r="K332" s="10" t="s">
        <v>20</v>
      </c>
      <c r="L332" s="18" t="str" cm="1">
        <f t="array" ref="L332">_xlfn.IFS(F332&gt;=15,"Bulk Order",AND(F332&gt;=5,F332&lt;=14),"Medium Order",F332&lt;5,"Regular Order")</f>
        <v>Regular Order</v>
      </c>
    </row>
    <row r="333" spans="1:12" ht="15" thickBot="1" x14ac:dyDescent="0.4">
      <c r="A333" s="5">
        <v>1247</v>
      </c>
      <c r="B333" s="5" t="s">
        <v>26</v>
      </c>
      <c r="C333" s="5" t="s">
        <v>12</v>
      </c>
      <c r="D333" s="5" t="s">
        <v>13</v>
      </c>
      <c r="E333" s="5" t="s">
        <v>50</v>
      </c>
      <c r="F333" s="5">
        <v>10</v>
      </c>
      <c r="G333" s="5">
        <v>336</v>
      </c>
      <c r="H333" s="5">
        <v>7</v>
      </c>
      <c r="I333" s="6">
        <v>46173</v>
      </c>
      <c r="J333" s="6">
        <v>46175</v>
      </c>
      <c r="K333" s="10" t="s">
        <v>20</v>
      </c>
      <c r="L333" s="18" t="str" cm="1">
        <f t="array" ref="L333">_xlfn.IFS(F333&gt;=15,"Bulk Order",AND(F333&gt;=5,F333&lt;=14),"Medium Order",F333&lt;5,"Regular Order")</f>
        <v>Medium Order</v>
      </c>
    </row>
    <row r="334" spans="1:12" ht="15" thickBot="1" x14ac:dyDescent="0.4">
      <c r="A334" s="5">
        <v>1311</v>
      </c>
      <c r="B334" s="5" t="s">
        <v>55</v>
      </c>
      <c r="C334" s="5" t="s">
        <v>12</v>
      </c>
      <c r="D334" s="5" t="s">
        <v>13</v>
      </c>
      <c r="E334" s="5" t="s">
        <v>14</v>
      </c>
      <c r="F334" s="5">
        <v>2</v>
      </c>
      <c r="G334" s="5">
        <v>209</v>
      </c>
      <c r="H334" s="5">
        <v>0</v>
      </c>
      <c r="I334" s="6">
        <v>46173</v>
      </c>
      <c r="J334" s="6">
        <v>46176</v>
      </c>
      <c r="K334" s="10" t="s">
        <v>20</v>
      </c>
      <c r="L334" s="18" t="str" cm="1">
        <f t="array" ref="L334">_xlfn.IFS(F334&gt;=15,"Bulk Order",AND(F334&gt;=5,F334&lt;=14),"Medium Order",F334&lt;5,"Regular Order")</f>
        <v>Regular Order</v>
      </c>
    </row>
    <row r="335" spans="1:12" ht="15" thickBot="1" x14ac:dyDescent="0.4">
      <c r="A335" s="5">
        <v>1343</v>
      </c>
      <c r="B335" s="5" t="s">
        <v>59</v>
      </c>
      <c r="C335" s="5" t="s">
        <v>31</v>
      </c>
      <c r="D335" s="5" t="s">
        <v>34</v>
      </c>
      <c r="E335" s="5" t="s">
        <v>39</v>
      </c>
      <c r="F335" s="5">
        <v>14</v>
      </c>
      <c r="G335" s="5">
        <v>32719</v>
      </c>
      <c r="H335" s="5">
        <v>15</v>
      </c>
      <c r="I335" s="6">
        <v>46174</v>
      </c>
      <c r="J335" s="6">
        <v>46179</v>
      </c>
      <c r="K335" s="10" t="s">
        <v>15</v>
      </c>
      <c r="L335" s="18" t="str" cm="1">
        <f t="array" ref="L335">_xlfn.IFS(F335&gt;=15,"Bulk Order",AND(F335&gt;=5,F335&lt;=14),"Medium Order",F335&lt;5,"Regular Order")</f>
        <v>Medium Order</v>
      </c>
    </row>
    <row r="336" spans="1:12" ht="15" thickBot="1" x14ac:dyDescent="0.4">
      <c r="A336" s="5">
        <v>1002</v>
      </c>
      <c r="B336" s="5" t="s">
        <v>16</v>
      </c>
      <c r="C336" s="5" t="s">
        <v>17</v>
      </c>
      <c r="D336" s="5" t="s">
        <v>18</v>
      </c>
      <c r="E336" s="5" t="s">
        <v>19</v>
      </c>
      <c r="F336" s="5">
        <v>7</v>
      </c>
      <c r="G336" s="5">
        <v>8448</v>
      </c>
      <c r="H336" s="5">
        <v>12</v>
      </c>
      <c r="I336" s="6">
        <v>46174</v>
      </c>
      <c r="J336" s="6">
        <v>46179</v>
      </c>
      <c r="K336" s="10" t="s">
        <v>20</v>
      </c>
      <c r="L336" s="18" t="str" cm="1">
        <f t="array" ref="L336">_xlfn.IFS(F336&gt;=15,"Bulk Order",AND(F336&gt;=5,F336&lt;=14),"Medium Order",F336&lt;5,"Regular Order")</f>
        <v>Medium Order</v>
      </c>
    </row>
    <row r="337" spans="1:12" ht="15" thickBot="1" x14ac:dyDescent="0.4">
      <c r="A337" s="5">
        <v>1262</v>
      </c>
      <c r="B337" s="5" t="s">
        <v>16</v>
      </c>
      <c r="C337" s="5" t="s">
        <v>22</v>
      </c>
      <c r="D337" s="5" t="s">
        <v>18</v>
      </c>
      <c r="E337" s="5" t="s">
        <v>28</v>
      </c>
      <c r="F337" s="5">
        <v>9</v>
      </c>
      <c r="G337" s="5">
        <v>2231</v>
      </c>
      <c r="H337" s="5">
        <v>15</v>
      </c>
      <c r="I337" s="6">
        <v>46174</v>
      </c>
      <c r="J337" s="6">
        <v>46183</v>
      </c>
      <c r="K337" s="10" t="s">
        <v>15</v>
      </c>
      <c r="L337" s="18" t="str" cm="1">
        <f t="array" ref="L337">_xlfn.IFS(F337&gt;=15,"Bulk Order",AND(F337&gt;=5,F337&lt;=14),"Medium Order",F337&lt;5,"Regular Order")</f>
        <v>Medium Order</v>
      </c>
    </row>
    <row r="338" spans="1:12" ht="15" thickBot="1" x14ac:dyDescent="0.4">
      <c r="A338" s="5">
        <v>1015</v>
      </c>
      <c r="B338" s="5" t="s">
        <v>42</v>
      </c>
      <c r="C338" s="5" t="s">
        <v>43</v>
      </c>
      <c r="D338" s="5" t="s">
        <v>18</v>
      </c>
      <c r="E338" s="5" t="s">
        <v>44</v>
      </c>
      <c r="F338" s="5">
        <v>11</v>
      </c>
      <c r="G338" s="5">
        <v>14511</v>
      </c>
      <c r="H338" s="5">
        <v>2</v>
      </c>
      <c r="I338" s="6">
        <v>46175</v>
      </c>
      <c r="J338" s="6">
        <v>46185</v>
      </c>
      <c r="K338" s="10" t="s">
        <v>20</v>
      </c>
      <c r="L338" s="18" t="str" cm="1">
        <f t="array" ref="L338">_xlfn.IFS(F338&gt;=15,"Bulk Order",AND(F338&gt;=5,F338&lt;=14),"Medium Order",F338&lt;5,"Regular Order")</f>
        <v>Medium Order</v>
      </c>
    </row>
    <row r="339" spans="1:12" ht="15" thickBot="1" x14ac:dyDescent="0.4">
      <c r="A339" s="5">
        <v>1093</v>
      </c>
      <c r="B339" s="5" t="s">
        <v>47</v>
      </c>
      <c r="C339" s="5" t="s">
        <v>25</v>
      </c>
      <c r="D339" s="5" t="s">
        <v>18</v>
      </c>
      <c r="E339" s="5" t="s">
        <v>23</v>
      </c>
      <c r="F339" s="5">
        <v>6</v>
      </c>
      <c r="G339" s="5">
        <v>8224</v>
      </c>
      <c r="H339" s="5">
        <v>15</v>
      </c>
      <c r="I339" s="6">
        <v>46175</v>
      </c>
      <c r="J339" s="6">
        <v>46185</v>
      </c>
      <c r="K339" s="10" t="s">
        <v>51</v>
      </c>
      <c r="L339" s="18" t="str" cm="1">
        <f t="array" ref="L339">_xlfn.IFS(F339&gt;=15,"Bulk Order",AND(F339&gt;=5,F339&lt;=14),"Medium Order",F339&lt;5,"Regular Order")</f>
        <v>Medium Order</v>
      </c>
    </row>
    <row r="340" spans="1:12" ht="15" thickBot="1" x14ac:dyDescent="0.4">
      <c r="A340" s="5">
        <v>1025</v>
      </c>
      <c r="B340" s="5" t="s">
        <v>21</v>
      </c>
      <c r="C340" s="5" t="s">
        <v>12</v>
      </c>
      <c r="D340" s="5" t="s">
        <v>18</v>
      </c>
      <c r="E340" s="5" t="s">
        <v>19</v>
      </c>
      <c r="F340" s="5">
        <v>18</v>
      </c>
      <c r="G340" s="5">
        <v>7924</v>
      </c>
      <c r="H340" s="5">
        <v>0</v>
      </c>
      <c r="I340" s="6">
        <v>46175</v>
      </c>
      <c r="J340" s="6">
        <v>46181</v>
      </c>
      <c r="K340" s="10" t="s">
        <v>15</v>
      </c>
      <c r="L340" s="18" t="str" cm="1">
        <f t="array" ref="L340">_xlfn.IFS(F340&gt;=15,"Bulk Order",AND(F340&gt;=5,F340&lt;=14),"Medium Order",F340&lt;5,"Regular Order")</f>
        <v>Bulk Order</v>
      </c>
    </row>
    <row r="341" spans="1:12" ht="15" thickBot="1" x14ac:dyDescent="0.4">
      <c r="A341" s="5">
        <v>1211</v>
      </c>
      <c r="B341" s="5" t="s">
        <v>48</v>
      </c>
      <c r="C341" s="5" t="s">
        <v>17</v>
      </c>
      <c r="D341" s="5" t="s">
        <v>34</v>
      </c>
      <c r="E341" s="5" t="s">
        <v>35</v>
      </c>
      <c r="F341" s="5">
        <v>3</v>
      </c>
      <c r="G341" s="5">
        <v>5962</v>
      </c>
      <c r="H341" s="5">
        <v>7</v>
      </c>
      <c r="I341" s="6">
        <v>46175</v>
      </c>
      <c r="J341" s="6">
        <v>46183</v>
      </c>
      <c r="K341" s="10" t="s">
        <v>15</v>
      </c>
      <c r="L341" s="18" t="str" cm="1">
        <f t="array" ref="L341">_xlfn.IFS(F341&gt;=15,"Bulk Order",AND(F341&gt;=5,F341&lt;=14),"Medium Order",F341&lt;5,"Regular Order")</f>
        <v>Regular Order</v>
      </c>
    </row>
    <row r="342" spans="1:12" ht="15" thickBot="1" x14ac:dyDescent="0.4">
      <c r="A342" s="5">
        <v>1245</v>
      </c>
      <c r="B342" s="5" t="s">
        <v>55</v>
      </c>
      <c r="C342" s="5" t="s">
        <v>43</v>
      </c>
      <c r="D342" s="5" t="s">
        <v>34</v>
      </c>
      <c r="E342" s="5" t="s">
        <v>41</v>
      </c>
      <c r="F342" s="5">
        <v>19</v>
      </c>
      <c r="G342" s="5">
        <v>69029</v>
      </c>
      <c r="H342" s="5">
        <v>7</v>
      </c>
      <c r="I342" s="6">
        <v>46176</v>
      </c>
      <c r="J342" s="6">
        <v>46179</v>
      </c>
      <c r="K342" s="10" t="s">
        <v>29</v>
      </c>
      <c r="L342" s="18" t="str" cm="1">
        <f t="array" ref="L342">_xlfn.IFS(F342&gt;=15,"Bulk Order",AND(F342&gt;=5,F342&lt;=14),"Medium Order",F342&lt;5,"Regular Order")</f>
        <v>Bulk Order</v>
      </c>
    </row>
    <row r="343" spans="1:12" ht="15" thickBot="1" x14ac:dyDescent="0.4">
      <c r="A343" s="5">
        <v>1282</v>
      </c>
      <c r="B343" s="5" t="s">
        <v>57</v>
      </c>
      <c r="C343" s="5" t="s">
        <v>43</v>
      </c>
      <c r="D343" s="5" t="s">
        <v>18</v>
      </c>
      <c r="E343" s="5" t="s">
        <v>44</v>
      </c>
      <c r="F343" s="5">
        <v>12</v>
      </c>
      <c r="G343" s="5">
        <v>3178</v>
      </c>
      <c r="H343" s="5">
        <v>10</v>
      </c>
      <c r="I343" s="6">
        <v>46176</v>
      </c>
      <c r="J343" s="6">
        <v>46177</v>
      </c>
      <c r="K343" s="10" t="s">
        <v>29</v>
      </c>
      <c r="L343" s="18" t="str" cm="1">
        <f t="array" ref="L343">_xlfn.IFS(F343&gt;=15,"Bulk Order",AND(F343&gt;=5,F343&lt;=14),"Medium Order",F343&lt;5,"Regular Order")</f>
        <v>Medium Order</v>
      </c>
    </row>
    <row r="344" spans="1:12" ht="15" thickBot="1" x14ac:dyDescent="0.4">
      <c r="A344" s="5">
        <v>1338</v>
      </c>
      <c r="B344" s="5" t="s">
        <v>59</v>
      </c>
      <c r="C344" s="5" t="s">
        <v>25</v>
      </c>
      <c r="D344" s="5" t="s">
        <v>34</v>
      </c>
      <c r="E344" s="5" t="s">
        <v>60</v>
      </c>
      <c r="F344" s="5">
        <v>10</v>
      </c>
      <c r="G344" s="5">
        <v>16719</v>
      </c>
      <c r="H344" s="5">
        <v>5</v>
      </c>
      <c r="I344" s="6">
        <v>46177</v>
      </c>
      <c r="J344" s="6">
        <v>46179</v>
      </c>
      <c r="K344" s="10" t="s">
        <v>15</v>
      </c>
      <c r="L344" s="18" t="str" cm="1">
        <f t="array" ref="L344">_xlfn.IFS(F344&gt;=15,"Bulk Order",AND(F344&gt;=5,F344&lt;=14),"Medium Order",F344&lt;5,"Regular Order")</f>
        <v>Medium Order</v>
      </c>
    </row>
    <row r="345" spans="1:12" ht="15" thickBot="1" x14ac:dyDescent="0.4">
      <c r="A345" s="5">
        <v>1187</v>
      </c>
      <c r="B345" s="5" t="s">
        <v>54</v>
      </c>
      <c r="C345" s="5" t="s">
        <v>22</v>
      </c>
      <c r="D345" s="5" t="s">
        <v>34</v>
      </c>
      <c r="E345" s="5" t="s">
        <v>45</v>
      </c>
      <c r="F345" s="5">
        <v>18</v>
      </c>
      <c r="G345" s="5">
        <v>68527</v>
      </c>
      <c r="H345" s="5">
        <v>12</v>
      </c>
      <c r="I345" s="6">
        <v>46178</v>
      </c>
      <c r="J345" s="6">
        <v>46184</v>
      </c>
      <c r="K345" s="10" t="s">
        <v>51</v>
      </c>
      <c r="L345" s="18" t="str" cm="1">
        <f t="array" ref="L345">_xlfn.IFS(F345&gt;=15,"Bulk Order",AND(F345&gt;=5,F345&lt;=14),"Medium Order",F345&lt;5,"Regular Order")</f>
        <v>Bulk Order</v>
      </c>
    </row>
    <row r="346" spans="1:12" ht="15" thickBot="1" x14ac:dyDescent="0.4">
      <c r="A346" s="5">
        <v>1297</v>
      </c>
      <c r="B346" s="5" t="s">
        <v>54</v>
      </c>
      <c r="C346" s="5" t="s">
        <v>25</v>
      </c>
      <c r="D346" s="5" t="s">
        <v>34</v>
      </c>
      <c r="E346" s="5" t="s">
        <v>35</v>
      </c>
      <c r="F346" s="5">
        <v>14</v>
      </c>
      <c r="G346" s="5">
        <v>24524</v>
      </c>
      <c r="H346" s="5">
        <v>10</v>
      </c>
      <c r="I346" s="6">
        <v>46178</v>
      </c>
      <c r="J346" s="6">
        <v>46187</v>
      </c>
      <c r="K346" s="10" t="s">
        <v>29</v>
      </c>
      <c r="L346" s="18" t="str" cm="1">
        <f t="array" ref="L346">_xlfn.IFS(F346&gt;=15,"Bulk Order",AND(F346&gt;=5,F346&lt;=14),"Medium Order",F346&lt;5,"Regular Order")</f>
        <v>Medium Order</v>
      </c>
    </row>
    <row r="347" spans="1:12" ht="15" thickBot="1" x14ac:dyDescent="0.4">
      <c r="A347" s="5">
        <v>1231</v>
      </c>
      <c r="B347" s="5" t="s">
        <v>48</v>
      </c>
      <c r="C347" s="5" t="s">
        <v>38</v>
      </c>
      <c r="D347" s="5" t="s">
        <v>18</v>
      </c>
      <c r="E347" s="5" t="s">
        <v>19</v>
      </c>
      <c r="F347" s="5">
        <v>13</v>
      </c>
      <c r="G347" s="5">
        <v>10297</v>
      </c>
      <c r="H347" s="5">
        <v>12</v>
      </c>
      <c r="I347" s="6">
        <v>46178</v>
      </c>
      <c r="J347" s="6">
        <v>46186</v>
      </c>
      <c r="K347" s="10" t="s">
        <v>20</v>
      </c>
      <c r="L347" s="18" t="str" cm="1">
        <f t="array" ref="L347">_xlfn.IFS(F347&gt;=15,"Bulk Order",AND(F347&gt;=5,F347&lt;=14),"Medium Order",F347&lt;5,"Regular Order")</f>
        <v>Medium Order</v>
      </c>
    </row>
    <row r="348" spans="1:12" ht="15" thickBot="1" x14ac:dyDescent="0.4">
      <c r="A348" s="5">
        <v>1118</v>
      </c>
      <c r="B348" s="5" t="s">
        <v>21</v>
      </c>
      <c r="C348" s="5" t="s">
        <v>22</v>
      </c>
      <c r="D348" s="5" t="s">
        <v>18</v>
      </c>
      <c r="E348" s="5" t="s">
        <v>23</v>
      </c>
      <c r="F348" s="5">
        <v>18</v>
      </c>
      <c r="G348" s="5">
        <v>9118</v>
      </c>
      <c r="H348" s="5">
        <v>5</v>
      </c>
      <c r="I348" s="6">
        <v>46178</v>
      </c>
      <c r="J348" s="6">
        <v>46187</v>
      </c>
      <c r="K348" s="10" t="s">
        <v>29</v>
      </c>
      <c r="L348" s="18" t="str" cm="1">
        <f t="array" ref="L348">_xlfn.IFS(F348&gt;=15,"Bulk Order",AND(F348&gt;=5,F348&lt;=14),"Medium Order",F348&lt;5,"Regular Order")</f>
        <v>Bulk Order</v>
      </c>
    </row>
    <row r="349" spans="1:12" ht="15" thickBot="1" x14ac:dyDescent="0.4">
      <c r="A349" s="5">
        <v>1154</v>
      </c>
      <c r="B349" s="5" t="s">
        <v>32</v>
      </c>
      <c r="C349" s="5" t="s">
        <v>17</v>
      </c>
      <c r="D349" s="5" t="s">
        <v>18</v>
      </c>
      <c r="E349" s="5" t="s">
        <v>56</v>
      </c>
      <c r="F349" s="5">
        <v>15</v>
      </c>
      <c r="G349" s="5">
        <v>6101</v>
      </c>
      <c r="H349" s="5">
        <v>0</v>
      </c>
      <c r="I349" s="6">
        <v>46178</v>
      </c>
      <c r="J349" s="6">
        <v>46183</v>
      </c>
      <c r="K349" s="10" t="s">
        <v>51</v>
      </c>
      <c r="L349" s="18" t="str" cm="1">
        <f t="array" ref="L349">_xlfn.IFS(F349&gt;=15,"Bulk Order",AND(F349&gt;=5,F349&lt;=14),"Medium Order",F349&lt;5,"Regular Order")</f>
        <v>Bulk Order</v>
      </c>
    </row>
    <row r="350" spans="1:12" ht="15" thickBot="1" x14ac:dyDescent="0.4">
      <c r="A350" s="5">
        <v>1199</v>
      </c>
      <c r="B350" s="5" t="s">
        <v>11</v>
      </c>
      <c r="C350" s="5" t="s">
        <v>25</v>
      </c>
      <c r="D350" s="5" t="s">
        <v>34</v>
      </c>
      <c r="E350" s="5" t="s">
        <v>45</v>
      </c>
      <c r="F350" s="5">
        <v>2</v>
      </c>
      <c r="G350" s="5">
        <v>4375</v>
      </c>
      <c r="H350" s="5">
        <v>7</v>
      </c>
      <c r="I350" s="6">
        <v>46178</v>
      </c>
      <c r="J350" s="6">
        <v>46180</v>
      </c>
      <c r="K350" s="10" t="s">
        <v>24</v>
      </c>
      <c r="L350" s="18" t="str" cm="1">
        <f t="array" ref="L350">_xlfn.IFS(F350&gt;=15,"Bulk Order",AND(F350&gt;=5,F350&lt;=14),"Medium Order",F350&lt;5,"Regular Order")</f>
        <v>Regular Order</v>
      </c>
    </row>
    <row r="351" spans="1:12" ht="15" thickBot="1" x14ac:dyDescent="0.4">
      <c r="A351" s="5">
        <v>1376</v>
      </c>
      <c r="B351" s="5" t="s">
        <v>52</v>
      </c>
      <c r="C351" s="5" t="s">
        <v>31</v>
      </c>
      <c r="D351" s="5" t="s">
        <v>13</v>
      </c>
      <c r="E351" s="5" t="s">
        <v>50</v>
      </c>
      <c r="F351" s="5">
        <v>20</v>
      </c>
      <c r="G351" s="5">
        <v>429</v>
      </c>
      <c r="H351" s="5">
        <v>5</v>
      </c>
      <c r="I351" s="6">
        <v>46178</v>
      </c>
      <c r="J351" s="6">
        <v>46184</v>
      </c>
      <c r="K351" s="10" t="s">
        <v>20</v>
      </c>
      <c r="L351" s="18" t="str" cm="1">
        <f t="array" ref="L351">_xlfn.IFS(F351&gt;=15,"Bulk Order",AND(F351&gt;=5,F351&lt;=14),"Medium Order",F351&lt;5,"Regular Order")</f>
        <v>Bulk Order</v>
      </c>
    </row>
    <row r="352" spans="1:12" ht="15" thickBot="1" x14ac:dyDescent="0.4">
      <c r="A352" s="5">
        <v>1274</v>
      </c>
      <c r="B352" s="5" t="s">
        <v>26</v>
      </c>
      <c r="C352" s="5" t="s">
        <v>25</v>
      </c>
      <c r="D352" s="5" t="s">
        <v>34</v>
      </c>
      <c r="E352" s="5" t="s">
        <v>41</v>
      </c>
      <c r="F352" s="5">
        <v>13</v>
      </c>
      <c r="G352" s="5">
        <v>36652</v>
      </c>
      <c r="H352" s="5">
        <v>12</v>
      </c>
      <c r="I352" s="6">
        <v>46179</v>
      </c>
      <c r="J352" s="6">
        <v>46186</v>
      </c>
      <c r="K352" s="10" t="s">
        <v>20</v>
      </c>
      <c r="L352" s="18" t="str" cm="1">
        <f t="array" ref="L352">_xlfn.IFS(F352&gt;=15,"Bulk Order",AND(F352&gt;=5,F352&lt;=14),"Medium Order",F352&lt;5,"Regular Order")</f>
        <v>Medium Order</v>
      </c>
    </row>
    <row r="353" spans="1:12" ht="15" thickBot="1" x14ac:dyDescent="0.4">
      <c r="A353" s="5">
        <v>1288</v>
      </c>
      <c r="B353" s="5" t="s">
        <v>54</v>
      </c>
      <c r="C353" s="5" t="s">
        <v>22</v>
      </c>
      <c r="D353" s="5" t="s">
        <v>34</v>
      </c>
      <c r="E353" s="5" t="s">
        <v>60</v>
      </c>
      <c r="F353" s="5">
        <v>14</v>
      </c>
      <c r="G353" s="5">
        <v>35601</v>
      </c>
      <c r="H353" s="5">
        <v>10</v>
      </c>
      <c r="I353" s="6">
        <v>46179</v>
      </c>
      <c r="J353" s="6">
        <v>46187</v>
      </c>
      <c r="K353" s="10" t="s">
        <v>29</v>
      </c>
      <c r="L353" s="18" t="str" cm="1">
        <f t="array" ref="L353">_xlfn.IFS(F353&gt;=15,"Bulk Order",AND(F353&gt;=5,F353&lt;=14),"Medium Order",F353&lt;5,"Regular Order")</f>
        <v>Medium Order</v>
      </c>
    </row>
    <row r="354" spans="1:12" ht="15" thickBot="1" x14ac:dyDescent="0.4">
      <c r="A354" s="5">
        <v>1278</v>
      </c>
      <c r="B354" s="5" t="s">
        <v>47</v>
      </c>
      <c r="C354" s="5" t="s">
        <v>22</v>
      </c>
      <c r="D354" s="5" t="s">
        <v>34</v>
      </c>
      <c r="E354" s="5" t="s">
        <v>61</v>
      </c>
      <c r="F354" s="5">
        <v>4</v>
      </c>
      <c r="G354" s="5">
        <v>20639</v>
      </c>
      <c r="H354" s="5">
        <v>7</v>
      </c>
      <c r="I354" s="6">
        <v>46180</v>
      </c>
      <c r="J354" s="6">
        <v>46186</v>
      </c>
      <c r="K354" s="10" t="s">
        <v>20</v>
      </c>
      <c r="L354" s="18" t="str" cm="1">
        <f t="array" ref="L354">_xlfn.IFS(F354&gt;=15,"Bulk Order",AND(F354&gt;=5,F354&lt;=14),"Medium Order",F354&lt;5,"Regular Order")</f>
        <v>Regular Order</v>
      </c>
    </row>
    <row r="355" spans="1:12" ht="15" thickBot="1" x14ac:dyDescent="0.4">
      <c r="A355" s="5">
        <v>1048</v>
      </c>
      <c r="B355" s="5" t="s">
        <v>59</v>
      </c>
      <c r="C355" s="5" t="s">
        <v>25</v>
      </c>
      <c r="D355" s="5" t="s">
        <v>34</v>
      </c>
      <c r="E355" s="5" t="s">
        <v>60</v>
      </c>
      <c r="F355" s="5">
        <v>14</v>
      </c>
      <c r="G355" s="5">
        <v>11762</v>
      </c>
      <c r="H355" s="5">
        <v>7</v>
      </c>
      <c r="I355" s="6">
        <v>46180</v>
      </c>
      <c r="J355" s="6">
        <v>46186</v>
      </c>
      <c r="K355" s="10" t="s">
        <v>24</v>
      </c>
      <c r="L355" s="18" t="str" cm="1">
        <f t="array" ref="L355">_xlfn.IFS(F355&gt;=15,"Bulk Order",AND(F355&gt;=5,F355&lt;=14),"Medium Order",F355&lt;5,"Regular Order")</f>
        <v>Medium Order</v>
      </c>
    </row>
    <row r="356" spans="1:12" ht="15" thickBot="1" x14ac:dyDescent="0.4">
      <c r="A356" s="5">
        <v>1294</v>
      </c>
      <c r="B356" s="5" t="s">
        <v>21</v>
      </c>
      <c r="C356" s="5" t="s">
        <v>12</v>
      </c>
      <c r="D356" s="5" t="s">
        <v>18</v>
      </c>
      <c r="E356" s="5" t="s">
        <v>19</v>
      </c>
      <c r="F356" s="5">
        <v>8</v>
      </c>
      <c r="G356" s="5">
        <v>14448</v>
      </c>
      <c r="H356" s="5">
        <v>10</v>
      </c>
      <c r="I356" s="6">
        <v>46181</v>
      </c>
      <c r="J356" s="6">
        <v>46189</v>
      </c>
      <c r="K356" s="10" t="s">
        <v>15</v>
      </c>
      <c r="L356" s="18" t="str" cm="1">
        <f t="array" ref="L356">_xlfn.IFS(F356&gt;=15,"Bulk Order",AND(F356&gt;=5,F356&lt;=14),"Medium Order",F356&lt;5,"Regular Order")</f>
        <v>Medium Order</v>
      </c>
    </row>
    <row r="357" spans="1:12" ht="15" thickBot="1" x14ac:dyDescent="0.4">
      <c r="A357" s="5">
        <v>1310</v>
      </c>
      <c r="B357" s="5" t="s">
        <v>49</v>
      </c>
      <c r="C357" s="5" t="s">
        <v>17</v>
      </c>
      <c r="D357" s="5" t="s">
        <v>18</v>
      </c>
      <c r="E357" s="5" t="s">
        <v>56</v>
      </c>
      <c r="F357" s="5">
        <v>19</v>
      </c>
      <c r="G357" s="5">
        <v>12691</v>
      </c>
      <c r="H357" s="5">
        <v>0</v>
      </c>
      <c r="I357" s="6">
        <v>46181</v>
      </c>
      <c r="J357" s="6">
        <v>46189</v>
      </c>
      <c r="K357" s="10" t="s">
        <v>29</v>
      </c>
      <c r="L357" s="18" t="str" cm="1">
        <f t="array" ref="L357">_xlfn.IFS(F357&gt;=15,"Bulk Order",AND(F357&gt;=5,F357&lt;=14),"Medium Order",F357&lt;5,"Regular Order")</f>
        <v>Bulk Order</v>
      </c>
    </row>
    <row r="358" spans="1:12" ht="15" thickBot="1" x14ac:dyDescent="0.4">
      <c r="A358" s="5">
        <v>1124</v>
      </c>
      <c r="B358" s="5" t="s">
        <v>27</v>
      </c>
      <c r="C358" s="5" t="s">
        <v>38</v>
      </c>
      <c r="D358" s="5" t="s">
        <v>18</v>
      </c>
      <c r="E358" s="5" t="s">
        <v>56</v>
      </c>
      <c r="F358" s="5">
        <v>4</v>
      </c>
      <c r="G358" s="5">
        <v>14195</v>
      </c>
      <c r="H358" s="5">
        <v>15</v>
      </c>
      <c r="I358" s="6">
        <v>46182</v>
      </c>
      <c r="J358" s="6">
        <v>46189</v>
      </c>
      <c r="K358" s="10" t="s">
        <v>51</v>
      </c>
      <c r="L358" s="18" t="str" cm="1">
        <f t="array" ref="L358">_xlfn.IFS(F358&gt;=15,"Bulk Order",AND(F358&gt;=5,F358&lt;=14),"Medium Order",F358&lt;5,"Regular Order")</f>
        <v>Regular Order</v>
      </c>
    </row>
    <row r="359" spans="1:12" ht="15" thickBot="1" x14ac:dyDescent="0.4">
      <c r="A359" s="5">
        <v>1009</v>
      </c>
      <c r="B359" s="5" t="s">
        <v>32</v>
      </c>
      <c r="C359" s="5" t="s">
        <v>33</v>
      </c>
      <c r="D359" s="5" t="s">
        <v>34</v>
      </c>
      <c r="E359" s="5" t="s">
        <v>35</v>
      </c>
      <c r="F359" s="5">
        <v>10</v>
      </c>
      <c r="G359" s="5">
        <v>40671</v>
      </c>
      <c r="H359" s="5">
        <v>12</v>
      </c>
      <c r="I359" s="6">
        <v>46183</v>
      </c>
      <c r="J359" s="6">
        <v>46193</v>
      </c>
      <c r="K359" s="10" t="s">
        <v>24</v>
      </c>
      <c r="L359" s="18" t="str" cm="1">
        <f t="array" ref="L359">_xlfn.IFS(F359&gt;=15,"Bulk Order",AND(F359&gt;=5,F359&lt;=14),"Medium Order",F359&lt;5,"Regular Order")</f>
        <v>Medium Order</v>
      </c>
    </row>
    <row r="360" spans="1:12" ht="15" thickBot="1" x14ac:dyDescent="0.4">
      <c r="A360" s="5">
        <v>1003</v>
      </c>
      <c r="B360" s="5" t="s">
        <v>21</v>
      </c>
      <c r="C360" s="5" t="s">
        <v>22</v>
      </c>
      <c r="D360" s="5" t="s">
        <v>18</v>
      </c>
      <c r="E360" s="5" t="s">
        <v>23</v>
      </c>
      <c r="F360" s="5">
        <v>20</v>
      </c>
      <c r="G360" s="5">
        <v>2123</v>
      </c>
      <c r="H360" s="5">
        <v>15</v>
      </c>
      <c r="I360" s="6">
        <v>46183</v>
      </c>
      <c r="J360" s="6">
        <v>46192</v>
      </c>
      <c r="K360" s="10" t="s">
        <v>24</v>
      </c>
      <c r="L360" s="18" t="str" cm="1">
        <f t="array" ref="L360">_xlfn.IFS(F360&gt;=15,"Bulk Order",AND(F360&gt;=5,F360&lt;=14),"Medium Order",F360&lt;5,"Regular Order")</f>
        <v>Bulk Order</v>
      </c>
    </row>
    <row r="361" spans="1:12" ht="15" thickBot="1" x14ac:dyDescent="0.4">
      <c r="A361" s="5">
        <v>1320</v>
      </c>
      <c r="B361" s="5" t="s">
        <v>47</v>
      </c>
      <c r="C361" s="5" t="s">
        <v>38</v>
      </c>
      <c r="D361" s="5" t="s">
        <v>13</v>
      </c>
      <c r="E361" s="5" t="s">
        <v>36</v>
      </c>
      <c r="F361" s="5">
        <v>20</v>
      </c>
      <c r="G361" s="5">
        <v>55</v>
      </c>
      <c r="H361" s="5">
        <v>7</v>
      </c>
      <c r="I361" s="6">
        <v>46183</v>
      </c>
      <c r="J361" s="6">
        <v>46186</v>
      </c>
      <c r="K361" s="10" t="s">
        <v>20</v>
      </c>
      <c r="L361" s="18" t="str" cm="1">
        <f t="array" ref="L361">_xlfn.IFS(F361&gt;=15,"Bulk Order",AND(F361&gt;=5,F361&lt;=14),"Medium Order",F361&lt;5,"Regular Order")</f>
        <v>Bulk Order</v>
      </c>
    </row>
    <row r="362" spans="1:12" ht="15" thickBot="1" x14ac:dyDescent="0.4">
      <c r="A362" s="5">
        <v>1159</v>
      </c>
      <c r="B362" s="5" t="s">
        <v>32</v>
      </c>
      <c r="C362" s="5" t="s">
        <v>43</v>
      </c>
      <c r="D362" s="5" t="s">
        <v>18</v>
      </c>
      <c r="E362" s="5" t="s">
        <v>28</v>
      </c>
      <c r="F362" s="5">
        <v>20</v>
      </c>
      <c r="G362" s="5">
        <v>14000</v>
      </c>
      <c r="H362" s="5">
        <v>15</v>
      </c>
      <c r="I362" s="6">
        <v>46184</v>
      </c>
      <c r="J362" s="6">
        <v>46187</v>
      </c>
      <c r="K362" s="10" t="s">
        <v>15</v>
      </c>
      <c r="L362" s="18" t="str" cm="1">
        <f t="array" ref="L362">_xlfn.IFS(F362&gt;=15,"Bulk Order",AND(F362&gt;=5,F362&lt;=14),"Medium Order",F362&lt;5,"Regular Order")</f>
        <v>Bulk Order</v>
      </c>
    </row>
    <row r="363" spans="1:12" ht="15" thickBot="1" x14ac:dyDescent="0.4">
      <c r="A363" s="5">
        <v>1189</v>
      </c>
      <c r="B363" s="5" t="s">
        <v>49</v>
      </c>
      <c r="C363" s="5" t="s">
        <v>31</v>
      </c>
      <c r="D363" s="5" t="s">
        <v>18</v>
      </c>
      <c r="E363" s="5" t="s">
        <v>56</v>
      </c>
      <c r="F363" s="5">
        <v>12</v>
      </c>
      <c r="G363" s="5">
        <v>8327</v>
      </c>
      <c r="H363" s="5">
        <v>10</v>
      </c>
      <c r="I363" s="6">
        <v>46184</v>
      </c>
      <c r="J363" s="6">
        <v>46185</v>
      </c>
      <c r="K363" s="10" t="s">
        <v>29</v>
      </c>
      <c r="L363" s="18" t="str" cm="1">
        <f t="array" ref="L363">_xlfn.IFS(F363&gt;=15,"Bulk Order",AND(F363&gt;=5,F363&lt;=14),"Medium Order",F363&lt;5,"Regular Order")</f>
        <v>Medium Order</v>
      </c>
    </row>
    <row r="364" spans="1:12" ht="15" thickBot="1" x14ac:dyDescent="0.4">
      <c r="A364" s="5">
        <v>1119</v>
      </c>
      <c r="B364" s="5" t="s">
        <v>30</v>
      </c>
      <c r="C364" s="5" t="s">
        <v>43</v>
      </c>
      <c r="D364" s="5" t="s">
        <v>18</v>
      </c>
      <c r="E364" s="5" t="s">
        <v>28</v>
      </c>
      <c r="F364" s="5">
        <v>2</v>
      </c>
      <c r="G364" s="5">
        <v>3706</v>
      </c>
      <c r="H364" s="5">
        <v>5</v>
      </c>
      <c r="I364" s="6">
        <v>46184</v>
      </c>
      <c r="J364" s="6">
        <v>46192</v>
      </c>
      <c r="K364" s="10" t="s">
        <v>51</v>
      </c>
      <c r="L364" s="18" t="str" cm="1">
        <f t="array" ref="L364">_xlfn.IFS(F364&gt;=15,"Bulk Order",AND(F364&gt;=5,F364&lt;=14),"Medium Order",F364&lt;5,"Regular Order")</f>
        <v>Regular Order</v>
      </c>
    </row>
    <row r="365" spans="1:12" ht="15" thickBot="1" x14ac:dyDescent="0.4">
      <c r="A365" s="5">
        <v>1370</v>
      </c>
      <c r="B365" s="5" t="s">
        <v>59</v>
      </c>
      <c r="C365" s="5" t="s">
        <v>38</v>
      </c>
      <c r="D365" s="5" t="s">
        <v>13</v>
      </c>
      <c r="E365" s="5" t="s">
        <v>53</v>
      </c>
      <c r="F365" s="5">
        <v>13</v>
      </c>
      <c r="G365" s="5">
        <v>337</v>
      </c>
      <c r="H365" s="5">
        <v>7</v>
      </c>
      <c r="I365" s="6">
        <v>46184</v>
      </c>
      <c r="J365" s="6">
        <v>46188</v>
      </c>
      <c r="K365" s="10" t="s">
        <v>15</v>
      </c>
      <c r="L365" s="18" t="str" cm="1">
        <f t="array" ref="L365">_xlfn.IFS(F365&gt;=15,"Bulk Order",AND(F365&gt;=5,F365&lt;=14),"Medium Order",F365&lt;5,"Regular Order")</f>
        <v>Medium Order</v>
      </c>
    </row>
    <row r="366" spans="1:12" ht="15" thickBot="1" x14ac:dyDescent="0.4">
      <c r="A366" s="5">
        <v>1137</v>
      </c>
      <c r="B366" s="5" t="s">
        <v>52</v>
      </c>
      <c r="C366" s="5" t="s">
        <v>12</v>
      </c>
      <c r="D366" s="5" t="s">
        <v>13</v>
      </c>
      <c r="E366" s="5" t="s">
        <v>37</v>
      </c>
      <c r="F366" s="5">
        <v>16</v>
      </c>
      <c r="G366" s="5">
        <v>270</v>
      </c>
      <c r="H366" s="5">
        <v>10</v>
      </c>
      <c r="I366" s="6">
        <v>46184</v>
      </c>
      <c r="J366" s="6">
        <v>46190</v>
      </c>
      <c r="K366" s="10" t="s">
        <v>29</v>
      </c>
      <c r="L366" s="18" t="str" cm="1">
        <f t="array" ref="L366">_xlfn.IFS(F366&gt;=15,"Bulk Order",AND(F366&gt;=5,F366&lt;=14),"Medium Order",F366&lt;5,"Regular Order")</f>
        <v>Bulk Order</v>
      </c>
    </row>
    <row r="367" spans="1:12" ht="15" thickBot="1" x14ac:dyDescent="0.4">
      <c r="A367" s="5">
        <v>1075</v>
      </c>
      <c r="B367" s="5" t="s">
        <v>42</v>
      </c>
      <c r="C367" s="5" t="s">
        <v>43</v>
      </c>
      <c r="D367" s="5" t="s">
        <v>34</v>
      </c>
      <c r="E367" s="5" t="s">
        <v>61</v>
      </c>
      <c r="F367" s="5">
        <v>4</v>
      </c>
      <c r="G367" s="5">
        <v>64773</v>
      </c>
      <c r="H367" s="5">
        <v>10</v>
      </c>
      <c r="I367" s="6">
        <v>46185</v>
      </c>
      <c r="J367" s="6">
        <v>46186</v>
      </c>
      <c r="K367" s="10" t="s">
        <v>51</v>
      </c>
      <c r="L367" s="18" t="str" cm="1">
        <f t="array" ref="L367">_xlfn.IFS(F367&gt;=15,"Bulk Order",AND(F367&gt;=5,F367&lt;=14),"Medium Order",F367&lt;5,"Regular Order")</f>
        <v>Regular Order</v>
      </c>
    </row>
    <row r="368" spans="1:12" ht="15" thickBot="1" x14ac:dyDescent="0.4">
      <c r="A368" s="5">
        <v>1350</v>
      </c>
      <c r="B368" s="5" t="s">
        <v>26</v>
      </c>
      <c r="C368" s="5" t="s">
        <v>43</v>
      </c>
      <c r="D368" s="5" t="s">
        <v>18</v>
      </c>
      <c r="E368" s="5" t="s">
        <v>28</v>
      </c>
      <c r="F368" s="5">
        <v>16</v>
      </c>
      <c r="G368" s="5">
        <v>11790</v>
      </c>
      <c r="H368" s="5">
        <v>12</v>
      </c>
      <c r="I368" s="6">
        <v>46185</v>
      </c>
      <c r="J368" s="6">
        <v>46190</v>
      </c>
      <c r="K368" s="10" t="s">
        <v>29</v>
      </c>
      <c r="L368" s="18" t="str" cm="1">
        <f t="array" ref="L368">_xlfn.IFS(F368&gt;=15,"Bulk Order",AND(F368&gt;=5,F368&lt;=14),"Medium Order",F368&lt;5,"Regular Order")</f>
        <v>Bulk Order</v>
      </c>
    </row>
    <row r="369" spans="1:12" ht="15" thickBot="1" x14ac:dyDescent="0.4">
      <c r="A369" s="5">
        <v>1083</v>
      </c>
      <c r="B369" s="5" t="s">
        <v>55</v>
      </c>
      <c r="C369" s="5" t="s">
        <v>33</v>
      </c>
      <c r="D369" s="5" t="s">
        <v>13</v>
      </c>
      <c r="E369" s="5" t="s">
        <v>53</v>
      </c>
      <c r="F369" s="5">
        <v>4</v>
      </c>
      <c r="G369" s="5">
        <v>397</v>
      </c>
      <c r="H369" s="5">
        <v>7</v>
      </c>
      <c r="I369" s="6">
        <v>46185</v>
      </c>
      <c r="J369" s="6">
        <v>46193</v>
      </c>
      <c r="K369" s="10" t="s">
        <v>15</v>
      </c>
      <c r="L369" s="18" t="str" cm="1">
        <f t="array" ref="L369">_xlfn.IFS(F369&gt;=15,"Bulk Order",AND(F369&gt;=5,F369&lt;=14),"Medium Order",F369&lt;5,"Regular Order")</f>
        <v>Regular Order</v>
      </c>
    </row>
    <row r="370" spans="1:12" ht="15" thickBot="1" x14ac:dyDescent="0.4">
      <c r="A370" s="5">
        <v>1064</v>
      </c>
      <c r="B370" s="5" t="s">
        <v>26</v>
      </c>
      <c r="C370" s="5" t="s">
        <v>17</v>
      </c>
      <c r="D370" s="5" t="s">
        <v>13</v>
      </c>
      <c r="E370" s="5" t="s">
        <v>50</v>
      </c>
      <c r="F370" s="5">
        <v>20</v>
      </c>
      <c r="G370" s="5">
        <v>191</v>
      </c>
      <c r="H370" s="5">
        <v>7</v>
      </c>
      <c r="I370" s="6">
        <v>46185</v>
      </c>
      <c r="J370" s="6">
        <v>46195</v>
      </c>
      <c r="K370" s="10" t="s">
        <v>29</v>
      </c>
      <c r="L370" s="18" t="str" cm="1">
        <f t="array" ref="L370">_xlfn.IFS(F370&gt;=15,"Bulk Order",AND(F370&gt;=5,F370&lt;=14),"Medium Order",F370&lt;5,"Regular Order")</f>
        <v>Bulk Order</v>
      </c>
    </row>
    <row r="371" spans="1:12" ht="15" thickBot="1" x14ac:dyDescent="0.4">
      <c r="A371" s="5">
        <v>1041</v>
      </c>
      <c r="B371" s="5" t="s">
        <v>54</v>
      </c>
      <c r="C371" s="5" t="s">
        <v>38</v>
      </c>
      <c r="D371" s="5" t="s">
        <v>13</v>
      </c>
      <c r="E371" s="5" t="s">
        <v>50</v>
      </c>
      <c r="F371" s="5">
        <v>9</v>
      </c>
      <c r="G371" s="5">
        <v>71</v>
      </c>
      <c r="H371" s="5">
        <v>7</v>
      </c>
      <c r="I371" s="6">
        <v>46185</v>
      </c>
      <c r="J371" s="6">
        <v>46188</v>
      </c>
      <c r="K371" s="10" t="s">
        <v>15</v>
      </c>
      <c r="L371" s="18" t="str" cm="1">
        <f t="array" ref="L371">_xlfn.IFS(F371&gt;=15,"Bulk Order",AND(F371&gt;=5,F371&lt;=14),"Medium Order",F371&lt;5,"Regular Order")</f>
        <v>Medium Order</v>
      </c>
    </row>
    <row r="372" spans="1:12" ht="15" thickBot="1" x14ac:dyDescent="0.4">
      <c r="A372" s="5">
        <v>1315</v>
      </c>
      <c r="B372" s="5" t="s">
        <v>49</v>
      </c>
      <c r="C372" s="5" t="s">
        <v>31</v>
      </c>
      <c r="D372" s="5" t="s">
        <v>34</v>
      </c>
      <c r="E372" s="5" t="s">
        <v>41</v>
      </c>
      <c r="F372" s="5">
        <v>14</v>
      </c>
      <c r="G372" s="5">
        <v>57670</v>
      </c>
      <c r="H372" s="5">
        <v>2</v>
      </c>
      <c r="I372" s="6">
        <v>46186</v>
      </c>
      <c r="J372" s="6">
        <v>46196</v>
      </c>
      <c r="K372" s="10" t="s">
        <v>15</v>
      </c>
      <c r="L372" s="18" t="str" cm="1">
        <f t="array" ref="L372">_xlfn.IFS(F372&gt;=15,"Bulk Order",AND(F372&gt;=5,F372&lt;=14),"Medium Order",F372&lt;5,"Regular Order")</f>
        <v>Medium Order</v>
      </c>
    </row>
    <row r="373" spans="1:12" ht="15" thickBot="1" x14ac:dyDescent="0.4">
      <c r="A373" s="5">
        <v>1292</v>
      </c>
      <c r="B373" s="5" t="s">
        <v>54</v>
      </c>
      <c r="C373" s="5" t="s">
        <v>33</v>
      </c>
      <c r="D373" s="5" t="s">
        <v>34</v>
      </c>
      <c r="E373" s="5" t="s">
        <v>61</v>
      </c>
      <c r="F373" s="5">
        <v>11</v>
      </c>
      <c r="G373" s="5">
        <v>25158</v>
      </c>
      <c r="H373" s="5">
        <v>5</v>
      </c>
      <c r="I373" s="6">
        <v>46186</v>
      </c>
      <c r="J373" s="6">
        <v>46193</v>
      </c>
      <c r="K373" s="10" t="s">
        <v>20</v>
      </c>
      <c r="L373" s="18" t="str" cm="1">
        <f t="array" ref="L373">_xlfn.IFS(F373&gt;=15,"Bulk Order",AND(F373&gt;=5,F373&lt;=14),"Medium Order",F373&lt;5,"Regular Order")</f>
        <v>Medium Order</v>
      </c>
    </row>
    <row r="374" spans="1:12" ht="15" thickBot="1" x14ac:dyDescent="0.4">
      <c r="A374" s="5">
        <v>1186</v>
      </c>
      <c r="B374" s="5" t="s">
        <v>16</v>
      </c>
      <c r="C374" s="5" t="s">
        <v>25</v>
      </c>
      <c r="D374" s="5" t="s">
        <v>18</v>
      </c>
      <c r="E374" s="5" t="s">
        <v>44</v>
      </c>
      <c r="F374" s="5">
        <v>10</v>
      </c>
      <c r="G374" s="5">
        <v>14951</v>
      </c>
      <c r="H374" s="5">
        <v>2</v>
      </c>
      <c r="I374" s="6">
        <v>46188</v>
      </c>
      <c r="J374" s="6">
        <v>46196</v>
      </c>
      <c r="K374" s="10" t="s">
        <v>24</v>
      </c>
      <c r="L374" s="18" t="str" cm="1">
        <f t="array" ref="L374">_xlfn.IFS(F374&gt;=15,"Bulk Order",AND(F374&gt;=5,F374&lt;=14),"Medium Order",F374&lt;5,"Regular Order")</f>
        <v>Medium Order</v>
      </c>
    </row>
    <row r="375" spans="1:12" ht="15" thickBot="1" x14ac:dyDescent="0.4">
      <c r="A375" s="5">
        <v>1146</v>
      </c>
      <c r="B375" s="5" t="s">
        <v>16</v>
      </c>
      <c r="C375" s="5" t="s">
        <v>43</v>
      </c>
      <c r="D375" s="5" t="s">
        <v>34</v>
      </c>
      <c r="E375" s="5" t="s">
        <v>45</v>
      </c>
      <c r="F375" s="5">
        <v>7</v>
      </c>
      <c r="G375" s="5">
        <v>68217</v>
      </c>
      <c r="H375" s="5">
        <v>0</v>
      </c>
      <c r="I375" s="6">
        <v>46190</v>
      </c>
      <c r="J375" s="6">
        <v>46197</v>
      </c>
      <c r="K375" s="10" t="s">
        <v>29</v>
      </c>
      <c r="L375" s="18" t="str" cm="1">
        <f t="array" ref="L375">_xlfn.IFS(F375&gt;=15,"Bulk Order",AND(F375&gt;=5,F375&lt;=14),"Medium Order",F375&lt;5,"Regular Order")</f>
        <v>Medium Order</v>
      </c>
    </row>
    <row r="376" spans="1:12" ht="15" thickBot="1" x14ac:dyDescent="0.4">
      <c r="A376" s="5">
        <v>1331</v>
      </c>
      <c r="B376" s="5" t="s">
        <v>21</v>
      </c>
      <c r="C376" s="5" t="s">
        <v>25</v>
      </c>
      <c r="D376" s="5" t="s">
        <v>34</v>
      </c>
      <c r="E376" s="5" t="s">
        <v>61</v>
      </c>
      <c r="F376" s="5">
        <v>2</v>
      </c>
      <c r="G376" s="5">
        <v>43557</v>
      </c>
      <c r="H376" s="5">
        <v>2</v>
      </c>
      <c r="I376" s="6">
        <v>46190</v>
      </c>
      <c r="J376" s="6">
        <v>46200</v>
      </c>
      <c r="K376" s="10" t="s">
        <v>15</v>
      </c>
      <c r="L376" s="18" t="str" cm="1">
        <f t="array" ref="L376">_xlfn.IFS(F376&gt;=15,"Bulk Order",AND(F376&gt;=5,F376&lt;=14),"Medium Order",F376&lt;5,"Regular Order")</f>
        <v>Regular Order</v>
      </c>
    </row>
    <row r="377" spans="1:12" ht="15" thickBot="1" x14ac:dyDescent="0.4">
      <c r="A377" s="5">
        <v>1062</v>
      </c>
      <c r="B377" s="5" t="s">
        <v>40</v>
      </c>
      <c r="C377" s="5" t="s">
        <v>43</v>
      </c>
      <c r="D377" s="5" t="s">
        <v>18</v>
      </c>
      <c r="E377" s="5" t="s">
        <v>23</v>
      </c>
      <c r="F377" s="5">
        <v>8</v>
      </c>
      <c r="G377" s="5">
        <v>8360</v>
      </c>
      <c r="H377" s="5">
        <v>2</v>
      </c>
      <c r="I377" s="6">
        <v>46190</v>
      </c>
      <c r="J377" s="6">
        <v>46200</v>
      </c>
      <c r="K377" s="10" t="s">
        <v>51</v>
      </c>
      <c r="L377" s="18" t="str" cm="1">
        <f t="array" ref="L377">_xlfn.IFS(F377&gt;=15,"Bulk Order",AND(F377&gt;=5,F377&lt;=14),"Medium Order",F377&lt;5,"Regular Order")</f>
        <v>Medium Order</v>
      </c>
    </row>
    <row r="378" spans="1:12" ht="15" thickBot="1" x14ac:dyDescent="0.4">
      <c r="A378" s="5">
        <v>1373</v>
      </c>
      <c r="B378" s="5" t="s">
        <v>54</v>
      </c>
      <c r="C378" s="5" t="s">
        <v>25</v>
      </c>
      <c r="D378" s="5" t="s">
        <v>34</v>
      </c>
      <c r="E378" s="5" t="s">
        <v>60</v>
      </c>
      <c r="F378" s="5">
        <v>11</v>
      </c>
      <c r="G378" s="5">
        <v>47930</v>
      </c>
      <c r="H378" s="5">
        <v>12</v>
      </c>
      <c r="I378" s="6">
        <v>46191</v>
      </c>
      <c r="J378" s="6">
        <v>46201</v>
      </c>
      <c r="K378" s="10" t="s">
        <v>20</v>
      </c>
      <c r="L378" s="18" t="str" cm="1">
        <f t="array" ref="L378">_xlfn.IFS(F378&gt;=15,"Bulk Order",AND(F378&gt;=5,F378&lt;=14),"Medium Order",F378&lt;5,"Regular Order")</f>
        <v>Medium Order</v>
      </c>
    </row>
    <row r="379" spans="1:12" ht="15" thickBot="1" x14ac:dyDescent="0.4">
      <c r="A379" s="5">
        <v>1306</v>
      </c>
      <c r="B379" s="5" t="s">
        <v>54</v>
      </c>
      <c r="C379" s="5" t="s">
        <v>43</v>
      </c>
      <c r="D379" s="5" t="s">
        <v>13</v>
      </c>
      <c r="E379" s="5" t="s">
        <v>36</v>
      </c>
      <c r="F379" s="5">
        <v>1</v>
      </c>
      <c r="G379" s="5">
        <v>332</v>
      </c>
      <c r="H379" s="5">
        <v>0</v>
      </c>
      <c r="I379" s="6">
        <v>46191</v>
      </c>
      <c r="J379" s="6">
        <v>46194</v>
      </c>
      <c r="K379" s="10" t="s">
        <v>20</v>
      </c>
      <c r="L379" s="18" t="str" cm="1">
        <f t="array" ref="L379">_xlfn.IFS(F379&gt;=15,"Bulk Order",AND(F379&gt;=5,F379&lt;=14),"Medium Order",F379&lt;5,"Regular Order")</f>
        <v>Regular Order</v>
      </c>
    </row>
    <row r="380" spans="1:12" ht="15" thickBot="1" x14ac:dyDescent="0.4">
      <c r="A380" s="5">
        <v>1242</v>
      </c>
      <c r="B380" s="5" t="s">
        <v>54</v>
      </c>
      <c r="C380" s="5" t="s">
        <v>38</v>
      </c>
      <c r="D380" s="5" t="s">
        <v>13</v>
      </c>
      <c r="E380" s="5" t="s">
        <v>50</v>
      </c>
      <c r="F380" s="5">
        <v>7</v>
      </c>
      <c r="G380" s="5">
        <v>168</v>
      </c>
      <c r="H380" s="5">
        <v>10</v>
      </c>
      <c r="I380" s="6">
        <v>46191</v>
      </c>
      <c r="J380" s="6">
        <v>46196</v>
      </c>
      <c r="K380" s="10" t="s">
        <v>51</v>
      </c>
      <c r="L380" s="18" t="str" cm="1">
        <f t="array" ref="L380">_xlfn.IFS(F380&gt;=15,"Bulk Order",AND(F380&gt;=5,F380&lt;=14),"Medium Order",F380&lt;5,"Regular Order")</f>
        <v>Medium Order</v>
      </c>
    </row>
    <row r="381" spans="1:12" ht="15" thickBot="1" x14ac:dyDescent="0.4">
      <c r="A381" s="5">
        <v>1065</v>
      </c>
      <c r="B381" s="5" t="s">
        <v>42</v>
      </c>
      <c r="C381" s="5" t="s">
        <v>43</v>
      </c>
      <c r="D381" s="5" t="s">
        <v>18</v>
      </c>
      <c r="E381" s="5" t="s">
        <v>44</v>
      </c>
      <c r="F381" s="5">
        <v>1</v>
      </c>
      <c r="G381" s="5">
        <v>7730</v>
      </c>
      <c r="H381" s="5">
        <v>5</v>
      </c>
      <c r="I381" s="6">
        <v>46192</v>
      </c>
      <c r="J381" s="6">
        <v>46195</v>
      </c>
      <c r="K381" s="10" t="s">
        <v>51</v>
      </c>
      <c r="L381" s="18" t="str" cm="1">
        <f t="array" ref="L381">_xlfn.IFS(F381&gt;=15,"Bulk Order",AND(F381&gt;=5,F381&lt;=14),"Medium Order",F381&lt;5,"Regular Order")</f>
        <v>Regular Order</v>
      </c>
    </row>
    <row r="382" spans="1:12" ht="15" thickBot="1" x14ac:dyDescent="0.4">
      <c r="A382" s="5">
        <v>1023</v>
      </c>
      <c r="B382" s="5" t="s">
        <v>40</v>
      </c>
      <c r="C382" s="5" t="s">
        <v>12</v>
      </c>
      <c r="D382" s="5" t="s">
        <v>18</v>
      </c>
      <c r="E382" s="5" t="s">
        <v>44</v>
      </c>
      <c r="F382" s="5">
        <v>15</v>
      </c>
      <c r="G382" s="5">
        <v>3506</v>
      </c>
      <c r="H382" s="5">
        <v>2</v>
      </c>
      <c r="I382" s="6">
        <v>46193</v>
      </c>
      <c r="J382" s="6">
        <v>46194</v>
      </c>
      <c r="K382" s="10" t="s">
        <v>29</v>
      </c>
      <c r="L382" s="18" t="str" cm="1">
        <f t="array" ref="L382">_xlfn.IFS(F382&gt;=15,"Bulk Order",AND(F382&gt;=5,F382&lt;=14),"Medium Order",F382&lt;5,"Regular Order")</f>
        <v>Bulk Order</v>
      </c>
    </row>
    <row r="383" spans="1:12" ht="15" thickBot="1" x14ac:dyDescent="0.4">
      <c r="A383" s="5">
        <v>1212</v>
      </c>
      <c r="B383" s="5" t="s">
        <v>59</v>
      </c>
      <c r="C383" s="5" t="s">
        <v>25</v>
      </c>
      <c r="D383" s="5" t="s">
        <v>34</v>
      </c>
      <c r="E383" s="5" t="s">
        <v>60</v>
      </c>
      <c r="F383" s="5">
        <v>10</v>
      </c>
      <c r="G383" s="5">
        <v>34380</v>
      </c>
      <c r="H383" s="5">
        <v>7</v>
      </c>
      <c r="I383" s="6">
        <v>46194</v>
      </c>
      <c r="J383" s="6">
        <v>46195</v>
      </c>
      <c r="K383" s="10" t="s">
        <v>29</v>
      </c>
      <c r="L383" s="18" t="str" cm="1">
        <f t="array" ref="L383">_xlfn.IFS(F383&gt;=15,"Bulk Order",AND(F383&gt;=5,F383&lt;=14),"Medium Order",F383&lt;5,"Regular Order")</f>
        <v>Medium Order</v>
      </c>
    </row>
    <row r="384" spans="1:12" ht="15" thickBot="1" x14ac:dyDescent="0.4">
      <c r="A384" s="5">
        <v>1397</v>
      </c>
      <c r="B384" s="5" t="s">
        <v>21</v>
      </c>
      <c r="C384" s="5" t="s">
        <v>33</v>
      </c>
      <c r="D384" s="5" t="s">
        <v>18</v>
      </c>
      <c r="E384" s="5" t="s">
        <v>23</v>
      </c>
      <c r="F384" s="5">
        <v>1</v>
      </c>
      <c r="G384" s="5">
        <v>8948</v>
      </c>
      <c r="H384" s="5">
        <v>5</v>
      </c>
      <c r="I384" s="6">
        <v>46194</v>
      </c>
      <c r="J384" s="6">
        <v>46201</v>
      </c>
      <c r="K384" s="10" t="s">
        <v>51</v>
      </c>
      <c r="L384" s="18" t="str" cm="1">
        <f t="array" ref="L384">_xlfn.IFS(F384&gt;=15,"Bulk Order",AND(F384&gt;=5,F384&lt;=14),"Medium Order",F384&lt;5,"Regular Order")</f>
        <v>Regular Order</v>
      </c>
    </row>
    <row r="385" spans="1:12" ht="15" thickBot="1" x14ac:dyDescent="0.4">
      <c r="A385" s="5">
        <v>1353</v>
      </c>
      <c r="B385" s="5" t="s">
        <v>47</v>
      </c>
      <c r="C385" s="5" t="s">
        <v>43</v>
      </c>
      <c r="D385" s="5" t="s">
        <v>13</v>
      </c>
      <c r="E385" s="5" t="s">
        <v>14</v>
      </c>
      <c r="F385" s="5">
        <v>6</v>
      </c>
      <c r="G385" s="5">
        <v>495</v>
      </c>
      <c r="H385" s="5">
        <v>2</v>
      </c>
      <c r="I385" s="6">
        <v>46194</v>
      </c>
      <c r="J385" s="6">
        <v>46200</v>
      </c>
      <c r="K385" s="10" t="s">
        <v>24</v>
      </c>
      <c r="L385" s="18" t="str" cm="1">
        <f t="array" ref="L385">_xlfn.IFS(F385&gt;=15,"Bulk Order",AND(F385&gt;=5,F385&lt;=14),"Medium Order",F385&lt;5,"Regular Order")</f>
        <v>Medium Order</v>
      </c>
    </row>
    <row r="386" spans="1:12" ht="15" thickBot="1" x14ac:dyDescent="0.4">
      <c r="A386" s="5">
        <v>1164</v>
      </c>
      <c r="B386" s="5" t="s">
        <v>40</v>
      </c>
      <c r="C386" s="5" t="s">
        <v>43</v>
      </c>
      <c r="D386" s="5" t="s">
        <v>34</v>
      </c>
      <c r="E386" s="5" t="s">
        <v>61</v>
      </c>
      <c r="F386" s="5">
        <v>7</v>
      </c>
      <c r="G386" s="5">
        <v>24615</v>
      </c>
      <c r="H386" s="5">
        <v>12</v>
      </c>
      <c r="I386" s="6">
        <v>46196</v>
      </c>
      <c r="J386" s="6">
        <v>46203</v>
      </c>
      <c r="K386" s="10" t="s">
        <v>51</v>
      </c>
      <c r="L386" s="18" t="str" cm="1">
        <f t="array" ref="L386">_xlfn.IFS(F386&gt;=15,"Bulk Order",AND(F386&gt;=5,F386&lt;=14),"Medium Order",F386&lt;5,"Regular Order")</f>
        <v>Medium Order</v>
      </c>
    </row>
    <row r="387" spans="1:12" ht="15" thickBot="1" x14ac:dyDescent="0.4">
      <c r="A387" s="5">
        <v>1068</v>
      </c>
      <c r="B387" s="5" t="s">
        <v>52</v>
      </c>
      <c r="C387" s="5" t="s">
        <v>43</v>
      </c>
      <c r="D387" s="5" t="s">
        <v>34</v>
      </c>
      <c r="E387" s="5" t="s">
        <v>60</v>
      </c>
      <c r="F387" s="5">
        <v>15</v>
      </c>
      <c r="G387" s="5">
        <v>14534</v>
      </c>
      <c r="H387" s="5">
        <v>5</v>
      </c>
      <c r="I387" s="6">
        <v>46196</v>
      </c>
      <c r="J387" s="6">
        <v>46199</v>
      </c>
      <c r="K387" s="10" t="s">
        <v>29</v>
      </c>
      <c r="L387" s="18" t="str" cm="1">
        <f t="array" ref="L387">_xlfn.IFS(F387&gt;=15,"Bulk Order",AND(F387&gt;=5,F387&lt;=14),"Medium Order",F387&lt;5,"Regular Order")</f>
        <v>Bulk Order</v>
      </c>
    </row>
    <row r="388" spans="1:12" ht="15" thickBot="1" x14ac:dyDescent="0.4">
      <c r="A388" s="5">
        <v>1314</v>
      </c>
      <c r="B388" s="5" t="s">
        <v>52</v>
      </c>
      <c r="C388" s="5" t="s">
        <v>33</v>
      </c>
      <c r="D388" s="5" t="s">
        <v>18</v>
      </c>
      <c r="E388" s="5" t="s">
        <v>19</v>
      </c>
      <c r="F388" s="5">
        <v>10</v>
      </c>
      <c r="G388" s="5">
        <v>6328</v>
      </c>
      <c r="H388" s="5">
        <v>2</v>
      </c>
      <c r="I388" s="6">
        <v>46196</v>
      </c>
      <c r="J388" s="6">
        <v>46197</v>
      </c>
      <c r="K388" s="10" t="s">
        <v>29</v>
      </c>
      <c r="L388" s="18" t="str" cm="1">
        <f t="array" ref="L388">_xlfn.IFS(F388&gt;=15,"Bulk Order",AND(F388&gt;=5,F388&lt;=14),"Medium Order",F388&lt;5,"Regular Order")</f>
        <v>Medium Order</v>
      </c>
    </row>
    <row r="389" spans="1:12" ht="15" thickBot="1" x14ac:dyDescent="0.4">
      <c r="A389" s="5">
        <v>1340</v>
      </c>
      <c r="B389" s="5" t="s">
        <v>48</v>
      </c>
      <c r="C389" s="5" t="s">
        <v>17</v>
      </c>
      <c r="D389" s="5" t="s">
        <v>18</v>
      </c>
      <c r="E389" s="5" t="s">
        <v>19</v>
      </c>
      <c r="F389" s="5">
        <v>12</v>
      </c>
      <c r="G389" s="5">
        <v>3857</v>
      </c>
      <c r="H389" s="5">
        <v>12</v>
      </c>
      <c r="I389" s="6">
        <v>46196</v>
      </c>
      <c r="J389" s="6">
        <v>46198</v>
      </c>
      <c r="K389" s="10" t="s">
        <v>51</v>
      </c>
      <c r="L389" s="18" t="str" cm="1">
        <f t="array" ref="L389">_xlfn.IFS(F389&gt;=15,"Bulk Order",AND(F389&gt;=5,F389&lt;=14),"Medium Order",F389&lt;5,"Regular Order")</f>
        <v>Medium Order</v>
      </c>
    </row>
    <row r="390" spans="1:12" ht="15" thickBot="1" x14ac:dyDescent="0.4">
      <c r="A390" s="5">
        <v>1383</v>
      </c>
      <c r="B390" s="5" t="s">
        <v>32</v>
      </c>
      <c r="C390" s="5" t="s">
        <v>12</v>
      </c>
      <c r="D390" s="5" t="s">
        <v>13</v>
      </c>
      <c r="E390" s="5" t="s">
        <v>53</v>
      </c>
      <c r="F390" s="5">
        <v>14</v>
      </c>
      <c r="G390" s="5">
        <v>334</v>
      </c>
      <c r="H390" s="5">
        <v>10</v>
      </c>
      <c r="I390" s="6">
        <v>46196</v>
      </c>
      <c r="J390" s="6">
        <v>46203</v>
      </c>
      <c r="K390" s="10" t="s">
        <v>15</v>
      </c>
      <c r="L390" s="18" t="str" cm="1">
        <f t="array" ref="L390">_xlfn.IFS(F390&gt;=15,"Bulk Order",AND(F390&gt;=5,F390&lt;=14),"Medium Order",F390&lt;5,"Regular Order")</f>
        <v>Medium Order</v>
      </c>
    </row>
    <row r="391" spans="1:12" ht="15" thickBot="1" x14ac:dyDescent="0.4">
      <c r="A391" s="5">
        <v>1309</v>
      </c>
      <c r="B391" s="5" t="s">
        <v>29</v>
      </c>
      <c r="C391" s="5" t="s">
        <v>31</v>
      </c>
      <c r="D391" s="5" t="s">
        <v>13</v>
      </c>
      <c r="E391" s="5" t="s">
        <v>50</v>
      </c>
      <c r="F391" s="5">
        <v>2</v>
      </c>
      <c r="G391" s="5">
        <v>35</v>
      </c>
      <c r="H391" s="5">
        <v>5</v>
      </c>
      <c r="I391" s="6">
        <v>46197</v>
      </c>
      <c r="J391" s="6">
        <v>46198</v>
      </c>
      <c r="K391" s="10" t="s">
        <v>24</v>
      </c>
      <c r="L391" s="18" t="str" cm="1">
        <f t="array" ref="L391">_xlfn.IFS(F391&gt;=15,"Bulk Order",AND(F391&gt;=5,F391&lt;=14),"Medium Order",F391&lt;5,"Regular Order")</f>
        <v>Regular Order</v>
      </c>
    </row>
    <row r="392" spans="1:12" ht="15" thickBot="1" x14ac:dyDescent="0.4">
      <c r="A392" s="5">
        <v>1233</v>
      </c>
      <c r="B392" s="5" t="s">
        <v>58</v>
      </c>
      <c r="C392" s="5" t="s">
        <v>22</v>
      </c>
      <c r="D392" s="5" t="s">
        <v>18</v>
      </c>
      <c r="E392" s="5" t="s">
        <v>19</v>
      </c>
      <c r="F392" s="5">
        <v>20</v>
      </c>
      <c r="G392" s="5">
        <v>13941</v>
      </c>
      <c r="H392" s="5">
        <v>15</v>
      </c>
      <c r="I392" s="6">
        <v>46198</v>
      </c>
      <c r="J392" s="6">
        <v>46202</v>
      </c>
      <c r="K392" s="10" t="s">
        <v>24</v>
      </c>
      <c r="L392" s="18" t="str" cm="1">
        <f t="array" ref="L392">_xlfn.IFS(F392&gt;=15,"Bulk Order",AND(F392&gt;=5,F392&lt;=14),"Medium Order",F392&lt;5,"Regular Order")</f>
        <v>Bulk Order</v>
      </c>
    </row>
    <row r="393" spans="1:12" ht="15" thickBot="1" x14ac:dyDescent="0.4">
      <c r="A393" s="5">
        <v>1195</v>
      </c>
      <c r="B393" s="5" t="s">
        <v>59</v>
      </c>
      <c r="C393" s="5" t="s">
        <v>17</v>
      </c>
      <c r="D393" s="5" t="s">
        <v>13</v>
      </c>
      <c r="E393" s="5" t="s">
        <v>50</v>
      </c>
      <c r="F393" s="5">
        <v>19</v>
      </c>
      <c r="G393" s="5">
        <v>313</v>
      </c>
      <c r="H393" s="5">
        <v>2</v>
      </c>
      <c r="I393" s="6">
        <v>46198</v>
      </c>
      <c r="J393" s="6">
        <v>46206</v>
      </c>
      <c r="K393" s="10" t="s">
        <v>51</v>
      </c>
      <c r="L393" s="18" t="str" cm="1">
        <f t="array" ref="L393">_xlfn.IFS(F393&gt;=15,"Bulk Order",AND(F393&gt;=5,F393&lt;=14),"Medium Order",F393&lt;5,"Regular Order")</f>
        <v>Bulk Order</v>
      </c>
    </row>
    <row r="394" spans="1:12" ht="15" thickBot="1" x14ac:dyDescent="0.4">
      <c r="A394" s="5">
        <v>1268</v>
      </c>
      <c r="B394" s="5" t="s">
        <v>42</v>
      </c>
      <c r="C394" s="5" t="s">
        <v>38</v>
      </c>
      <c r="D394" s="5" t="s">
        <v>34</v>
      </c>
      <c r="E394" s="5" t="s">
        <v>45</v>
      </c>
      <c r="F394" s="5">
        <v>10</v>
      </c>
      <c r="G394" s="5">
        <v>46291</v>
      </c>
      <c r="H394" s="5">
        <v>12</v>
      </c>
      <c r="I394" s="6">
        <v>46199</v>
      </c>
      <c r="J394" s="6">
        <v>46202</v>
      </c>
      <c r="K394" s="10" t="s">
        <v>20</v>
      </c>
      <c r="L394" s="18" t="str" cm="1">
        <f t="array" ref="L394">_xlfn.IFS(F394&gt;=15,"Bulk Order",AND(F394&gt;=5,F394&lt;=14),"Medium Order",F394&lt;5,"Regular Order")</f>
        <v>Medium Order</v>
      </c>
    </row>
    <row r="395" spans="1:12" ht="15" thickBot="1" x14ac:dyDescent="0.4">
      <c r="A395" s="5">
        <v>1047</v>
      </c>
      <c r="B395" s="5" t="s">
        <v>58</v>
      </c>
      <c r="C395" s="5" t="s">
        <v>38</v>
      </c>
      <c r="D395" s="5" t="s">
        <v>18</v>
      </c>
      <c r="E395" s="5" t="s">
        <v>56</v>
      </c>
      <c r="F395" s="5">
        <v>11</v>
      </c>
      <c r="G395" s="5">
        <v>9976</v>
      </c>
      <c r="H395" s="5">
        <v>12</v>
      </c>
      <c r="I395" s="6">
        <v>46200</v>
      </c>
      <c r="J395" s="6">
        <v>46209</v>
      </c>
      <c r="K395" s="10" t="s">
        <v>15</v>
      </c>
      <c r="L395" s="18" t="str" cm="1">
        <f t="array" ref="L395">_xlfn.IFS(F395&gt;=15,"Bulk Order",AND(F395&gt;=5,F395&lt;=14),"Medium Order",F395&lt;5,"Regular Order")</f>
        <v>Medium Order</v>
      </c>
    </row>
    <row r="396" spans="1:12" ht="15" thickBot="1" x14ac:dyDescent="0.4">
      <c r="A396" s="5">
        <v>1054</v>
      </c>
      <c r="B396" s="5" t="s">
        <v>26</v>
      </c>
      <c r="C396" s="5" t="s">
        <v>25</v>
      </c>
      <c r="D396" s="5" t="s">
        <v>18</v>
      </c>
      <c r="E396" s="5" t="s">
        <v>23</v>
      </c>
      <c r="F396" s="5">
        <v>8</v>
      </c>
      <c r="G396" s="5">
        <v>9798</v>
      </c>
      <c r="H396" s="5">
        <v>12</v>
      </c>
      <c r="I396" s="6">
        <v>46200</v>
      </c>
      <c r="J396" s="6">
        <v>46201</v>
      </c>
      <c r="K396" s="10" t="s">
        <v>51</v>
      </c>
      <c r="L396" s="18" t="str" cm="1">
        <f t="array" ref="L396">_xlfn.IFS(F396&gt;=15,"Bulk Order",AND(F396&gt;=5,F396&lt;=14),"Medium Order",F396&lt;5,"Regular Order")</f>
        <v>Medium Order</v>
      </c>
    </row>
    <row r="397" spans="1:12" ht="15" thickBot="1" x14ac:dyDescent="0.4">
      <c r="A397" s="5">
        <v>1264</v>
      </c>
      <c r="B397" s="5" t="s">
        <v>11</v>
      </c>
      <c r="C397" s="5" t="s">
        <v>22</v>
      </c>
      <c r="D397" s="5" t="s">
        <v>18</v>
      </c>
      <c r="E397" s="5" t="s">
        <v>28</v>
      </c>
      <c r="F397" s="5">
        <v>15</v>
      </c>
      <c r="G397" s="5">
        <v>6365</v>
      </c>
      <c r="H397" s="5">
        <v>10</v>
      </c>
      <c r="I397" s="6">
        <v>46200</v>
      </c>
      <c r="J397" s="6">
        <v>46206</v>
      </c>
      <c r="K397" s="10" t="s">
        <v>20</v>
      </c>
      <c r="L397" s="18" t="str" cm="1">
        <f t="array" ref="L397">_xlfn.IFS(F397&gt;=15,"Bulk Order",AND(F397&gt;=5,F397&lt;=14),"Medium Order",F397&lt;5,"Regular Order")</f>
        <v>Bulk Order</v>
      </c>
    </row>
    <row r="398" spans="1:12" ht="15" thickBot="1" x14ac:dyDescent="0.4">
      <c r="A398" s="5">
        <v>1244</v>
      </c>
      <c r="B398" s="5" t="s">
        <v>57</v>
      </c>
      <c r="C398" s="5" t="s">
        <v>38</v>
      </c>
      <c r="D398" s="5" t="s">
        <v>18</v>
      </c>
      <c r="E398" s="5" t="s">
        <v>28</v>
      </c>
      <c r="F398" s="5">
        <v>10</v>
      </c>
      <c r="G398" s="5">
        <v>6339</v>
      </c>
      <c r="H398" s="5">
        <v>12</v>
      </c>
      <c r="I398" s="6">
        <v>46200</v>
      </c>
      <c r="J398" s="6">
        <v>46205</v>
      </c>
      <c r="K398" s="10" t="s">
        <v>15</v>
      </c>
      <c r="L398" s="18" t="str" cm="1">
        <f t="array" ref="L398">_xlfn.IFS(F398&gt;=15,"Bulk Order",AND(F398&gt;=5,F398&lt;=14),"Medium Order",F398&lt;5,"Regular Order")</f>
        <v>Medium Order</v>
      </c>
    </row>
    <row r="399" spans="1:12" ht="15" thickBot="1" x14ac:dyDescent="0.4">
      <c r="A399" s="5">
        <v>1356</v>
      </c>
      <c r="B399" s="5" t="s">
        <v>26</v>
      </c>
      <c r="C399" s="5" t="s">
        <v>38</v>
      </c>
      <c r="D399" s="5" t="s">
        <v>34</v>
      </c>
      <c r="E399" s="5" t="s">
        <v>60</v>
      </c>
      <c r="F399" s="5">
        <v>16</v>
      </c>
      <c r="G399" s="5">
        <v>53457</v>
      </c>
      <c r="H399" s="5">
        <v>10</v>
      </c>
      <c r="I399" s="6">
        <v>46201</v>
      </c>
      <c r="J399" s="6">
        <v>46204</v>
      </c>
      <c r="K399" s="10" t="s">
        <v>15</v>
      </c>
      <c r="L399" s="18" t="str" cm="1">
        <f t="array" ref="L399">_xlfn.IFS(F399&gt;=15,"Bulk Order",AND(F399&gt;=5,F399&lt;=14),"Medium Order",F399&lt;5,"Regular Order")</f>
        <v>Bulk Order</v>
      </c>
    </row>
    <row r="400" spans="1:12" ht="15" thickBot="1" x14ac:dyDescent="0.4">
      <c r="A400" s="5">
        <v>1126</v>
      </c>
      <c r="B400" s="5" t="s">
        <v>46</v>
      </c>
      <c r="C400" s="5" t="s">
        <v>22</v>
      </c>
      <c r="D400" s="5" t="s">
        <v>34</v>
      </c>
      <c r="E400" s="5" t="s">
        <v>39</v>
      </c>
      <c r="F400" s="5">
        <v>17</v>
      </c>
      <c r="G400" s="5">
        <v>19390</v>
      </c>
      <c r="H400" s="5">
        <v>12</v>
      </c>
      <c r="I400" s="6">
        <v>46201</v>
      </c>
      <c r="J400" s="6">
        <v>46206</v>
      </c>
      <c r="K400" s="10" t="s">
        <v>29</v>
      </c>
      <c r="L400" s="18" t="str" cm="1">
        <f t="array" ref="L400">_xlfn.IFS(F400&gt;=15,"Bulk Order",AND(F400&gt;=5,F400&lt;=14),"Medium Order",F400&lt;5,"Regular Order")</f>
        <v>Bulk Order</v>
      </c>
    </row>
    <row r="401" spans="1:12" ht="15" thickBot="1" x14ac:dyDescent="0.4">
      <c r="A401" s="5">
        <v>1219</v>
      </c>
      <c r="B401" s="5" t="s">
        <v>46</v>
      </c>
      <c r="C401" s="5" t="s">
        <v>22</v>
      </c>
      <c r="D401" s="5" t="s">
        <v>13</v>
      </c>
      <c r="E401" s="5" t="s">
        <v>14</v>
      </c>
      <c r="F401" s="5">
        <v>4</v>
      </c>
      <c r="G401" s="5">
        <v>117</v>
      </c>
      <c r="H401" s="5">
        <v>15</v>
      </c>
      <c r="I401" s="6">
        <v>46202</v>
      </c>
      <c r="J401" s="6">
        <v>46206</v>
      </c>
      <c r="K401" s="10" t="s">
        <v>29</v>
      </c>
      <c r="L401" s="18" t="str" cm="1">
        <f t="array" ref="L401">_xlfn.IFS(F401&gt;=15,"Bulk Order",AND(F401&gt;=5,F401&lt;=14),"Medium Order",F401&lt;5,"Regular Order")</f>
        <v>Regular Order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1C7ACF-61B1-448D-8938-FEF08582E12E}">
  <dimension ref="A1:L401"/>
  <sheetViews>
    <sheetView workbookViewId="0">
      <selection sqref="A1:L1"/>
    </sheetView>
  </sheetViews>
  <sheetFormatPr defaultRowHeight="14.5" x14ac:dyDescent="0.35"/>
  <cols>
    <col min="1" max="1" width="8.54296875" bestFit="1" customWidth="1"/>
    <col min="2" max="2" width="10.26953125" customWidth="1"/>
    <col min="3" max="3" width="13.453125" customWidth="1"/>
    <col min="4" max="4" width="11.36328125" customWidth="1"/>
    <col min="5" max="5" width="11.08984375" customWidth="1"/>
    <col min="6" max="6" width="8.1796875" bestFit="1" customWidth="1"/>
    <col min="7" max="7" width="9.54296875" customWidth="1"/>
    <col min="8" max="8" width="11.81640625" customWidth="1"/>
    <col min="9" max="9" width="10.81640625" customWidth="1"/>
    <col min="10" max="10" width="13.6328125" customWidth="1"/>
    <col min="11" max="11" width="10.81640625" bestFit="1" customWidth="1"/>
    <col min="12" max="12" width="17.1796875" customWidth="1"/>
  </cols>
  <sheetData>
    <row r="1" spans="1:12" ht="16.5" customHeight="1" thickBot="1" x14ac:dyDescent="0.4">
      <c r="A1" s="31" t="s">
        <v>0</v>
      </c>
      <c r="B1" s="31" t="s">
        <v>1</v>
      </c>
      <c r="C1" s="31" t="s">
        <v>2</v>
      </c>
      <c r="D1" s="31" t="s">
        <v>3</v>
      </c>
      <c r="E1" s="31" t="s">
        <v>4</v>
      </c>
      <c r="F1" s="31" t="s">
        <v>5</v>
      </c>
      <c r="G1" s="31" t="s">
        <v>6</v>
      </c>
      <c r="H1" s="31" t="s">
        <v>7</v>
      </c>
      <c r="I1" s="31" t="s">
        <v>8</v>
      </c>
      <c r="J1" s="31" t="s">
        <v>9</v>
      </c>
      <c r="K1" s="32" t="s">
        <v>10</v>
      </c>
      <c r="L1" s="34" t="s">
        <v>68</v>
      </c>
    </row>
    <row r="2" spans="1:12" ht="15" thickBot="1" x14ac:dyDescent="0.4">
      <c r="A2" s="5">
        <v>1019</v>
      </c>
      <c r="B2" s="5" t="s">
        <v>11</v>
      </c>
      <c r="C2" s="5" t="s">
        <v>43</v>
      </c>
      <c r="D2" s="5" t="s">
        <v>34</v>
      </c>
      <c r="E2" s="5" t="s">
        <v>41</v>
      </c>
      <c r="F2" s="5">
        <v>18</v>
      </c>
      <c r="G2" s="5">
        <v>45652</v>
      </c>
      <c r="H2" s="5">
        <v>10</v>
      </c>
      <c r="I2" s="6">
        <v>46023</v>
      </c>
      <c r="J2" s="6">
        <v>46030</v>
      </c>
      <c r="K2" s="10" t="s">
        <v>20</v>
      </c>
      <c r="L2" s="17" t="str">
        <f>IF(AND(D2="Electronics",H2&gt;=10),"Eligible","Not Eligible")</f>
        <v>Eligible</v>
      </c>
    </row>
    <row r="3" spans="1:12" ht="15" thickBot="1" x14ac:dyDescent="0.4">
      <c r="A3" s="5">
        <v>1355</v>
      </c>
      <c r="B3" s="5" t="s">
        <v>27</v>
      </c>
      <c r="C3" s="5" t="s">
        <v>12</v>
      </c>
      <c r="D3" s="5" t="s">
        <v>34</v>
      </c>
      <c r="E3" s="5" t="s">
        <v>60</v>
      </c>
      <c r="F3" s="5">
        <v>18</v>
      </c>
      <c r="G3" s="5">
        <v>35997</v>
      </c>
      <c r="H3" s="5">
        <v>2</v>
      </c>
      <c r="I3" s="6">
        <v>46024</v>
      </c>
      <c r="J3" s="6">
        <v>46031</v>
      </c>
      <c r="K3" s="10" t="s">
        <v>51</v>
      </c>
      <c r="L3" s="17" t="str">
        <f t="shared" ref="L3:L66" si="0">IF(AND(D3="Electronics",H3&gt;=10),"Eligible","Not Eligible")</f>
        <v>Not Eligible</v>
      </c>
    </row>
    <row r="4" spans="1:12" ht="15" thickBot="1" x14ac:dyDescent="0.4">
      <c r="A4" s="5">
        <v>1060</v>
      </c>
      <c r="B4" s="5" t="s">
        <v>49</v>
      </c>
      <c r="C4" s="5" t="s">
        <v>12</v>
      </c>
      <c r="D4" s="5" t="s">
        <v>18</v>
      </c>
      <c r="E4" s="5" t="s">
        <v>44</v>
      </c>
      <c r="F4" s="5">
        <v>9</v>
      </c>
      <c r="G4" s="5">
        <v>9727</v>
      </c>
      <c r="H4" s="5">
        <v>2</v>
      </c>
      <c r="I4" s="6">
        <v>46024</v>
      </c>
      <c r="J4" s="6">
        <v>46030</v>
      </c>
      <c r="K4" s="10" t="s">
        <v>20</v>
      </c>
      <c r="L4" s="17" t="str">
        <f t="shared" si="0"/>
        <v>Not Eligible</v>
      </c>
    </row>
    <row r="5" spans="1:12" ht="15" thickBot="1" x14ac:dyDescent="0.4">
      <c r="A5" s="5">
        <v>1151</v>
      </c>
      <c r="B5" s="5" t="s">
        <v>46</v>
      </c>
      <c r="C5" s="5" t="s">
        <v>43</v>
      </c>
      <c r="D5" s="5" t="s">
        <v>13</v>
      </c>
      <c r="E5" s="5" t="s">
        <v>50</v>
      </c>
      <c r="F5" s="5">
        <v>20</v>
      </c>
      <c r="G5" s="5">
        <v>272</v>
      </c>
      <c r="H5" s="5">
        <v>15</v>
      </c>
      <c r="I5" s="6">
        <v>46024</v>
      </c>
      <c r="J5" s="6">
        <v>46029</v>
      </c>
      <c r="K5" s="10" t="s">
        <v>51</v>
      </c>
      <c r="L5" s="17" t="str">
        <f t="shared" si="0"/>
        <v>Not Eligible</v>
      </c>
    </row>
    <row r="6" spans="1:12" ht="15" thickBot="1" x14ac:dyDescent="0.4">
      <c r="A6" s="5">
        <v>1132</v>
      </c>
      <c r="B6" s="5" t="s">
        <v>11</v>
      </c>
      <c r="C6" s="5" t="s">
        <v>31</v>
      </c>
      <c r="D6" s="5" t="s">
        <v>13</v>
      </c>
      <c r="E6" s="5" t="s">
        <v>50</v>
      </c>
      <c r="F6" s="5">
        <v>10</v>
      </c>
      <c r="G6" s="5">
        <v>270</v>
      </c>
      <c r="H6" s="5">
        <v>7</v>
      </c>
      <c r="I6" s="6">
        <v>46024</v>
      </c>
      <c r="J6" s="6">
        <v>46034</v>
      </c>
      <c r="K6" s="10" t="s">
        <v>24</v>
      </c>
      <c r="L6" s="17" t="str">
        <f t="shared" si="0"/>
        <v>Not Eligible</v>
      </c>
    </row>
    <row r="7" spans="1:12" ht="15" thickBot="1" x14ac:dyDescent="0.4">
      <c r="A7" s="5">
        <v>1352</v>
      </c>
      <c r="B7" s="5" t="s">
        <v>54</v>
      </c>
      <c r="C7" s="5" t="s">
        <v>22</v>
      </c>
      <c r="D7" s="5" t="s">
        <v>13</v>
      </c>
      <c r="E7" s="5" t="s">
        <v>14</v>
      </c>
      <c r="F7" s="5">
        <v>12</v>
      </c>
      <c r="G7" s="5">
        <v>203</v>
      </c>
      <c r="H7" s="5">
        <v>5</v>
      </c>
      <c r="I7" s="6">
        <v>46024</v>
      </c>
      <c r="J7" s="6">
        <v>46033</v>
      </c>
      <c r="K7" s="10" t="s">
        <v>15</v>
      </c>
      <c r="L7" s="17" t="str">
        <f t="shared" si="0"/>
        <v>Not Eligible</v>
      </c>
    </row>
    <row r="8" spans="1:12" ht="15" thickBot="1" x14ac:dyDescent="0.4">
      <c r="A8" s="5">
        <v>1156</v>
      </c>
      <c r="B8" s="5" t="s">
        <v>54</v>
      </c>
      <c r="C8" s="5" t="s">
        <v>38</v>
      </c>
      <c r="D8" s="5" t="s">
        <v>13</v>
      </c>
      <c r="E8" s="5" t="s">
        <v>36</v>
      </c>
      <c r="F8" s="5">
        <v>5</v>
      </c>
      <c r="G8" s="5">
        <v>466</v>
      </c>
      <c r="H8" s="5">
        <v>15</v>
      </c>
      <c r="I8" s="6">
        <v>46025</v>
      </c>
      <c r="J8" s="6">
        <v>46029</v>
      </c>
      <c r="K8" s="10" t="s">
        <v>15</v>
      </c>
      <c r="L8" s="17" t="str">
        <f t="shared" si="0"/>
        <v>Not Eligible</v>
      </c>
    </row>
    <row r="9" spans="1:12" ht="15" thickBot="1" x14ac:dyDescent="0.4">
      <c r="A9" s="5">
        <v>1341</v>
      </c>
      <c r="B9" s="5" t="s">
        <v>57</v>
      </c>
      <c r="C9" s="5" t="s">
        <v>38</v>
      </c>
      <c r="D9" s="5" t="s">
        <v>18</v>
      </c>
      <c r="E9" s="5" t="s">
        <v>19</v>
      </c>
      <c r="F9" s="5">
        <v>19</v>
      </c>
      <c r="G9" s="5">
        <v>6488</v>
      </c>
      <c r="H9" s="5">
        <v>15</v>
      </c>
      <c r="I9" s="6">
        <v>46026</v>
      </c>
      <c r="J9" s="6">
        <v>46030</v>
      </c>
      <c r="K9" s="10" t="s">
        <v>20</v>
      </c>
      <c r="L9" s="17" t="str">
        <f t="shared" si="0"/>
        <v>Not Eligible</v>
      </c>
    </row>
    <row r="10" spans="1:12" ht="15" thickBot="1" x14ac:dyDescent="0.4">
      <c r="A10" s="5">
        <v>1351</v>
      </c>
      <c r="B10" s="5" t="s">
        <v>42</v>
      </c>
      <c r="C10" s="5" t="s">
        <v>33</v>
      </c>
      <c r="D10" s="5" t="s">
        <v>34</v>
      </c>
      <c r="E10" s="5" t="s">
        <v>45</v>
      </c>
      <c r="F10" s="5">
        <v>12</v>
      </c>
      <c r="G10" s="5">
        <v>1272</v>
      </c>
      <c r="H10" s="5">
        <v>0</v>
      </c>
      <c r="I10" s="6">
        <v>46026</v>
      </c>
      <c r="J10" s="6">
        <v>46029</v>
      </c>
      <c r="K10" s="10" t="s">
        <v>15</v>
      </c>
      <c r="L10" s="17" t="str">
        <f t="shared" si="0"/>
        <v>Not Eligible</v>
      </c>
    </row>
    <row r="11" spans="1:12" ht="15" thickBot="1" x14ac:dyDescent="0.4">
      <c r="A11" s="5">
        <v>1229</v>
      </c>
      <c r="B11" s="5" t="s">
        <v>57</v>
      </c>
      <c r="C11" s="5" t="s">
        <v>12</v>
      </c>
      <c r="D11" s="5" t="s">
        <v>18</v>
      </c>
      <c r="E11" s="5" t="s">
        <v>56</v>
      </c>
      <c r="F11" s="5">
        <v>14</v>
      </c>
      <c r="G11" s="5">
        <v>5859</v>
      </c>
      <c r="H11" s="5">
        <v>12</v>
      </c>
      <c r="I11" s="6">
        <v>46027</v>
      </c>
      <c r="J11" s="6">
        <v>46036</v>
      </c>
      <c r="K11" s="10" t="s">
        <v>20</v>
      </c>
      <c r="L11" s="17" t="str">
        <f t="shared" si="0"/>
        <v>Not Eligible</v>
      </c>
    </row>
    <row r="12" spans="1:12" ht="15" thickBot="1" x14ac:dyDescent="0.4">
      <c r="A12" s="5">
        <v>1100</v>
      </c>
      <c r="B12" s="5" t="s">
        <v>11</v>
      </c>
      <c r="C12" s="5" t="s">
        <v>31</v>
      </c>
      <c r="D12" s="5" t="s">
        <v>13</v>
      </c>
      <c r="E12" s="5" t="s">
        <v>14</v>
      </c>
      <c r="F12" s="5">
        <v>11</v>
      </c>
      <c r="G12" s="5">
        <v>296</v>
      </c>
      <c r="H12" s="5">
        <v>10</v>
      </c>
      <c r="I12" s="6">
        <v>46027</v>
      </c>
      <c r="J12" s="6">
        <v>46031</v>
      </c>
      <c r="K12" s="10" t="s">
        <v>51</v>
      </c>
      <c r="L12" s="17" t="str">
        <f t="shared" si="0"/>
        <v>Not Eligible</v>
      </c>
    </row>
    <row r="13" spans="1:12" ht="15" thickBot="1" x14ac:dyDescent="0.4">
      <c r="A13" s="5">
        <v>1301</v>
      </c>
      <c r="B13" s="5" t="s">
        <v>54</v>
      </c>
      <c r="C13" s="5" t="s">
        <v>17</v>
      </c>
      <c r="D13" s="5" t="s">
        <v>18</v>
      </c>
      <c r="E13" s="5" t="s">
        <v>28</v>
      </c>
      <c r="F13" s="5">
        <v>3</v>
      </c>
      <c r="G13" s="5">
        <v>7020</v>
      </c>
      <c r="H13" s="5">
        <v>10</v>
      </c>
      <c r="I13" s="6">
        <v>46028</v>
      </c>
      <c r="J13" s="6">
        <v>46038</v>
      </c>
      <c r="K13" s="10" t="s">
        <v>24</v>
      </c>
      <c r="L13" s="17" t="str">
        <f t="shared" si="0"/>
        <v>Not Eligible</v>
      </c>
    </row>
    <row r="14" spans="1:12" ht="15" thickBot="1" x14ac:dyDescent="0.4">
      <c r="A14" s="5">
        <v>1148</v>
      </c>
      <c r="B14" s="5" t="s">
        <v>59</v>
      </c>
      <c r="C14" s="5" t="s">
        <v>33</v>
      </c>
      <c r="D14" s="5" t="s">
        <v>18</v>
      </c>
      <c r="E14" s="5" t="s">
        <v>28</v>
      </c>
      <c r="F14" s="5">
        <v>11</v>
      </c>
      <c r="G14" s="5">
        <v>3023</v>
      </c>
      <c r="H14" s="5">
        <v>7</v>
      </c>
      <c r="I14" s="6">
        <v>46030</v>
      </c>
      <c r="J14" s="6">
        <v>46032</v>
      </c>
      <c r="K14" s="10" t="s">
        <v>24</v>
      </c>
      <c r="L14" s="17" t="str">
        <f t="shared" si="0"/>
        <v>Not Eligible</v>
      </c>
    </row>
    <row r="15" spans="1:12" ht="15" thickBot="1" x14ac:dyDescent="0.4">
      <c r="A15" s="5">
        <v>1038</v>
      </c>
      <c r="B15" s="5" t="s">
        <v>55</v>
      </c>
      <c r="C15" s="5" t="s">
        <v>17</v>
      </c>
      <c r="D15" s="5" t="s">
        <v>13</v>
      </c>
      <c r="E15" s="5" t="s">
        <v>36</v>
      </c>
      <c r="F15" s="5">
        <v>17</v>
      </c>
      <c r="G15" s="5">
        <v>223</v>
      </c>
      <c r="H15" s="5">
        <v>7</v>
      </c>
      <c r="I15" s="6">
        <v>46030</v>
      </c>
      <c r="J15" s="6">
        <v>46031</v>
      </c>
      <c r="K15" s="10" t="s">
        <v>51</v>
      </c>
      <c r="L15" s="17" t="str">
        <f t="shared" si="0"/>
        <v>Not Eligible</v>
      </c>
    </row>
    <row r="16" spans="1:12" ht="15" thickBot="1" x14ac:dyDescent="0.4">
      <c r="A16" s="5">
        <v>1035</v>
      </c>
      <c r="B16" s="5" t="s">
        <v>49</v>
      </c>
      <c r="C16" s="5" t="s">
        <v>43</v>
      </c>
      <c r="D16" s="5" t="s">
        <v>18</v>
      </c>
      <c r="E16" s="5" t="s">
        <v>56</v>
      </c>
      <c r="F16" s="5">
        <v>3</v>
      </c>
      <c r="G16" s="5">
        <v>9149</v>
      </c>
      <c r="H16" s="5">
        <v>0</v>
      </c>
      <c r="I16" s="6">
        <v>46031</v>
      </c>
      <c r="J16" s="6">
        <v>46034</v>
      </c>
      <c r="K16" s="10" t="s">
        <v>24</v>
      </c>
      <c r="L16" s="17" t="str">
        <f t="shared" si="0"/>
        <v>Not Eligible</v>
      </c>
    </row>
    <row r="17" spans="1:12" ht="15" thickBot="1" x14ac:dyDescent="0.4">
      <c r="A17" s="5">
        <v>1364</v>
      </c>
      <c r="B17" s="5" t="s">
        <v>30</v>
      </c>
      <c r="C17" s="5" t="s">
        <v>22</v>
      </c>
      <c r="D17" s="5" t="s">
        <v>18</v>
      </c>
      <c r="E17" s="5" t="s">
        <v>56</v>
      </c>
      <c r="F17" s="5">
        <v>16</v>
      </c>
      <c r="G17" s="5">
        <v>1744</v>
      </c>
      <c r="H17" s="5">
        <v>15</v>
      </c>
      <c r="I17" s="6">
        <v>46031</v>
      </c>
      <c r="J17" s="6">
        <v>46033</v>
      </c>
      <c r="K17" s="10" t="s">
        <v>51</v>
      </c>
      <c r="L17" s="17" t="str">
        <f t="shared" si="0"/>
        <v>Not Eligible</v>
      </c>
    </row>
    <row r="18" spans="1:12" ht="15" thickBot="1" x14ac:dyDescent="0.4">
      <c r="A18" s="5">
        <v>1396</v>
      </c>
      <c r="B18" s="5" t="s">
        <v>21</v>
      </c>
      <c r="C18" s="5" t="s">
        <v>38</v>
      </c>
      <c r="D18" s="5" t="s">
        <v>13</v>
      </c>
      <c r="E18" s="5" t="s">
        <v>53</v>
      </c>
      <c r="F18" s="5">
        <v>8</v>
      </c>
      <c r="G18" s="5">
        <v>54</v>
      </c>
      <c r="H18" s="5">
        <v>15</v>
      </c>
      <c r="I18" s="6">
        <v>46031</v>
      </c>
      <c r="J18" s="6">
        <v>46035</v>
      </c>
      <c r="K18" s="10" t="s">
        <v>15</v>
      </c>
      <c r="L18" s="17" t="str">
        <f t="shared" si="0"/>
        <v>Not Eligible</v>
      </c>
    </row>
    <row r="19" spans="1:12" ht="15" thickBot="1" x14ac:dyDescent="0.4">
      <c r="A19" s="5">
        <v>1330</v>
      </c>
      <c r="B19" s="5" t="s">
        <v>49</v>
      </c>
      <c r="C19" s="5" t="s">
        <v>17</v>
      </c>
      <c r="D19" s="5" t="s">
        <v>18</v>
      </c>
      <c r="E19" s="5" t="s">
        <v>19</v>
      </c>
      <c r="F19" s="5">
        <v>13</v>
      </c>
      <c r="G19" s="5">
        <v>12071</v>
      </c>
      <c r="H19" s="5">
        <v>0</v>
      </c>
      <c r="I19" s="6">
        <v>46032</v>
      </c>
      <c r="J19" s="6">
        <v>46036</v>
      </c>
      <c r="K19" s="10" t="s">
        <v>51</v>
      </c>
      <c r="L19" s="17" t="str">
        <f t="shared" si="0"/>
        <v>Not Eligible</v>
      </c>
    </row>
    <row r="20" spans="1:12" ht="15" thickBot="1" x14ac:dyDescent="0.4">
      <c r="A20" s="5">
        <v>1037</v>
      </c>
      <c r="B20" s="5" t="s">
        <v>46</v>
      </c>
      <c r="C20" s="5" t="s">
        <v>43</v>
      </c>
      <c r="D20" s="5" t="s">
        <v>18</v>
      </c>
      <c r="E20" s="5" t="s">
        <v>56</v>
      </c>
      <c r="F20" s="5">
        <v>6</v>
      </c>
      <c r="G20" s="5">
        <v>14385</v>
      </c>
      <c r="H20" s="5">
        <v>12</v>
      </c>
      <c r="I20" s="6">
        <v>46033</v>
      </c>
      <c r="J20" s="6">
        <v>46043</v>
      </c>
      <c r="K20" s="10" t="s">
        <v>24</v>
      </c>
      <c r="L20" s="17" t="str">
        <f t="shared" si="0"/>
        <v>Not Eligible</v>
      </c>
    </row>
    <row r="21" spans="1:12" ht="15" thickBot="1" x14ac:dyDescent="0.4">
      <c r="A21" s="5">
        <v>1109</v>
      </c>
      <c r="B21" s="5" t="s">
        <v>21</v>
      </c>
      <c r="C21" s="5" t="s">
        <v>31</v>
      </c>
      <c r="D21" s="5" t="s">
        <v>18</v>
      </c>
      <c r="E21" s="5" t="s">
        <v>44</v>
      </c>
      <c r="F21" s="5">
        <v>19</v>
      </c>
      <c r="G21" s="5">
        <v>6512</v>
      </c>
      <c r="H21" s="5">
        <v>10</v>
      </c>
      <c r="I21" s="6">
        <v>46033</v>
      </c>
      <c r="J21" s="6">
        <v>46037</v>
      </c>
      <c r="K21" s="10" t="s">
        <v>20</v>
      </c>
      <c r="L21" s="17" t="str">
        <f t="shared" si="0"/>
        <v>Not Eligible</v>
      </c>
    </row>
    <row r="22" spans="1:12" ht="15" thickBot="1" x14ac:dyDescent="0.4">
      <c r="A22" s="5">
        <v>1008</v>
      </c>
      <c r="B22" s="5" t="s">
        <v>30</v>
      </c>
      <c r="C22" s="5" t="s">
        <v>31</v>
      </c>
      <c r="D22" s="5" t="s">
        <v>18</v>
      </c>
      <c r="E22" s="5" t="s">
        <v>28</v>
      </c>
      <c r="F22" s="5">
        <v>1</v>
      </c>
      <c r="G22" s="5">
        <v>1134</v>
      </c>
      <c r="H22" s="5">
        <v>0</v>
      </c>
      <c r="I22" s="6">
        <v>46033</v>
      </c>
      <c r="J22" s="6">
        <v>46041</v>
      </c>
      <c r="K22" s="10" t="s">
        <v>24</v>
      </c>
      <c r="L22" s="17" t="str">
        <f t="shared" si="0"/>
        <v>Not Eligible</v>
      </c>
    </row>
    <row r="23" spans="1:12" ht="15" thickBot="1" x14ac:dyDescent="0.4">
      <c r="A23" s="5">
        <v>1181</v>
      </c>
      <c r="B23" s="5" t="s">
        <v>58</v>
      </c>
      <c r="C23" s="5" t="s">
        <v>33</v>
      </c>
      <c r="D23" s="5" t="s">
        <v>13</v>
      </c>
      <c r="E23" s="5" t="s">
        <v>36</v>
      </c>
      <c r="F23" s="5">
        <v>4</v>
      </c>
      <c r="G23" s="5">
        <v>357</v>
      </c>
      <c r="H23" s="5">
        <v>2</v>
      </c>
      <c r="I23" s="6">
        <v>46033</v>
      </c>
      <c r="J23" s="6">
        <v>46035</v>
      </c>
      <c r="K23" s="10" t="s">
        <v>15</v>
      </c>
      <c r="L23" s="17" t="str">
        <f t="shared" si="0"/>
        <v>Not Eligible</v>
      </c>
    </row>
    <row r="24" spans="1:12" ht="15" thickBot="1" x14ac:dyDescent="0.4">
      <c r="A24" s="5">
        <v>1205</v>
      </c>
      <c r="B24" s="5" t="s">
        <v>21</v>
      </c>
      <c r="C24" s="5" t="s">
        <v>38</v>
      </c>
      <c r="D24" s="5" t="s">
        <v>13</v>
      </c>
      <c r="E24" s="5" t="s">
        <v>36</v>
      </c>
      <c r="F24" s="5">
        <v>1</v>
      </c>
      <c r="G24" s="5">
        <v>112</v>
      </c>
      <c r="H24" s="5">
        <v>7</v>
      </c>
      <c r="I24" s="6">
        <v>46033</v>
      </c>
      <c r="J24" s="6">
        <v>46040</v>
      </c>
      <c r="K24" s="10" t="s">
        <v>51</v>
      </c>
      <c r="L24" s="17" t="str">
        <f t="shared" si="0"/>
        <v>Not Eligible</v>
      </c>
    </row>
    <row r="25" spans="1:12" ht="15" thickBot="1" x14ac:dyDescent="0.4">
      <c r="A25" s="5">
        <v>1004</v>
      </c>
      <c r="B25" s="5" t="s">
        <v>16</v>
      </c>
      <c r="C25" s="5" t="s">
        <v>25</v>
      </c>
      <c r="D25" s="5" t="s">
        <v>18</v>
      </c>
      <c r="E25" s="5" t="s">
        <v>23</v>
      </c>
      <c r="F25" s="5">
        <v>16</v>
      </c>
      <c r="G25" s="5">
        <v>11739</v>
      </c>
      <c r="H25" s="5">
        <v>12</v>
      </c>
      <c r="I25" s="6">
        <v>46034</v>
      </c>
      <c r="J25" s="6">
        <v>46040</v>
      </c>
      <c r="K25" s="10" t="s">
        <v>20</v>
      </c>
      <c r="L25" s="17" t="str">
        <f t="shared" si="0"/>
        <v>Not Eligible</v>
      </c>
    </row>
    <row r="26" spans="1:12" ht="15" thickBot="1" x14ac:dyDescent="0.4">
      <c r="A26" s="5">
        <v>1072</v>
      </c>
      <c r="B26" s="5" t="s">
        <v>16</v>
      </c>
      <c r="C26" s="5" t="s">
        <v>25</v>
      </c>
      <c r="D26" s="5" t="s">
        <v>34</v>
      </c>
      <c r="E26" s="5" t="s">
        <v>61</v>
      </c>
      <c r="F26" s="5">
        <v>20</v>
      </c>
      <c r="G26" s="5">
        <v>58779</v>
      </c>
      <c r="H26" s="5">
        <v>0</v>
      </c>
      <c r="I26" s="6">
        <v>46035</v>
      </c>
      <c r="J26" s="6">
        <v>46036</v>
      </c>
      <c r="K26" s="10" t="s">
        <v>24</v>
      </c>
      <c r="L26" s="17" t="str">
        <f t="shared" si="0"/>
        <v>Not Eligible</v>
      </c>
    </row>
    <row r="27" spans="1:12" ht="15" thickBot="1" x14ac:dyDescent="0.4">
      <c r="A27" s="5">
        <v>1368</v>
      </c>
      <c r="B27" s="5" t="s">
        <v>55</v>
      </c>
      <c r="C27" s="5" t="s">
        <v>38</v>
      </c>
      <c r="D27" s="5" t="s">
        <v>13</v>
      </c>
      <c r="E27" s="5" t="s">
        <v>36</v>
      </c>
      <c r="F27" s="5">
        <v>9</v>
      </c>
      <c r="G27" s="5">
        <v>115</v>
      </c>
      <c r="H27" s="5">
        <v>0</v>
      </c>
      <c r="I27" s="6">
        <v>46036</v>
      </c>
      <c r="J27" s="6">
        <v>46045</v>
      </c>
      <c r="K27" s="10" t="s">
        <v>24</v>
      </c>
      <c r="L27" s="17" t="str">
        <f t="shared" si="0"/>
        <v>Not Eligible</v>
      </c>
    </row>
    <row r="28" spans="1:12" ht="15" thickBot="1" x14ac:dyDescent="0.4">
      <c r="A28" s="5">
        <v>1347</v>
      </c>
      <c r="B28" s="5" t="s">
        <v>29</v>
      </c>
      <c r="C28" s="5" t="s">
        <v>22</v>
      </c>
      <c r="D28" s="5" t="s">
        <v>34</v>
      </c>
      <c r="E28" s="5" t="s">
        <v>35</v>
      </c>
      <c r="F28" s="5">
        <v>16</v>
      </c>
      <c r="G28" s="5">
        <v>6034</v>
      </c>
      <c r="H28" s="5">
        <v>15</v>
      </c>
      <c r="I28" s="6">
        <v>46037</v>
      </c>
      <c r="J28" s="6">
        <v>46044</v>
      </c>
      <c r="K28" s="10" t="s">
        <v>24</v>
      </c>
      <c r="L28" s="17" t="str">
        <f t="shared" si="0"/>
        <v>Eligible</v>
      </c>
    </row>
    <row r="29" spans="1:12" ht="15" thickBot="1" x14ac:dyDescent="0.4">
      <c r="A29" s="5">
        <v>1051</v>
      </c>
      <c r="B29" s="5" t="s">
        <v>58</v>
      </c>
      <c r="C29" s="5" t="s">
        <v>17</v>
      </c>
      <c r="D29" s="5" t="s">
        <v>13</v>
      </c>
      <c r="E29" s="5" t="s">
        <v>36</v>
      </c>
      <c r="F29" s="5">
        <v>12</v>
      </c>
      <c r="G29" s="5">
        <v>47</v>
      </c>
      <c r="H29" s="5">
        <v>2</v>
      </c>
      <c r="I29" s="6">
        <v>46037</v>
      </c>
      <c r="J29" s="6">
        <v>46045</v>
      </c>
      <c r="K29" s="10" t="s">
        <v>15</v>
      </c>
      <c r="L29" s="17" t="str">
        <f t="shared" si="0"/>
        <v>Not Eligible</v>
      </c>
    </row>
    <row r="30" spans="1:12" ht="15" thickBot="1" x14ac:dyDescent="0.4">
      <c r="A30" s="5">
        <v>1045</v>
      </c>
      <c r="B30" s="5" t="s">
        <v>32</v>
      </c>
      <c r="C30" s="5" t="s">
        <v>38</v>
      </c>
      <c r="D30" s="5" t="s">
        <v>34</v>
      </c>
      <c r="E30" s="5" t="s">
        <v>35</v>
      </c>
      <c r="F30" s="5">
        <v>3</v>
      </c>
      <c r="G30" s="5">
        <v>62762</v>
      </c>
      <c r="H30" s="5">
        <v>7</v>
      </c>
      <c r="I30" s="6">
        <v>46038</v>
      </c>
      <c r="J30" s="6">
        <v>46039</v>
      </c>
      <c r="K30" s="10" t="s">
        <v>29</v>
      </c>
      <c r="L30" s="17" t="str">
        <f t="shared" si="0"/>
        <v>Not Eligible</v>
      </c>
    </row>
    <row r="31" spans="1:12" ht="15" thickBot="1" x14ac:dyDescent="0.4">
      <c r="A31" s="5">
        <v>1334</v>
      </c>
      <c r="B31" s="5" t="s">
        <v>40</v>
      </c>
      <c r="C31" s="5" t="s">
        <v>12</v>
      </c>
      <c r="D31" s="5" t="s">
        <v>34</v>
      </c>
      <c r="E31" s="5" t="s">
        <v>41</v>
      </c>
      <c r="F31" s="5">
        <v>15</v>
      </c>
      <c r="G31" s="5">
        <v>39853</v>
      </c>
      <c r="H31" s="5">
        <v>7</v>
      </c>
      <c r="I31" s="6">
        <v>46038</v>
      </c>
      <c r="J31" s="6">
        <v>46047</v>
      </c>
      <c r="K31" s="10" t="s">
        <v>51</v>
      </c>
      <c r="L31" s="17" t="str">
        <f t="shared" si="0"/>
        <v>Not Eligible</v>
      </c>
    </row>
    <row r="32" spans="1:12" ht="15" thickBot="1" x14ac:dyDescent="0.4">
      <c r="A32" s="5">
        <v>1069</v>
      </c>
      <c r="B32" s="5" t="s">
        <v>52</v>
      </c>
      <c r="C32" s="5" t="s">
        <v>31</v>
      </c>
      <c r="D32" s="5" t="s">
        <v>18</v>
      </c>
      <c r="E32" s="5" t="s">
        <v>28</v>
      </c>
      <c r="F32" s="5">
        <v>9</v>
      </c>
      <c r="G32" s="5">
        <v>4415</v>
      </c>
      <c r="H32" s="5">
        <v>5</v>
      </c>
      <c r="I32" s="6">
        <v>46039</v>
      </c>
      <c r="J32" s="6">
        <v>46046</v>
      </c>
      <c r="K32" s="10" t="s">
        <v>15</v>
      </c>
      <c r="L32" s="17" t="str">
        <f t="shared" si="0"/>
        <v>Not Eligible</v>
      </c>
    </row>
    <row r="33" spans="1:12" ht="15" thickBot="1" x14ac:dyDescent="0.4">
      <c r="A33" s="5">
        <v>1246</v>
      </c>
      <c r="B33" s="5" t="s">
        <v>55</v>
      </c>
      <c r="C33" s="5" t="s">
        <v>22</v>
      </c>
      <c r="D33" s="5" t="s">
        <v>34</v>
      </c>
      <c r="E33" s="5" t="s">
        <v>35</v>
      </c>
      <c r="F33" s="5">
        <v>13</v>
      </c>
      <c r="G33" s="5">
        <v>1825</v>
      </c>
      <c r="H33" s="5">
        <v>2</v>
      </c>
      <c r="I33" s="6">
        <v>46039</v>
      </c>
      <c r="J33" s="6">
        <v>46045</v>
      </c>
      <c r="K33" s="10" t="s">
        <v>51</v>
      </c>
      <c r="L33" s="17" t="str">
        <f t="shared" si="0"/>
        <v>Not Eligible</v>
      </c>
    </row>
    <row r="34" spans="1:12" ht="15" thickBot="1" x14ac:dyDescent="0.4">
      <c r="A34" s="5">
        <v>1026</v>
      </c>
      <c r="B34" s="5" t="s">
        <v>49</v>
      </c>
      <c r="C34" s="5" t="s">
        <v>31</v>
      </c>
      <c r="D34" s="5" t="s">
        <v>13</v>
      </c>
      <c r="E34" s="5" t="s">
        <v>50</v>
      </c>
      <c r="F34" s="5">
        <v>17</v>
      </c>
      <c r="G34" s="5">
        <v>323</v>
      </c>
      <c r="H34" s="5">
        <v>10</v>
      </c>
      <c r="I34" s="6">
        <v>46039</v>
      </c>
      <c r="J34" s="6">
        <v>46040</v>
      </c>
      <c r="K34" s="10" t="s">
        <v>29</v>
      </c>
      <c r="L34" s="17" t="str">
        <f t="shared" si="0"/>
        <v>Not Eligible</v>
      </c>
    </row>
    <row r="35" spans="1:12" ht="15" thickBot="1" x14ac:dyDescent="0.4">
      <c r="A35" s="5">
        <v>1260</v>
      </c>
      <c r="B35" s="5" t="s">
        <v>54</v>
      </c>
      <c r="C35" s="5" t="s">
        <v>38</v>
      </c>
      <c r="D35" s="5" t="s">
        <v>34</v>
      </c>
      <c r="E35" s="5" t="s">
        <v>41</v>
      </c>
      <c r="F35" s="5">
        <v>19</v>
      </c>
      <c r="G35" s="5">
        <v>54981</v>
      </c>
      <c r="H35" s="5">
        <v>10</v>
      </c>
      <c r="I35" s="6">
        <v>46040</v>
      </c>
      <c r="J35" s="6">
        <v>46045</v>
      </c>
      <c r="K35" s="10" t="s">
        <v>29</v>
      </c>
      <c r="L35" s="17" t="str">
        <f t="shared" si="0"/>
        <v>Eligible</v>
      </c>
    </row>
    <row r="36" spans="1:12" ht="15" thickBot="1" x14ac:dyDescent="0.4">
      <c r="A36" s="5">
        <v>1103</v>
      </c>
      <c r="B36" s="5" t="s">
        <v>16</v>
      </c>
      <c r="C36" s="5" t="s">
        <v>12</v>
      </c>
      <c r="D36" s="5" t="s">
        <v>18</v>
      </c>
      <c r="E36" s="5" t="s">
        <v>23</v>
      </c>
      <c r="F36" s="5">
        <v>7</v>
      </c>
      <c r="G36" s="5">
        <v>11925</v>
      </c>
      <c r="H36" s="5">
        <v>5</v>
      </c>
      <c r="I36" s="6">
        <v>46040</v>
      </c>
      <c r="J36" s="6">
        <v>46041</v>
      </c>
      <c r="K36" s="10" t="s">
        <v>29</v>
      </c>
      <c r="L36" s="17" t="str">
        <f t="shared" si="0"/>
        <v>Not Eligible</v>
      </c>
    </row>
    <row r="37" spans="1:12" ht="15" thickBot="1" x14ac:dyDescent="0.4">
      <c r="A37" s="5">
        <v>1135</v>
      </c>
      <c r="B37" s="5" t="s">
        <v>49</v>
      </c>
      <c r="C37" s="5" t="s">
        <v>43</v>
      </c>
      <c r="D37" s="5" t="s">
        <v>34</v>
      </c>
      <c r="E37" s="5" t="s">
        <v>39</v>
      </c>
      <c r="F37" s="5">
        <v>14</v>
      </c>
      <c r="G37" s="5">
        <v>68534</v>
      </c>
      <c r="H37" s="5">
        <v>0</v>
      </c>
      <c r="I37" s="6">
        <v>46041</v>
      </c>
      <c r="J37" s="6">
        <v>46042</v>
      </c>
      <c r="K37" s="10" t="s">
        <v>15</v>
      </c>
      <c r="L37" s="17" t="str">
        <f t="shared" si="0"/>
        <v>Not Eligible</v>
      </c>
    </row>
    <row r="38" spans="1:12" ht="15" thickBot="1" x14ac:dyDescent="0.4">
      <c r="A38" s="5">
        <v>1228</v>
      </c>
      <c r="B38" s="5" t="s">
        <v>29</v>
      </c>
      <c r="C38" s="5" t="s">
        <v>25</v>
      </c>
      <c r="D38" s="5" t="s">
        <v>34</v>
      </c>
      <c r="E38" s="5" t="s">
        <v>45</v>
      </c>
      <c r="F38" s="5">
        <v>16</v>
      </c>
      <c r="G38" s="5">
        <v>17477</v>
      </c>
      <c r="H38" s="5">
        <v>10</v>
      </c>
      <c r="I38" s="6">
        <v>46041</v>
      </c>
      <c r="J38" s="6">
        <v>46043</v>
      </c>
      <c r="K38" s="10" t="s">
        <v>24</v>
      </c>
      <c r="L38" s="17" t="str">
        <f t="shared" si="0"/>
        <v>Eligible</v>
      </c>
    </row>
    <row r="39" spans="1:12" ht="15" thickBot="1" x14ac:dyDescent="0.4">
      <c r="A39" s="5">
        <v>1313</v>
      </c>
      <c r="B39" s="5" t="s">
        <v>59</v>
      </c>
      <c r="C39" s="5" t="s">
        <v>22</v>
      </c>
      <c r="D39" s="5" t="s">
        <v>18</v>
      </c>
      <c r="E39" s="5" t="s">
        <v>56</v>
      </c>
      <c r="F39" s="5">
        <v>6</v>
      </c>
      <c r="G39" s="5">
        <v>10864</v>
      </c>
      <c r="H39" s="5">
        <v>10</v>
      </c>
      <c r="I39" s="6">
        <v>46041</v>
      </c>
      <c r="J39" s="6">
        <v>46049</v>
      </c>
      <c r="K39" s="10" t="s">
        <v>15</v>
      </c>
      <c r="L39" s="17" t="str">
        <f t="shared" si="0"/>
        <v>Not Eligible</v>
      </c>
    </row>
    <row r="40" spans="1:12" ht="15" thickBot="1" x14ac:dyDescent="0.4">
      <c r="A40" s="5">
        <v>1208</v>
      </c>
      <c r="B40" s="5" t="s">
        <v>54</v>
      </c>
      <c r="C40" s="5" t="s">
        <v>43</v>
      </c>
      <c r="D40" s="5" t="s">
        <v>18</v>
      </c>
      <c r="E40" s="5" t="s">
        <v>44</v>
      </c>
      <c r="F40" s="5">
        <v>6</v>
      </c>
      <c r="G40" s="5">
        <v>7627</v>
      </c>
      <c r="H40" s="5">
        <v>10</v>
      </c>
      <c r="I40" s="6">
        <v>46042</v>
      </c>
      <c r="J40" s="6">
        <v>46047</v>
      </c>
      <c r="K40" s="10" t="s">
        <v>20</v>
      </c>
      <c r="L40" s="17" t="str">
        <f t="shared" si="0"/>
        <v>Not Eligible</v>
      </c>
    </row>
    <row r="41" spans="1:12" ht="15" thickBot="1" x14ac:dyDescent="0.4">
      <c r="A41" s="5">
        <v>1165</v>
      </c>
      <c r="B41" s="5" t="s">
        <v>48</v>
      </c>
      <c r="C41" s="5" t="s">
        <v>25</v>
      </c>
      <c r="D41" s="5" t="s">
        <v>13</v>
      </c>
      <c r="E41" s="5" t="s">
        <v>37</v>
      </c>
      <c r="F41" s="5">
        <v>1</v>
      </c>
      <c r="G41" s="5">
        <v>427</v>
      </c>
      <c r="H41" s="5">
        <v>0</v>
      </c>
      <c r="I41" s="6">
        <v>46042</v>
      </c>
      <c r="J41" s="6">
        <v>46050</v>
      </c>
      <c r="K41" s="10" t="s">
        <v>51</v>
      </c>
      <c r="L41" s="17" t="str">
        <f t="shared" si="0"/>
        <v>Not Eligible</v>
      </c>
    </row>
    <row r="42" spans="1:12" ht="15" thickBot="1" x14ac:dyDescent="0.4">
      <c r="A42" s="5">
        <v>1304</v>
      </c>
      <c r="B42" s="5" t="s">
        <v>59</v>
      </c>
      <c r="C42" s="5" t="s">
        <v>25</v>
      </c>
      <c r="D42" s="5" t="s">
        <v>13</v>
      </c>
      <c r="E42" s="5" t="s">
        <v>36</v>
      </c>
      <c r="F42" s="5">
        <v>20</v>
      </c>
      <c r="G42" s="5">
        <v>368</v>
      </c>
      <c r="H42" s="5">
        <v>7</v>
      </c>
      <c r="I42" s="6">
        <v>46042</v>
      </c>
      <c r="J42" s="6">
        <v>46051</v>
      </c>
      <c r="K42" s="10" t="s">
        <v>51</v>
      </c>
      <c r="L42" s="17" t="str">
        <f t="shared" si="0"/>
        <v>Not Eligible</v>
      </c>
    </row>
    <row r="43" spans="1:12" ht="15" thickBot="1" x14ac:dyDescent="0.4">
      <c r="A43" s="5">
        <v>1141</v>
      </c>
      <c r="B43" s="5" t="s">
        <v>11</v>
      </c>
      <c r="C43" s="5" t="s">
        <v>17</v>
      </c>
      <c r="D43" s="5" t="s">
        <v>18</v>
      </c>
      <c r="E43" s="5" t="s">
        <v>44</v>
      </c>
      <c r="F43" s="5">
        <v>20</v>
      </c>
      <c r="G43" s="5">
        <v>6835</v>
      </c>
      <c r="H43" s="5">
        <v>2</v>
      </c>
      <c r="I43" s="6">
        <v>46043</v>
      </c>
      <c r="J43" s="6">
        <v>46053</v>
      </c>
      <c r="K43" s="10" t="s">
        <v>15</v>
      </c>
      <c r="L43" s="17" t="str">
        <f t="shared" si="0"/>
        <v>Not Eligible</v>
      </c>
    </row>
    <row r="44" spans="1:12" ht="15" thickBot="1" x14ac:dyDescent="0.4">
      <c r="A44" s="5">
        <v>1389</v>
      </c>
      <c r="B44" s="5" t="s">
        <v>32</v>
      </c>
      <c r="C44" s="5" t="s">
        <v>12</v>
      </c>
      <c r="D44" s="5" t="s">
        <v>34</v>
      </c>
      <c r="E44" s="5" t="s">
        <v>41</v>
      </c>
      <c r="F44" s="5">
        <v>3</v>
      </c>
      <c r="G44" s="5">
        <v>56380</v>
      </c>
      <c r="H44" s="5">
        <v>5</v>
      </c>
      <c r="I44" s="6">
        <v>46044</v>
      </c>
      <c r="J44" s="6">
        <v>46048</v>
      </c>
      <c r="K44" s="10" t="s">
        <v>51</v>
      </c>
      <c r="L44" s="17" t="str">
        <f t="shared" si="0"/>
        <v>Not Eligible</v>
      </c>
    </row>
    <row r="45" spans="1:12" ht="15" thickBot="1" x14ac:dyDescent="0.4">
      <c r="A45" s="5">
        <v>1226</v>
      </c>
      <c r="B45" s="5" t="s">
        <v>29</v>
      </c>
      <c r="C45" s="5" t="s">
        <v>31</v>
      </c>
      <c r="D45" s="5" t="s">
        <v>34</v>
      </c>
      <c r="E45" s="5" t="s">
        <v>41</v>
      </c>
      <c r="F45" s="5">
        <v>13</v>
      </c>
      <c r="G45" s="5">
        <v>21332</v>
      </c>
      <c r="H45" s="5">
        <v>0</v>
      </c>
      <c r="I45" s="6">
        <v>46044</v>
      </c>
      <c r="J45" s="6">
        <v>46048</v>
      </c>
      <c r="K45" s="10" t="s">
        <v>29</v>
      </c>
      <c r="L45" s="17" t="str">
        <f t="shared" si="0"/>
        <v>Not Eligible</v>
      </c>
    </row>
    <row r="46" spans="1:12" ht="15" thickBot="1" x14ac:dyDescent="0.4">
      <c r="A46" s="5">
        <v>1128</v>
      </c>
      <c r="B46" s="5" t="s">
        <v>30</v>
      </c>
      <c r="C46" s="5" t="s">
        <v>22</v>
      </c>
      <c r="D46" s="5" t="s">
        <v>34</v>
      </c>
      <c r="E46" s="5" t="s">
        <v>61</v>
      </c>
      <c r="F46" s="5">
        <v>6</v>
      </c>
      <c r="G46" s="5">
        <v>5001</v>
      </c>
      <c r="H46" s="5">
        <v>7</v>
      </c>
      <c r="I46" s="6">
        <v>46044</v>
      </c>
      <c r="J46" s="6">
        <v>46050</v>
      </c>
      <c r="K46" s="10" t="s">
        <v>29</v>
      </c>
      <c r="L46" s="17" t="str">
        <f t="shared" si="0"/>
        <v>Not Eligible</v>
      </c>
    </row>
    <row r="47" spans="1:12" ht="15" thickBot="1" x14ac:dyDescent="0.4">
      <c r="A47" s="5">
        <v>1197</v>
      </c>
      <c r="B47" s="5" t="s">
        <v>52</v>
      </c>
      <c r="C47" s="5" t="s">
        <v>31</v>
      </c>
      <c r="D47" s="5" t="s">
        <v>34</v>
      </c>
      <c r="E47" s="5" t="s">
        <v>35</v>
      </c>
      <c r="F47" s="5">
        <v>5</v>
      </c>
      <c r="G47" s="5">
        <v>45352</v>
      </c>
      <c r="H47" s="5">
        <v>12</v>
      </c>
      <c r="I47" s="6">
        <v>46045</v>
      </c>
      <c r="J47" s="6">
        <v>46048</v>
      </c>
      <c r="K47" s="10" t="s">
        <v>15</v>
      </c>
      <c r="L47" s="17" t="str">
        <f t="shared" si="0"/>
        <v>Eligible</v>
      </c>
    </row>
    <row r="48" spans="1:12" ht="15" thickBot="1" x14ac:dyDescent="0.4">
      <c r="A48" s="5">
        <v>1076</v>
      </c>
      <c r="B48" s="5" t="s">
        <v>29</v>
      </c>
      <c r="C48" s="5" t="s">
        <v>17</v>
      </c>
      <c r="D48" s="5" t="s">
        <v>34</v>
      </c>
      <c r="E48" s="5" t="s">
        <v>35</v>
      </c>
      <c r="F48" s="5">
        <v>19</v>
      </c>
      <c r="G48" s="5">
        <v>26714</v>
      </c>
      <c r="H48" s="5">
        <v>5</v>
      </c>
      <c r="I48" s="6">
        <v>46045</v>
      </c>
      <c r="J48" s="6">
        <v>46055</v>
      </c>
      <c r="K48" s="10" t="s">
        <v>29</v>
      </c>
      <c r="L48" s="17" t="str">
        <f t="shared" si="0"/>
        <v>Not Eligible</v>
      </c>
    </row>
    <row r="49" spans="1:12" ht="15" thickBot="1" x14ac:dyDescent="0.4">
      <c r="A49" s="5">
        <v>1224</v>
      </c>
      <c r="B49" s="5" t="s">
        <v>30</v>
      </c>
      <c r="C49" s="5" t="s">
        <v>38</v>
      </c>
      <c r="D49" s="5" t="s">
        <v>34</v>
      </c>
      <c r="E49" s="5" t="s">
        <v>45</v>
      </c>
      <c r="F49" s="5">
        <v>16</v>
      </c>
      <c r="G49" s="5">
        <v>18378</v>
      </c>
      <c r="H49" s="5">
        <v>10</v>
      </c>
      <c r="I49" s="6">
        <v>46045</v>
      </c>
      <c r="J49" s="6">
        <v>46052</v>
      </c>
      <c r="K49" s="10" t="s">
        <v>24</v>
      </c>
      <c r="L49" s="17" t="str">
        <f t="shared" si="0"/>
        <v>Eligible</v>
      </c>
    </row>
    <row r="50" spans="1:12" ht="15" thickBot="1" x14ac:dyDescent="0.4">
      <c r="A50" s="5">
        <v>1293</v>
      </c>
      <c r="B50" s="5" t="s">
        <v>49</v>
      </c>
      <c r="C50" s="5" t="s">
        <v>43</v>
      </c>
      <c r="D50" s="5" t="s">
        <v>18</v>
      </c>
      <c r="E50" s="5" t="s">
        <v>23</v>
      </c>
      <c r="F50" s="5">
        <v>7</v>
      </c>
      <c r="G50" s="5">
        <v>11481</v>
      </c>
      <c r="H50" s="5">
        <v>15</v>
      </c>
      <c r="I50" s="6">
        <v>46045</v>
      </c>
      <c r="J50" s="6">
        <v>46050</v>
      </c>
      <c r="K50" s="10" t="s">
        <v>20</v>
      </c>
      <c r="L50" s="17" t="str">
        <f t="shared" si="0"/>
        <v>Not Eligible</v>
      </c>
    </row>
    <row r="51" spans="1:12" ht="15" thickBot="1" x14ac:dyDescent="0.4">
      <c r="A51" s="5">
        <v>1086</v>
      </c>
      <c r="B51" s="5" t="s">
        <v>32</v>
      </c>
      <c r="C51" s="5" t="s">
        <v>12</v>
      </c>
      <c r="D51" s="5" t="s">
        <v>13</v>
      </c>
      <c r="E51" s="5" t="s">
        <v>53</v>
      </c>
      <c r="F51" s="5">
        <v>15</v>
      </c>
      <c r="G51" s="5">
        <v>40</v>
      </c>
      <c r="H51" s="5">
        <v>10</v>
      </c>
      <c r="I51" s="6">
        <v>46045</v>
      </c>
      <c r="J51" s="6">
        <v>46049</v>
      </c>
      <c r="K51" s="10" t="s">
        <v>24</v>
      </c>
      <c r="L51" s="17" t="str">
        <f t="shared" si="0"/>
        <v>Not Eligible</v>
      </c>
    </row>
    <row r="52" spans="1:12" ht="15" thickBot="1" x14ac:dyDescent="0.4">
      <c r="A52" s="5">
        <v>1029</v>
      </c>
      <c r="B52" s="5" t="s">
        <v>30</v>
      </c>
      <c r="C52" s="5" t="s">
        <v>25</v>
      </c>
      <c r="D52" s="5" t="s">
        <v>13</v>
      </c>
      <c r="E52" s="5" t="s">
        <v>36</v>
      </c>
      <c r="F52" s="5">
        <v>18</v>
      </c>
      <c r="G52" s="5">
        <v>443</v>
      </c>
      <c r="H52" s="5">
        <v>5</v>
      </c>
      <c r="I52" s="6">
        <v>46046</v>
      </c>
      <c r="J52" s="6">
        <v>46054</v>
      </c>
      <c r="K52" s="10" t="s">
        <v>24</v>
      </c>
      <c r="L52" s="17" t="str">
        <f t="shared" si="0"/>
        <v>Not Eligible</v>
      </c>
    </row>
    <row r="53" spans="1:12" ht="15" thickBot="1" x14ac:dyDescent="0.4">
      <c r="A53" s="5">
        <v>1366</v>
      </c>
      <c r="B53" s="5" t="s">
        <v>26</v>
      </c>
      <c r="C53" s="5" t="s">
        <v>17</v>
      </c>
      <c r="D53" s="5" t="s">
        <v>34</v>
      </c>
      <c r="E53" s="5" t="s">
        <v>61</v>
      </c>
      <c r="F53" s="5">
        <v>20</v>
      </c>
      <c r="G53" s="5">
        <v>44312</v>
      </c>
      <c r="H53" s="5">
        <v>10</v>
      </c>
      <c r="I53" s="6">
        <v>46047</v>
      </c>
      <c r="J53" s="6">
        <v>46054</v>
      </c>
      <c r="K53" s="10" t="s">
        <v>29</v>
      </c>
      <c r="L53" s="17" t="str">
        <f t="shared" si="0"/>
        <v>Eligible</v>
      </c>
    </row>
    <row r="54" spans="1:12" ht="15" thickBot="1" x14ac:dyDescent="0.4">
      <c r="A54" s="5">
        <v>1393</v>
      </c>
      <c r="B54" s="5" t="s">
        <v>30</v>
      </c>
      <c r="C54" s="5" t="s">
        <v>25</v>
      </c>
      <c r="D54" s="5" t="s">
        <v>34</v>
      </c>
      <c r="E54" s="5" t="s">
        <v>45</v>
      </c>
      <c r="F54" s="5">
        <v>17</v>
      </c>
      <c r="G54" s="5">
        <v>30351</v>
      </c>
      <c r="H54" s="5">
        <v>15</v>
      </c>
      <c r="I54" s="6">
        <v>46047</v>
      </c>
      <c r="J54" s="6">
        <v>46051</v>
      </c>
      <c r="K54" s="10" t="s">
        <v>51</v>
      </c>
      <c r="L54" s="17" t="str">
        <f t="shared" si="0"/>
        <v>Eligible</v>
      </c>
    </row>
    <row r="55" spans="1:12" ht="15" thickBot="1" x14ac:dyDescent="0.4">
      <c r="A55" s="5">
        <v>1084</v>
      </c>
      <c r="B55" s="5" t="s">
        <v>49</v>
      </c>
      <c r="C55" s="5" t="s">
        <v>31</v>
      </c>
      <c r="D55" s="5" t="s">
        <v>18</v>
      </c>
      <c r="E55" s="5" t="s">
        <v>28</v>
      </c>
      <c r="F55" s="5">
        <v>4</v>
      </c>
      <c r="G55" s="5">
        <v>6901</v>
      </c>
      <c r="H55" s="5">
        <v>10</v>
      </c>
      <c r="I55" s="6">
        <v>46047</v>
      </c>
      <c r="J55" s="6">
        <v>46057</v>
      </c>
      <c r="K55" s="10" t="s">
        <v>20</v>
      </c>
      <c r="L55" s="17" t="str">
        <f t="shared" si="0"/>
        <v>Not Eligible</v>
      </c>
    </row>
    <row r="56" spans="1:12" ht="15" thickBot="1" x14ac:dyDescent="0.4">
      <c r="A56" s="5">
        <v>1385</v>
      </c>
      <c r="B56" s="5" t="s">
        <v>26</v>
      </c>
      <c r="C56" s="5" t="s">
        <v>33</v>
      </c>
      <c r="D56" s="5" t="s">
        <v>34</v>
      </c>
      <c r="E56" s="5" t="s">
        <v>39</v>
      </c>
      <c r="F56" s="5">
        <v>12</v>
      </c>
      <c r="G56" s="5">
        <v>61360</v>
      </c>
      <c r="H56" s="5">
        <v>10</v>
      </c>
      <c r="I56" s="6">
        <v>46048</v>
      </c>
      <c r="J56" s="6">
        <v>46053</v>
      </c>
      <c r="K56" s="10" t="s">
        <v>51</v>
      </c>
      <c r="L56" s="17" t="str">
        <f t="shared" si="0"/>
        <v>Eligible</v>
      </c>
    </row>
    <row r="57" spans="1:12" ht="15" thickBot="1" x14ac:dyDescent="0.4">
      <c r="A57" s="5">
        <v>1176</v>
      </c>
      <c r="B57" s="5" t="s">
        <v>58</v>
      </c>
      <c r="C57" s="5" t="s">
        <v>38</v>
      </c>
      <c r="D57" s="5" t="s">
        <v>34</v>
      </c>
      <c r="E57" s="5" t="s">
        <v>41</v>
      </c>
      <c r="F57" s="5">
        <v>17</v>
      </c>
      <c r="G57" s="5">
        <v>46937</v>
      </c>
      <c r="H57" s="5">
        <v>12</v>
      </c>
      <c r="I57" s="6">
        <v>46048</v>
      </c>
      <c r="J57" s="6">
        <v>46056</v>
      </c>
      <c r="K57" s="10" t="s">
        <v>29</v>
      </c>
      <c r="L57" s="17" t="str">
        <f t="shared" si="0"/>
        <v>Eligible</v>
      </c>
    </row>
    <row r="58" spans="1:12" ht="15" thickBot="1" x14ac:dyDescent="0.4">
      <c r="A58" s="5">
        <v>1307</v>
      </c>
      <c r="B58" s="5" t="s">
        <v>57</v>
      </c>
      <c r="C58" s="5" t="s">
        <v>43</v>
      </c>
      <c r="D58" s="5" t="s">
        <v>34</v>
      </c>
      <c r="E58" s="5" t="s">
        <v>35</v>
      </c>
      <c r="F58" s="5">
        <v>18</v>
      </c>
      <c r="G58" s="5">
        <v>7541</v>
      </c>
      <c r="H58" s="5">
        <v>12</v>
      </c>
      <c r="I58" s="6">
        <v>46048</v>
      </c>
      <c r="J58" s="6">
        <v>46051</v>
      </c>
      <c r="K58" s="10" t="s">
        <v>51</v>
      </c>
      <c r="L58" s="17" t="str">
        <f t="shared" si="0"/>
        <v>Eligible</v>
      </c>
    </row>
    <row r="59" spans="1:12" ht="15" thickBot="1" x14ac:dyDescent="0.4">
      <c r="A59" s="5">
        <v>1348</v>
      </c>
      <c r="B59" s="5" t="s">
        <v>11</v>
      </c>
      <c r="C59" s="5" t="s">
        <v>33</v>
      </c>
      <c r="D59" s="5" t="s">
        <v>13</v>
      </c>
      <c r="E59" s="5" t="s">
        <v>50</v>
      </c>
      <c r="F59" s="5">
        <v>12</v>
      </c>
      <c r="G59" s="5">
        <v>244</v>
      </c>
      <c r="H59" s="5">
        <v>7</v>
      </c>
      <c r="I59" s="6">
        <v>46048</v>
      </c>
      <c r="J59" s="6">
        <v>46053</v>
      </c>
      <c r="K59" s="10" t="s">
        <v>15</v>
      </c>
      <c r="L59" s="17" t="str">
        <f t="shared" si="0"/>
        <v>Not Eligible</v>
      </c>
    </row>
    <row r="60" spans="1:12" ht="15" thickBot="1" x14ac:dyDescent="0.4">
      <c r="A60" s="5">
        <v>1092</v>
      </c>
      <c r="B60" s="5" t="s">
        <v>21</v>
      </c>
      <c r="C60" s="5" t="s">
        <v>22</v>
      </c>
      <c r="D60" s="5" t="s">
        <v>34</v>
      </c>
      <c r="E60" s="5" t="s">
        <v>41</v>
      </c>
      <c r="F60" s="5">
        <v>9</v>
      </c>
      <c r="G60" s="5">
        <v>23438</v>
      </c>
      <c r="H60" s="5">
        <v>2</v>
      </c>
      <c r="I60" s="6">
        <v>46049</v>
      </c>
      <c r="J60" s="6">
        <v>46055</v>
      </c>
      <c r="K60" s="10" t="s">
        <v>29</v>
      </c>
      <c r="L60" s="17" t="str">
        <f t="shared" si="0"/>
        <v>Not Eligible</v>
      </c>
    </row>
    <row r="61" spans="1:12" ht="15" thickBot="1" x14ac:dyDescent="0.4">
      <c r="A61" s="5">
        <v>1116</v>
      </c>
      <c r="B61" s="5" t="s">
        <v>16</v>
      </c>
      <c r="C61" s="5" t="s">
        <v>25</v>
      </c>
      <c r="D61" s="5" t="s">
        <v>18</v>
      </c>
      <c r="E61" s="5" t="s">
        <v>56</v>
      </c>
      <c r="F61" s="5">
        <v>2</v>
      </c>
      <c r="G61" s="5">
        <v>12692</v>
      </c>
      <c r="H61" s="5">
        <v>15</v>
      </c>
      <c r="I61" s="6">
        <v>46049</v>
      </c>
      <c r="J61" s="6">
        <v>46051</v>
      </c>
      <c r="K61" s="10" t="s">
        <v>15</v>
      </c>
      <c r="L61" s="17" t="str">
        <f t="shared" si="0"/>
        <v>Not Eligible</v>
      </c>
    </row>
    <row r="62" spans="1:12" ht="15" thickBot="1" x14ac:dyDescent="0.4">
      <c r="A62" s="5">
        <v>1230</v>
      </c>
      <c r="B62" s="5" t="s">
        <v>59</v>
      </c>
      <c r="C62" s="5" t="s">
        <v>33</v>
      </c>
      <c r="D62" s="5" t="s">
        <v>34</v>
      </c>
      <c r="E62" s="5" t="s">
        <v>60</v>
      </c>
      <c r="F62" s="5">
        <v>7</v>
      </c>
      <c r="G62" s="5">
        <v>2932</v>
      </c>
      <c r="H62" s="5">
        <v>7</v>
      </c>
      <c r="I62" s="6">
        <v>46050</v>
      </c>
      <c r="J62" s="6">
        <v>46059</v>
      </c>
      <c r="K62" s="10" t="s">
        <v>24</v>
      </c>
      <c r="L62" s="17" t="str">
        <f t="shared" si="0"/>
        <v>Not Eligible</v>
      </c>
    </row>
    <row r="63" spans="1:12" ht="15" thickBot="1" x14ac:dyDescent="0.4">
      <c r="A63" s="5">
        <v>1173</v>
      </c>
      <c r="B63" s="5" t="s">
        <v>40</v>
      </c>
      <c r="C63" s="5" t="s">
        <v>17</v>
      </c>
      <c r="D63" s="5" t="s">
        <v>13</v>
      </c>
      <c r="E63" s="5" t="s">
        <v>37</v>
      </c>
      <c r="F63" s="5">
        <v>15</v>
      </c>
      <c r="G63" s="5">
        <v>214</v>
      </c>
      <c r="H63" s="5">
        <v>10</v>
      </c>
      <c r="I63" s="6">
        <v>46050</v>
      </c>
      <c r="J63" s="6">
        <v>46060</v>
      </c>
      <c r="K63" s="10" t="s">
        <v>51</v>
      </c>
      <c r="L63" s="17" t="str">
        <f t="shared" si="0"/>
        <v>Not Eligible</v>
      </c>
    </row>
    <row r="64" spans="1:12" ht="15" thickBot="1" x14ac:dyDescent="0.4">
      <c r="A64" s="5">
        <v>1250</v>
      </c>
      <c r="B64" s="5" t="s">
        <v>11</v>
      </c>
      <c r="C64" s="5" t="s">
        <v>17</v>
      </c>
      <c r="D64" s="5" t="s">
        <v>34</v>
      </c>
      <c r="E64" s="5" t="s">
        <v>45</v>
      </c>
      <c r="F64" s="5">
        <v>2</v>
      </c>
      <c r="G64" s="5">
        <v>65953</v>
      </c>
      <c r="H64" s="5">
        <v>7</v>
      </c>
      <c r="I64" s="6">
        <v>46051</v>
      </c>
      <c r="J64" s="6">
        <v>46053</v>
      </c>
      <c r="K64" s="10" t="s">
        <v>29</v>
      </c>
      <c r="L64" s="17" t="str">
        <f t="shared" si="0"/>
        <v>Not Eligible</v>
      </c>
    </row>
    <row r="65" spans="1:12" ht="15" thickBot="1" x14ac:dyDescent="0.4">
      <c r="A65" s="5">
        <v>1375</v>
      </c>
      <c r="B65" s="5" t="s">
        <v>46</v>
      </c>
      <c r="C65" s="5" t="s">
        <v>43</v>
      </c>
      <c r="D65" s="5" t="s">
        <v>34</v>
      </c>
      <c r="E65" s="5" t="s">
        <v>45</v>
      </c>
      <c r="F65" s="5">
        <v>20</v>
      </c>
      <c r="G65" s="5">
        <v>56766</v>
      </c>
      <c r="H65" s="5">
        <v>0</v>
      </c>
      <c r="I65" s="6">
        <v>46052</v>
      </c>
      <c r="J65" s="6">
        <v>46061</v>
      </c>
      <c r="K65" s="10" t="s">
        <v>24</v>
      </c>
      <c r="L65" s="17" t="str">
        <f t="shared" si="0"/>
        <v>Not Eligible</v>
      </c>
    </row>
    <row r="66" spans="1:12" ht="15" thickBot="1" x14ac:dyDescent="0.4">
      <c r="A66" s="5">
        <v>1190</v>
      </c>
      <c r="B66" s="5" t="s">
        <v>57</v>
      </c>
      <c r="C66" s="5" t="s">
        <v>17</v>
      </c>
      <c r="D66" s="5" t="s">
        <v>18</v>
      </c>
      <c r="E66" s="5" t="s">
        <v>28</v>
      </c>
      <c r="F66" s="5">
        <v>4</v>
      </c>
      <c r="G66" s="5">
        <v>10154</v>
      </c>
      <c r="H66" s="5">
        <v>7</v>
      </c>
      <c r="I66" s="6">
        <v>46052</v>
      </c>
      <c r="J66" s="6">
        <v>46062</v>
      </c>
      <c r="K66" s="10" t="s">
        <v>20</v>
      </c>
      <c r="L66" s="17" t="str">
        <f t="shared" si="0"/>
        <v>Not Eligible</v>
      </c>
    </row>
    <row r="67" spans="1:12" ht="15" thickBot="1" x14ac:dyDescent="0.4">
      <c r="A67" s="5">
        <v>1034</v>
      </c>
      <c r="B67" s="5" t="s">
        <v>55</v>
      </c>
      <c r="C67" s="5" t="s">
        <v>33</v>
      </c>
      <c r="D67" s="5" t="s">
        <v>18</v>
      </c>
      <c r="E67" s="5" t="s">
        <v>28</v>
      </c>
      <c r="F67" s="5">
        <v>17</v>
      </c>
      <c r="G67" s="5">
        <v>5104</v>
      </c>
      <c r="H67" s="5">
        <v>12</v>
      </c>
      <c r="I67" s="6">
        <v>46052</v>
      </c>
      <c r="J67" s="6">
        <v>46061</v>
      </c>
      <c r="K67" s="10" t="s">
        <v>51</v>
      </c>
      <c r="L67" s="17" t="str">
        <f t="shared" ref="L67:L130" si="1">IF(AND(D67="Electronics",H67&gt;=10),"Eligible","Not Eligible")</f>
        <v>Not Eligible</v>
      </c>
    </row>
    <row r="68" spans="1:12" ht="15" thickBot="1" x14ac:dyDescent="0.4">
      <c r="A68" s="5">
        <v>1210</v>
      </c>
      <c r="B68" s="5" t="s">
        <v>30</v>
      </c>
      <c r="C68" s="5" t="s">
        <v>31</v>
      </c>
      <c r="D68" s="5" t="s">
        <v>13</v>
      </c>
      <c r="E68" s="5" t="s">
        <v>53</v>
      </c>
      <c r="F68" s="5">
        <v>10</v>
      </c>
      <c r="G68" s="5">
        <v>349</v>
      </c>
      <c r="H68" s="5">
        <v>0</v>
      </c>
      <c r="I68" s="6">
        <v>46052</v>
      </c>
      <c r="J68" s="6">
        <v>46060</v>
      </c>
      <c r="K68" s="10" t="s">
        <v>29</v>
      </c>
      <c r="L68" s="17" t="str">
        <f t="shared" si="1"/>
        <v>Not Eligible</v>
      </c>
    </row>
    <row r="69" spans="1:12" ht="15" thickBot="1" x14ac:dyDescent="0.4">
      <c r="A69" s="5">
        <v>1149</v>
      </c>
      <c r="B69" s="5" t="s">
        <v>26</v>
      </c>
      <c r="C69" s="5" t="s">
        <v>38</v>
      </c>
      <c r="D69" s="5" t="s">
        <v>34</v>
      </c>
      <c r="E69" s="5" t="s">
        <v>35</v>
      </c>
      <c r="F69" s="5">
        <v>10</v>
      </c>
      <c r="G69" s="5">
        <v>22853</v>
      </c>
      <c r="H69" s="5">
        <v>7</v>
      </c>
      <c r="I69" s="6">
        <v>46053</v>
      </c>
      <c r="J69" s="6">
        <v>46054</v>
      </c>
      <c r="K69" s="10" t="s">
        <v>29</v>
      </c>
      <c r="L69" s="17" t="str">
        <f t="shared" si="1"/>
        <v>Not Eligible</v>
      </c>
    </row>
    <row r="70" spans="1:12" ht="15" thickBot="1" x14ac:dyDescent="0.4">
      <c r="A70" s="5">
        <v>1324</v>
      </c>
      <c r="B70" s="5" t="s">
        <v>32</v>
      </c>
      <c r="C70" s="5" t="s">
        <v>22</v>
      </c>
      <c r="D70" s="5" t="s">
        <v>18</v>
      </c>
      <c r="E70" s="5" t="s">
        <v>19</v>
      </c>
      <c r="F70" s="5">
        <v>1</v>
      </c>
      <c r="G70" s="5">
        <v>4286</v>
      </c>
      <c r="H70" s="5">
        <v>15</v>
      </c>
      <c r="I70" s="6">
        <v>46053</v>
      </c>
      <c r="J70" s="6">
        <v>46056</v>
      </c>
      <c r="K70" s="10" t="s">
        <v>20</v>
      </c>
      <c r="L70" s="17" t="str">
        <f t="shared" si="1"/>
        <v>Not Eligible</v>
      </c>
    </row>
    <row r="71" spans="1:12" ht="15" thickBot="1" x14ac:dyDescent="0.4">
      <c r="A71" s="5">
        <v>1096</v>
      </c>
      <c r="B71" s="5" t="s">
        <v>49</v>
      </c>
      <c r="C71" s="5" t="s">
        <v>17</v>
      </c>
      <c r="D71" s="5" t="s">
        <v>18</v>
      </c>
      <c r="E71" s="5" t="s">
        <v>23</v>
      </c>
      <c r="F71" s="5">
        <v>15</v>
      </c>
      <c r="G71" s="5">
        <v>14724</v>
      </c>
      <c r="H71" s="5">
        <v>15</v>
      </c>
      <c r="I71" s="6">
        <v>46054</v>
      </c>
      <c r="J71" s="6">
        <v>46061</v>
      </c>
      <c r="K71" s="10" t="s">
        <v>20</v>
      </c>
      <c r="L71" s="17" t="str">
        <f t="shared" si="1"/>
        <v>Not Eligible</v>
      </c>
    </row>
    <row r="72" spans="1:12" ht="15" thickBot="1" x14ac:dyDescent="0.4">
      <c r="A72" s="5">
        <v>1006</v>
      </c>
      <c r="B72" s="5" t="s">
        <v>27</v>
      </c>
      <c r="C72" s="5" t="s">
        <v>25</v>
      </c>
      <c r="D72" s="5" t="s">
        <v>18</v>
      </c>
      <c r="E72" s="5" t="s">
        <v>28</v>
      </c>
      <c r="F72" s="5">
        <v>3</v>
      </c>
      <c r="G72" s="5">
        <v>2714</v>
      </c>
      <c r="H72" s="5">
        <v>5</v>
      </c>
      <c r="I72" s="6">
        <v>46055</v>
      </c>
      <c r="J72" s="6">
        <v>46062</v>
      </c>
      <c r="K72" s="10" t="s">
        <v>29</v>
      </c>
      <c r="L72" s="17" t="str">
        <f t="shared" si="1"/>
        <v>Not Eligible</v>
      </c>
    </row>
    <row r="73" spans="1:12" ht="15" thickBot="1" x14ac:dyDescent="0.4">
      <c r="A73" s="5">
        <v>1285</v>
      </c>
      <c r="B73" s="5" t="s">
        <v>32</v>
      </c>
      <c r="C73" s="5" t="s">
        <v>38</v>
      </c>
      <c r="D73" s="5" t="s">
        <v>13</v>
      </c>
      <c r="E73" s="5" t="s">
        <v>36</v>
      </c>
      <c r="F73" s="5">
        <v>7</v>
      </c>
      <c r="G73" s="5">
        <v>439</v>
      </c>
      <c r="H73" s="5">
        <v>15</v>
      </c>
      <c r="I73" s="6">
        <v>46055</v>
      </c>
      <c r="J73" s="6">
        <v>46058</v>
      </c>
      <c r="K73" s="10" t="s">
        <v>20</v>
      </c>
      <c r="L73" s="17" t="str">
        <f t="shared" si="1"/>
        <v>Not Eligible</v>
      </c>
    </row>
    <row r="74" spans="1:12" ht="15" thickBot="1" x14ac:dyDescent="0.4">
      <c r="A74" s="5">
        <v>1281</v>
      </c>
      <c r="B74" s="5" t="s">
        <v>55</v>
      </c>
      <c r="C74" s="5" t="s">
        <v>17</v>
      </c>
      <c r="D74" s="5" t="s">
        <v>13</v>
      </c>
      <c r="E74" s="5" t="s">
        <v>50</v>
      </c>
      <c r="F74" s="5">
        <v>6</v>
      </c>
      <c r="G74" s="5">
        <v>253</v>
      </c>
      <c r="H74" s="5">
        <v>0</v>
      </c>
      <c r="I74" s="6">
        <v>46055</v>
      </c>
      <c r="J74" s="6">
        <v>46063</v>
      </c>
      <c r="K74" s="10" t="s">
        <v>24</v>
      </c>
      <c r="L74" s="17" t="str">
        <f t="shared" si="1"/>
        <v>Not Eligible</v>
      </c>
    </row>
    <row r="75" spans="1:12" ht="15" thickBot="1" x14ac:dyDescent="0.4">
      <c r="A75" s="5">
        <v>1136</v>
      </c>
      <c r="B75" s="5" t="s">
        <v>27</v>
      </c>
      <c r="C75" s="5" t="s">
        <v>43</v>
      </c>
      <c r="D75" s="5" t="s">
        <v>18</v>
      </c>
      <c r="E75" s="5" t="s">
        <v>56</v>
      </c>
      <c r="F75" s="5">
        <v>19</v>
      </c>
      <c r="G75" s="5">
        <v>14528</v>
      </c>
      <c r="H75" s="5">
        <v>12</v>
      </c>
      <c r="I75" s="6">
        <v>46056</v>
      </c>
      <c r="J75" s="6">
        <v>46062</v>
      </c>
      <c r="K75" s="10" t="s">
        <v>24</v>
      </c>
      <c r="L75" s="17" t="str">
        <f t="shared" si="1"/>
        <v>Not Eligible</v>
      </c>
    </row>
    <row r="76" spans="1:12" ht="15" thickBot="1" x14ac:dyDescent="0.4">
      <c r="A76" s="5">
        <v>1394</v>
      </c>
      <c r="B76" s="5" t="s">
        <v>54</v>
      </c>
      <c r="C76" s="5" t="s">
        <v>12</v>
      </c>
      <c r="D76" s="5" t="s">
        <v>13</v>
      </c>
      <c r="E76" s="5" t="s">
        <v>14</v>
      </c>
      <c r="F76" s="5">
        <v>10</v>
      </c>
      <c r="G76" s="5">
        <v>138</v>
      </c>
      <c r="H76" s="5">
        <v>2</v>
      </c>
      <c r="I76" s="6">
        <v>46056</v>
      </c>
      <c r="J76" s="6">
        <v>46057</v>
      </c>
      <c r="K76" s="10" t="s">
        <v>15</v>
      </c>
      <c r="L76" s="17" t="str">
        <f t="shared" si="1"/>
        <v>Not Eligible</v>
      </c>
    </row>
    <row r="77" spans="1:12" ht="15" thickBot="1" x14ac:dyDescent="0.4">
      <c r="A77" s="5">
        <v>1105</v>
      </c>
      <c r="B77" s="5" t="s">
        <v>59</v>
      </c>
      <c r="C77" s="5" t="s">
        <v>25</v>
      </c>
      <c r="D77" s="5" t="s">
        <v>13</v>
      </c>
      <c r="E77" s="5" t="s">
        <v>50</v>
      </c>
      <c r="F77" s="5">
        <v>2</v>
      </c>
      <c r="G77" s="5">
        <v>493</v>
      </c>
      <c r="H77" s="5">
        <v>12</v>
      </c>
      <c r="I77" s="6">
        <v>46057</v>
      </c>
      <c r="J77" s="6">
        <v>46066</v>
      </c>
      <c r="K77" s="10" t="s">
        <v>51</v>
      </c>
      <c r="L77" s="17" t="str">
        <f t="shared" si="1"/>
        <v>Not Eligible</v>
      </c>
    </row>
    <row r="78" spans="1:12" ht="15" thickBot="1" x14ac:dyDescent="0.4">
      <c r="A78" s="5">
        <v>1256</v>
      </c>
      <c r="B78" s="5" t="s">
        <v>48</v>
      </c>
      <c r="C78" s="5" t="s">
        <v>31</v>
      </c>
      <c r="D78" s="5" t="s">
        <v>13</v>
      </c>
      <c r="E78" s="5" t="s">
        <v>50</v>
      </c>
      <c r="F78" s="5">
        <v>19</v>
      </c>
      <c r="G78" s="5">
        <v>406</v>
      </c>
      <c r="H78" s="5">
        <v>7</v>
      </c>
      <c r="I78" s="6">
        <v>46057</v>
      </c>
      <c r="J78" s="6">
        <v>46061</v>
      </c>
      <c r="K78" s="10" t="s">
        <v>15</v>
      </c>
      <c r="L78" s="17" t="str">
        <f t="shared" si="1"/>
        <v>Not Eligible</v>
      </c>
    </row>
    <row r="79" spans="1:12" ht="15" thickBot="1" x14ac:dyDescent="0.4">
      <c r="A79" s="5">
        <v>1081</v>
      </c>
      <c r="B79" s="5" t="s">
        <v>47</v>
      </c>
      <c r="C79" s="5" t="s">
        <v>12</v>
      </c>
      <c r="D79" s="5" t="s">
        <v>34</v>
      </c>
      <c r="E79" s="5" t="s">
        <v>35</v>
      </c>
      <c r="F79" s="5">
        <v>15</v>
      </c>
      <c r="G79" s="5">
        <v>59912</v>
      </c>
      <c r="H79" s="5">
        <v>7</v>
      </c>
      <c r="I79" s="6">
        <v>46058</v>
      </c>
      <c r="J79" s="6">
        <v>46060</v>
      </c>
      <c r="K79" s="10" t="s">
        <v>51</v>
      </c>
      <c r="L79" s="17" t="str">
        <f t="shared" si="1"/>
        <v>Not Eligible</v>
      </c>
    </row>
    <row r="80" spans="1:12" ht="15" thickBot="1" x14ac:dyDescent="0.4">
      <c r="A80" s="5">
        <v>1067</v>
      </c>
      <c r="B80" s="5" t="s">
        <v>32</v>
      </c>
      <c r="C80" s="5" t="s">
        <v>43</v>
      </c>
      <c r="D80" s="5" t="s">
        <v>18</v>
      </c>
      <c r="E80" s="5" t="s">
        <v>56</v>
      </c>
      <c r="F80" s="5">
        <v>14</v>
      </c>
      <c r="G80" s="5">
        <v>10869</v>
      </c>
      <c r="H80" s="5">
        <v>0</v>
      </c>
      <c r="I80" s="6">
        <v>46058</v>
      </c>
      <c r="J80" s="6">
        <v>46062</v>
      </c>
      <c r="K80" s="10" t="s">
        <v>29</v>
      </c>
      <c r="L80" s="17" t="str">
        <f t="shared" si="1"/>
        <v>Not Eligible</v>
      </c>
    </row>
    <row r="81" spans="1:12" ht="15" thickBot="1" x14ac:dyDescent="0.4">
      <c r="A81" s="5">
        <v>1099</v>
      </c>
      <c r="B81" s="5" t="s">
        <v>26</v>
      </c>
      <c r="C81" s="5" t="s">
        <v>31</v>
      </c>
      <c r="D81" s="5" t="s">
        <v>18</v>
      </c>
      <c r="E81" s="5" t="s">
        <v>19</v>
      </c>
      <c r="F81" s="5">
        <v>1</v>
      </c>
      <c r="G81" s="5">
        <v>5165</v>
      </c>
      <c r="H81" s="5">
        <v>2</v>
      </c>
      <c r="I81" s="6">
        <v>46058</v>
      </c>
      <c r="J81" s="6">
        <v>46060</v>
      </c>
      <c r="K81" s="10" t="s">
        <v>15</v>
      </c>
      <c r="L81" s="17" t="str">
        <f t="shared" si="1"/>
        <v>Not Eligible</v>
      </c>
    </row>
    <row r="82" spans="1:12" ht="15" thickBot="1" x14ac:dyDescent="0.4">
      <c r="A82" s="5">
        <v>1061</v>
      </c>
      <c r="B82" s="5" t="s">
        <v>57</v>
      </c>
      <c r="C82" s="5" t="s">
        <v>12</v>
      </c>
      <c r="D82" s="5" t="s">
        <v>34</v>
      </c>
      <c r="E82" s="5" t="s">
        <v>41</v>
      </c>
      <c r="F82" s="5">
        <v>16</v>
      </c>
      <c r="G82" s="5">
        <v>59084</v>
      </c>
      <c r="H82" s="5">
        <v>0</v>
      </c>
      <c r="I82" s="6">
        <v>46060</v>
      </c>
      <c r="J82" s="6">
        <v>46069</v>
      </c>
      <c r="K82" s="10" t="s">
        <v>20</v>
      </c>
      <c r="L82" s="17" t="str">
        <f t="shared" si="1"/>
        <v>Not Eligible</v>
      </c>
    </row>
    <row r="83" spans="1:12" ht="15" thickBot="1" x14ac:dyDescent="0.4">
      <c r="A83" s="5">
        <v>1232</v>
      </c>
      <c r="B83" s="5" t="s">
        <v>21</v>
      </c>
      <c r="C83" s="5" t="s">
        <v>12</v>
      </c>
      <c r="D83" s="5" t="s">
        <v>34</v>
      </c>
      <c r="E83" s="5" t="s">
        <v>60</v>
      </c>
      <c r="F83" s="5">
        <v>3</v>
      </c>
      <c r="G83" s="5">
        <v>13272</v>
      </c>
      <c r="H83" s="5">
        <v>2</v>
      </c>
      <c r="I83" s="6">
        <v>46060</v>
      </c>
      <c r="J83" s="6">
        <v>46065</v>
      </c>
      <c r="K83" s="10" t="s">
        <v>15</v>
      </c>
      <c r="L83" s="17" t="str">
        <f t="shared" si="1"/>
        <v>Not Eligible</v>
      </c>
    </row>
    <row r="84" spans="1:12" ht="15" thickBot="1" x14ac:dyDescent="0.4">
      <c r="A84" s="5">
        <v>1104</v>
      </c>
      <c r="B84" s="5" t="s">
        <v>16</v>
      </c>
      <c r="C84" s="5" t="s">
        <v>43</v>
      </c>
      <c r="D84" s="5" t="s">
        <v>18</v>
      </c>
      <c r="E84" s="5" t="s">
        <v>19</v>
      </c>
      <c r="F84" s="5">
        <v>10</v>
      </c>
      <c r="G84" s="5">
        <v>12848</v>
      </c>
      <c r="H84" s="5">
        <v>15</v>
      </c>
      <c r="I84" s="6">
        <v>46060</v>
      </c>
      <c r="J84" s="6">
        <v>46064</v>
      </c>
      <c r="K84" s="10" t="s">
        <v>29</v>
      </c>
      <c r="L84" s="17" t="str">
        <f t="shared" si="1"/>
        <v>Not Eligible</v>
      </c>
    </row>
    <row r="85" spans="1:12" ht="15" thickBot="1" x14ac:dyDescent="0.4">
      <c r="A85" s="5">
        <v>1140</v>
      </c>
      <c r="B85" s="5" t="s">
        <v>57</v>
      </c>
      <c r="C85" s="5" t="s">
        <v>38</v>
      </c>
      <c r="D85" s="5" t="s">
        <v>34</v>
      </c>
      <c r="E85" s="5" t="s">
        <v>41</v>
      </c>
      <c r="F85" s="5">
        <v>5</v>
      </c>
      <c r="G85" s="5">
        <v>68012</v>
      </c>
      <c r="H85" s="5">
        <v>5</v>
      </c>
      <c r="I85" s="6">
        <v>46061</v>
      </c>
      <c r="J85" s="6">
        <v>46065</v>
      </c>
      <c r="K85" s="10" t="s">
        <v>15</v>
      </c>
      <c r="L85" s="17" t="str">
        <f t="shared" si="1"/>
        <v>Not Eligible</v>
      </c>
    </row>
    <row r="86" spans="1:12" ht="15" thickBot="1" x14ac:dyDescent="0.4">
      <c r="A86" s="5">
        <v>1120</v>
      </c>
      <c r="B86" s="5" t="s">
        <v>32</v>
      </c>
      <c r="C86" s="5" t="s">
        <v>38</v>
      </c>
      <c r="D86" s="5" t="s">
        <v>13</v>
      </c>
      <c r="E86" s="5" t="s">
        <v>36</v>
      </c>
      <c r="F86" s="5">
        <v>10</v>
      </c>
      <c r="G86" s="5">
        <v>438</v>
      </c>
      <c r="H86" s="5">
        <v>10</v>
      </c>
      <c r="I86" s="6">
        <v>46061</v>
      </c>
      <c r="J86" s="6">
        <v>46065</v>
      </c>
      <c r="K86" s="10" t="s">
        <v>51</v>
      </c>
      <c r="L86" s="17" t="str">
        <f t="shared" si="1"/>
        <v>Not Eligible</v>
      </c>
    </row>
    <row r="87" spans="1:12" ht="15" thickBot="1" x14ac:dyDescent="0.4">
      <c r="A87" s="5">
        <v>1395</v>
      </c>
      <c r="B87" s="5" t="s">
        <v>54</v>
      </c>
      <c r="C87" s="5" t="s">
        <v>33</v>
      </c>
      <c r="D87" s="5" t="s">
        <v>18</v>
      </c>
      <c r="E87" s="5" t="s">
        <v>44</v>
      </c>
      <c r="F87" s="5">
        <v>18</v>
      </c>
      <c r="G87" s="5">
        <v>10402</v>
      </c>
      <c r="H87" s="5">
        <v>15</v>
      </c>
      <c r="I87" s="6">
        <v>46062</v>
      </c>
      <c r="J87" s="6">
        <v>46067</v>
      </c>
      <c r="K87" s="10" t="s">
        <v>29</v>
      </c>
      <c r="L87" s="17" t="str">
        <f t="shared" si="1"/>
        <v>Not Eligible</v>
      </c>
    </row>
    <row r="88" spans="1:12" ht="15" thickBot="1" x14ac:dyDescent="0.4">
      <c r="A88" s="5">
        <v>1152</v>
      </c>
      <c r="B88" s="5" t="s">
        <v>27</v>
      </c>
      <c r="C88" s="5" t="s">
        <v>31</v>
      </c>
      <c r="D88" s="5" t="s">
        <v>34</v>
      </c>
      <c r="E88" s="5" t="s">
        <v>61</v>
      </c>
      <c r="F88" s="5">
        <v>14</v>
      </c>
      <c r="G88" s="5">
        <v>8150</v>
      </c>
      <c r="H88" s="5">
        <v>10</v>
      </c>
      <c r="I88" s="6">
        <v>46062</v>
      </c>
      <c r="J88" s="6">
        <v>46070</v>
      </c>
      <c r="K88" s="10" t="s">
        <v>15</v>
      </c>
      <c r="L88" s="17" t="str">
        <f t="shared" si="1"/>
        <v>Eligible</v>
      </c>
    </row>
    <row r="89" spans="1:12" ht="15" thickBot="1" x14ac:dyDescent="0.4">
      <c r="A89" s="5">
        <v>1369</v>
      </c>
      <c r="B89" s="5" t="s">
        <v>57</v>
      </c>
      <c r="C89" s="5" t="s">
        <v>25</v>
      </c>
      <c r="D89" s="5" t="s">
        <v>18</v>
      </c>
      <c r="E89" s="5" t="s">
        <v>19</v>
      </c>
      <c r="F89" s="5">
        <v>19</v>
      </c>
      <c r="G89" s="5">
        <v>5840</v>
      </c>
      <c r="H89" s="5">
        <v>5</v>
      </c>
      <c r="I89" s="6">
        <v>46062</v>
      </c>
      <c r="J89" s="6">
        <v>46067</v>
      </c>
      <c r="K89" s="10" t="s">
        <v>15</v>
      </c>
      <c r="L89" s="17" t="str">
        <f t="shared" si="1"/>
        <v>Not Eligible</v>
      </c>
    </row>
    <row r="90" spans="1:12" ht="15" thickBot="1" x14ac:dyDescent="0.4">
      <c r="A90" s="5">
        <v>1010</v>
      </c>
      <c r="B90" s="5" t="s">
        <v>11</v>
      </c>
      <c r="C90" s="5" t="s">
        <v>17</v>
      </c>
      <c r="D90" s="5" t="s">
        <v>13</v>
      </c>
      <c r="E90" s="5" t="s">
        <v>36</v>
      </c>
      <c r="F90" s="5">
        <v>14</v>
      </c>
      <c r="G90" s="5">
        <v>470</v>
      </c>
      <c r="H90" s="5">
        <v>5</v>
      </c>
      <c r="I90" s="6">
        <v>46062</v>
      </c>
      <c r="J90" s="6">
        <v>46068</v>
      </c>
      <c r="K90" s="10" t="s">
        <v>15</v>
      </c>
      <c r="L90" s="17" t="str">
        <f t="shared" si="1"/>
        <v>Not Eligible</v>
      </c>
    </row>
    <row r="91" spans="1:12" ht="15" thickBot="1" x14ac:dyDescent="0.4">
      <c r="A91" s="5">
        <v>1374</v>
      </c>
      <c r="B91" s="5" t="s">
        <v>57</v>
      </c>
      <c r="C91" s="5" t="s">
        <v>33</v>
      </c>
      <c r="D91" s="5" t="s">
        <v>34</v>
      </c>
      <c r="E91" s="5" t="s">
        <v>35</v>
      </c>
      <c r="F91" s="5">
        <v>12</v>
      </c>
      <c r="G91" s="5">
        <v>66052</v>
      </c>
      <c r="H91" s="5">
        <v>2</v>
      </c>
      <c r="I91" s="6">
        <v>46063</v>
      </c>
      <c r="J91" s="6">
        <v>46066</v>
      </c>
      <c r="K91" s="10" t="s">
        <v>51</v>
      </c>
      <c r="L91" s="17" t="str">
        <f t="shared" si="1"/>
        <v>Not Eligible</v>
      </c>
    </row>
    <row r="92" spans="1:12" ht="15" thickBot="1" x14ac:dyDescent="0.4">
      <c r="A92" s="5">
        <v>1296</v>
      </c>
      <c r="B92" s="5" t="s">
        <v>26</v>
      </c>
      <c r="C92" s="5" t="s">
        <v>38</v>
      </c>
      <c r="D92" s="5" t="s">
        <v>13</v>
      </c>
      <c r="E92" s="5" t="s">
        <v>50</v>
      </c>
      <c r="F92" s="5">
        <v>6</v>
      </c>
      <c r="G92" s="5">
        <v>201</v>
      </c>
      <c r="H92" s="5">
        <v>0</v>
      </c>
      <c r="I92" s="6">
        <v>46063</v>
      </c>
      <c r="J92" s="6">
        <v>46072</v>
      </c>
      <c r="K92" s="10" t="s">
        <v>51</v>
      </c>
      <c r="L92" s="17" t="str">
        <f t="shared" si="1"/>
        <v>Not Eligible</v>
      </c>
    </row>
    <row r="93" spans="1:12" ht="15" thickBot="1" x14ac:dyDescent="0.4">
      <c r="A93" s="5">
        <v>1142</v>
      </c>
      <c r="B93" s="5" t="s">
        <v>40</v>
      </c>
      <c r="C93" s="5" t="s">
        <v>25</v>
      </c>
      <c r="D93" s="5" t="s">
        <v>34</v>
      </c>
      <c r="E93" s="5" t="s">
        <v>60</v>
      </c>
      <c r="F93" s="5">
        <v>9</v>
      </c>
      <c r="G93" s="5">
        <v>59788</v>
      </c>
      <c r="H93" s="5">
        <v>7</v>
      </c>
      <c r="I93" s="6">
        <v>46064</v>
      </c>
      <c r="J93" s="6">
        <v>46071</v>
      </c>
      <c r="K93" s="10" t="s">
        <v>29</v>
      </c>
      <c r="L93" s="17" t="str">
        <f t="shared" si="1"/>
        <v>Not Eligible</v>
      </c>
    </row>
    <row r="94" spans="1:12" ht="15" thickBot="1" x14ac:dyDescent="0.4">
      <c r="A94" s="5">
        <v>1053</v>
      </c>
      <c r="B94" s="5" t="s">
        <v>16</v>
      </c>
      <c r="C94" s="5" t="s">
        <v>33</v>
      </c>
      <c r="D94" s="5" t="s">
        <v>18</v>
      </c>
      <c r="E94" s="5" t="s">
        <v>28</v>
      </c>
      <c r="F94" s="5">
        <v>1</v>
      </c>
      <c r="G94" s="5">
        <v>9749</v>
      </c>
      <c r="H94" s="5">
        <v>15</v>
      </c>
      <c r="I94" s="6">
        <v>46064</v>
      </c>
      <c r="J94" s="6">
        <v>46070</v>
      </c>
      <c r="K94" s="10" t="s">
        <v>24</v>
      </c>
      <c r="L94" s="17" t="str">
        <f t="shared" si="1"/>
        <v>Not Eligible</v>
      </c>
    </row>
    <row r="95" spans="1:12" ht="15" thickBot="1" x14ac:dyDescent="0.4">
      <c r="A95" s="5">
        <v>1089</v>
      </c>
      <c r="B95" s="5" t="s">
        <v>46</v>
      </c>
      <c r="C95" s="5" t="s">
        <v>12</v>
      </c>
      <c r="D95" s="5" t="s">
        <v>34</v>
      </c>
      <c r="E95" s="5" t="s">
        <v>35</v>
      </c>
      <c r="F95" s="5">
        <v>10</v>
      </c>
      <c r="G95" s="5">
        <v>17041</v>
      </c>
      <c r="H95" s="5">
        <v>2</v>
      </c>
      <c r="I95" s="6">
        <v>46066</v>
      </c>
      <c r="J95" s="6">
        <v>46071</v>
      </c>
      <c r="K95" s="10" t="s">
        <v>24</v>
      </c>
      <c r="L95" s="17" t="str">
        <f t="shared" si="1"/>
        <v>Not Eligible</v>
      </c>
    </row>
    <row r="96" spans="1:12" ht="15" thickBot="1" x14ac:dyDescent="0.4">
      <c r="A96" s="5">
        <v>1174</v>
      </c>
      <c r="B96" s="5" t="s">
        <v>58</v>
      </c>
      <c r="C96" s="5" t="s">
        <v>38</v>
      </c>
      <c r="D96" s="5" t="s">
        <v>13</v>
      </c>
      <c r="E96" s="5" t="s">
        <v>14</v>
      </c>
      <c r="F96" s="5">
        <v>13</v>
      </c>
      <c r="G96" s="5">
        <v>155</v>
      </c>
      <c r="H96" s="5">
        <v>2</v>
      </c>
      <c r="I96" s="6">
        <v>46066</v>
      </c>
      <c r="J96" s="6">
        <v>46069</v>
      </c>
      <c r="K96" s="10" t="s">
        <v>24</v>
      </c>
      <c r="L96" s="17" t="str">
        <f t="shared" si="1"/>
        <v>Not Eligible</v>
      </c>
    </row>
    <row r="97" spans="1:12" ht="15" thickBot="1" x14ac:dyDescent="0.4">
      <c r="A97" s="5">
        <v>1114</v>
      </c>
      <c r="B97" s="5" t="s">
        <v>16</v>
      </c>
      <c r="C97" s="5" t="s">
        <v>25</v>
      </c>
      <c r="D97" s="5" t="s">
        <v>13</v>
      </c>
      <c r="E97" s="5" t="s">
        <v>50</v>
      </c>
      <c r="F97" s="5">
        <v>13</v>
      </c>
      <c r="G97" s="5">
        <v>32</v>
      </c>
      <c r="H97" s="5">
        <v>15</v>
      </c>
      <c r="I97" s="6">
        <v>46066</v>
      </c>
      <c r="J97" s="6">
        <v>46069</v>
      </c>
      <c r="K97" s="10" t="s">
        <v>15</v>
      </c>
      <c r="L97" s="17" t="str">
        <f t="shared" si="1"/>
        <v>Not Eligible</v>
      </c>
    </row>
    <row r="98" spans="1:12" ht="15" thickBot="1" x14ac:dyDescent="0.4">
      <c r="A98" s="5">
        <v>1057</v>
      </c>
      <c r="B98" s="5" t="s">
        <v>59</v>
      </c>
      <c r="C98" s="5" t="s">
        <v>22</v>
      </c>
      <c r="D98" s="5" t="s">
        <v>18</v>
      </c>
      <c r="E98" s="5" t="s">
        <v>28</v>
      </c>
      <c r="F98" s="5">
        <v>2</v>
      </c>
      <c r="G98" s="5">
        <v>9531</v>
      </c>
      <c r="H98" s="5">
        <v>15</v>
      </c>
      <c r="I98" s="6">
        <v>46067</v>
      </c>
      <c r="J98" s="6">
        <v>46076</v>
      </c>
      <c r="K98" s="10" t="s">
        <v>51</v>
      </c>
      <c r="L98" s="17" t="str">
        <f t="shared" si="1"/>
        <v>Not Eligible</v>
      </c>
    </row>
    <row r="99" spans="1:12" ht="15" thickBot="1" x14ac:dyDescent="0.4">
      <c r="A99" s="5">
        <v>1088</v>
      </c>
      <c r="B99" s="5" t="s">
        <v>40</v>
      </c>
      <c r="C99" s="5" t="s">
        <v>33</v>
      </c>
      <c r="D99" s="5" t="s">
        <v>34</v>
      </c>
      <c r="E99" s="5" t="s">
        <v>41</v>
      </c>
      <c r="F99" s="5">
        <v>20</v>
      </c>
      <c r="G99" s="5">
        <v>41165</v>
      </c>
      <c r="H99" s="5">
        <v>0</v>
      </c>
      <c r="I99" s="6">
        <v>46068</v>
      </c>
      <c r="J99" s="6">
        <v>46069</v>
      </c>
      <c r="K99" s="10" t="s">
        <v>20</v>
      </c>
      <c r="L99" s="17" t="str">
        <f t="shared" si="1"/>
        <v>Not Eligible</v>
      </c>
    </row>
    <row r="100" spans="1:12" ht="15" thickBot="1" x14ac:dyDescent="0.4">
      <c r="A100" s="5">
        <v>1243</v>
      </c>
      <c r="B100" s="5" t="s">
        <v>30</v>
      </c>
      <c r="C100" s="5" t="s">
        <v>31</v>
      </c>
      <c r="D100" s="5" t="s">
        <v>34</v>
      </c>
      <c r="E100" s="5" t="s">
        <v>41</v>
      </c>
      <c r="F100" s="5">
        <v>5</v>
      </c>
      <c r="G100" s="5">
        <v>11570</v>
      </c>
      <c r="H100" s="5">
        <v>15</v>
      </c>
      <c r="I100" s="6">
        <v>46069</v>
      </c>
      <c r="J100" s="6">
        <v>46077</v>
      </c>
      <c r="K100" s="10" t="s">
        <v>24</v>
      </c>
      <c r="L100" s="17" t="str">
        <f t="shared" si="1"/>
        <v>Eligible</v>
      </c>
    </row>
    <row r="101" spans="1:12" ht="15" thickBot="1" x14ac:dyDescent="0.4">
      <c r="A101" s="5">
        <v>1153</v>
      </c>
      <c r="B101" s="5" t="s">
        <v>42</v>
      </c>
      <c r="C101" s="5" t="s">
        <v>25</v>
      </c>
      <c r="D101" s="5" t="s">
        <v>18</v>
      </c>
      <c r="E101" s="5" t="s">
        <v>23</v>
      </c>
      <c r="F101" s="5">
        <v>19</v>
      </c>
      <c r="G101" s="5">
        <v>10273</v>
      </c>
      <c r="H101" s="5">
        <v>12</v>
      </c>
      <c r="I101" s="6">
        <v>46069</v>
      </c>
      <c r="J101" s="6">
        <v>46072</v>
      </c>
      <c r="K101" s="10" t="s">
        <v>29</v>
      </c>
      <c r="L101" s="17" t="str">
        <f t="shared" si="1"/>
        <v>Not Eligible</v>
      </c>
    </row>
    <row r="102" spans="1:12" ht="15" thickBot="1" x14ac:dyDescent="0.4">
      <c r="A102" s="5">
        <v>1365</v>
      </c>
      <c r="B102" s="5" t="s">
        <v>46</v>
      </c>
      <c r="C102" s="5" t="s">
        <v>33</v>
      </c>
      <c r="D102" s="5" t="s">
        <v>13</v>
      </c>
      <c r="E102" s="5" t="s">
        <v>50</v>
      </c>
      <c r="F102" s="5">
        <v>17</v>
      </c>
      <c r="G102" s="5">
        <v>119</v>
      </c>
      <c r="H102" s="5">
        <v>7</v>
      </c>
      <c r="I102" s="6">
        <v>46070</v>
      </c>
      <c r="J102" s="6">
        <v>46072</v>
      </c>
      <c r="K102" s="10" t="s">
        <v>20</v>
      </c>
      <c r="L102" s="17" t="str">
        <f t="shared" si="1"/>
        <v>Not Eligible</v>
      </c>
    </row>
    <row r="103" spans="1:12" ht="15" thickBot="1" x14ac:dyDescent="0.4">
      <c r="A103" s="5">
        <v>1036</v>
      </c>
      <c r="B103" s="5" t="s">
        <v>11</v>
      </c>
      <c r="C103" s="5" t="s">
        <v>25</v>
      </c>
      <c r="D103" s="5" t="s">
        <v>13</v>
      </c>
      <c r="E103" s="5" t="s">
        <v>36</v>
      </c>
      <c r="F103" s="5">
        <v>20</v>
      </c>
      <c r="G103" s="5">
        <v>161</v>
      </c>
      <c r="H103" s="5">
        <v>7</v>
      </c>
      <c r="I103" s="6">
        <v>46071</v>
      </c>
      <c r="J103" s="6">
        <v>46077</v>
      </c>
      <c r="K103" s="10" t="s">
        <v>24</v>
      </c>
      <c r="L103" s="17" t="str">
        <f t="shared" si="1"/>
        <v>Not Eligible</v>
      </c>
    </row>
    <row r="104" spans="1:12" ht="15" thickBot="1" x14ac:dyDescent="0.4">
      <c r="A104" s="5">
        <v>1371</v>
      </c>
      <c r="B104" s="5" t="s">
        <v>48</v>
      </c>
      <c r="C104" s="5" t="s">
        <v>38</v>
      </c>
      <c r="D104" s="5" t="s">
        <v>18</v>
      </c>
      <c r="E104" s="5" t="s">
        <v>19</v>
      </c>
      <c r="F104" s="5">
        <v>19</v>
      </c>
      <c r="G104" s="5">
        <v>1087</v>
      </c>
      <c r="H104" s="5">
        <v>15</v>
      </c>
      <c r="I104" s="6">
        <v>46072</v>
      </c>
      <c r="J104" s="6">
        <v>46082</v>
      </c>
      <c r="K104" s="10" t="s">
        <v>20</v>
      </c>
      <c r="L104" s="17" t="str">
        <f t="shared" si="1"/>
        <v>Not Eligible</v>
      </c>
    </row>
    <row r="105" spans="1:12" ht="15" thickBot="1" x14ac:dyDescent="0.4">
      <c r="A105" s="5">
        <v>1323</v>
      </c>
      <c r="B105" s="5" t="s">
        <v>57</v>
      </c>
      <c r="C105" s="5" t="s">
        <v>38</v>
      </c>
      <c r="D105" s="5" t="s">
        <v>34</v>
      </c>
      <c r="E105" s="5" t="s">
        <v>61</v>
      </c>
      <c r="F105" s="5">
        <v>2</v>
      </c>
      <c r="G105" s="5">
        <v>32074</v>
      </c>
      <c r="H105" s="5">
        <v>10</v>
      </c>
      <c r="I105" s="6">
        <v>46073</v>
      </c>
      <c r="J105" s="6">
        <v>46078</v>
      </c>
      <c r="K105" s="10" t="s">
        <v>15</v>
      </c>
      <c r="L105" s="17" t="str">
        <f t="shared" si="1"/>
        <v>Eligible</v>
      </c>
    </row>
    <row r="106" spans="1:12" ht="15" thickBot="1" x14ac:dyDescent="0.4">
      <c r="A106" s="5">
        <v>1253</v>
      </c>
      <c r="B106" s="5" t="s">
        <v>21</v>
      </c>
      <c r="C106" s="5" t="s">
        <v>31</v>
      </c>
      <c r="D106" s="5" t="s">
        <v>34</v>
      </c>
      <c r="E106" s="5" t="s">
        <v>45</v>
      </c>
      <c r="F106" s="5">
        <v>20</v>
      </c>
      <c r="G106" s="5">
        <v>47880</v>
      </c>
      <c r="H106" s="5">
        <v>7</v>
      </c>
      <c r="I106" s="6">
        <v>46074</v>
      </c>
      <c r="J106" s="6">
        <v>46075</v>
      </c>
      <c r="K106" s="10" t="s">
        <v>29</v>
      </c>
      <c r="L106" s="17" t="str">
        <f t="shared" si="1"/>
        <v>Not Eligible</v>
      </c>
    </row>
    <row r="107" spans="1:12" ht="15" thickBot="1" x14ac:dyDescent="0.4">
      <c r="A107" s="5">
        <v>1384</v>
      </c>
      <c r="B107" s="5" t="s">
        <v>59</v>
      </c>
      <c r="C107" s="5" t="s">
        <v>12</v>
      </c>
      <c r="D107" s="5" t="s">
        <v>34</v>
      </c>
      <c r="E107" s="5" t="s">
        <v>39</v>
      </c>
      <c r="F107" s="5">
        <v>15</v>
      </c>
      <c r="G107" s="5">
        <v>38116</v>
      </c>
      <c r="H107" s="5">
        <v>0</v>
      </c>
      <c r="I107" s="6">
        <v>46074</v>
      </c>
      <c r="J107" s="6">
        <v>46078</v>
      </c>
      <c r="K107" s="10" t="s">
        <v>29</v>
      </c>
      <c r="L107" s="17" t="str">
        <f t="shared" si="1"/>
        <v>Not Eligible</v>
      </c>
    </row>
    <row r="108" spans="1:12" ht="15" thickBot="1" x14ac:dyDescent="0.4">
      <c r="A108" s="5">
        <v>1378</v>
      </c>
      <c r="B108" s="5" t="s">
        <v>55</v>
      </c>
      <c r="C108" s="5" t="s">
        <v>22</v>
      </c>
      <c r="D108" s="5" t="s">
        <v>34</v>
      </c>
      <c r="E108" s="5" t="s">
        <v>45</v>
      </c>
      <c r="F108" s="5">
        <v>15</v>
      </c>
      <c r="G108" s="5">
        <v>22693</v>
      </c>
      <c r="H108" s="5">
        <v>12</v>
      </c>
      <c r="I108" s="6">
        <v>46074</v>
      </c>
      <c r="J108" s="6">
        <v>46080</v>
      </c>
      <c r="K108" s="10" t="s">
        <v>51</v>
      </c>
      <c r="L108" s="17" t="str">
        <f t="shared" si="1"/>
        <v>Eligible</v>
      </c>
    </row>
    <row r="109" spans="1:12" ht="15" thickBot="1" x14ac:dyDescent="0.4">
      <c r="A109" s="5">
        <v>1058</v>
      </c>
      <c r="B109" s="5" t="s">
        <v>52</v>
      </c>
      <c r="C109" s="5" t="s">
        <v>38</v>
      </c>
      <c r="D109" s="5" t="s">
        <v>18</v>
      </c>
      <c r="E109" s="5" t="s">
        <v>28</v>
      </c>
      <c r="F109" s="5">
        <v>10</v>
      </c>
      <c r="G109" s="5">
        <v>5532</v>
      </c>
      <c r="H109" s="5">
        <v>7</v>
      </c>
      <c r="I109" s="6">
        <v>46074</v>
      </c>
      <c r="J109" s="6">
        <v>46084</v>
      </c>
      <c r="K109" s="10" t="s">
        <v>24</v>
      </c>
      <c r="L109" s="17" t="str">
        <f t="shared" si="1"/>
        <v>Not Eligible</v>
      </c>
    </row>
    <row r="110" spans="1:12" ht="15" thickBot="1" x14ac:dyDescent="0.4">
      <c r="A110" s="5">
        <v>1337</v>
      </c>
      <c r="B110" s="5" t="s">
        <v>16</v>
      </c>
      <c r="C110" s="5" t="s">
        <v>12</v>
      </c>
      <c r="D110" s="5" t="s">
        <v>13</v>
      </c>
      <c r="E110" s="5" t="s">
        <v>53</v>
      </c>
      <c r="F110" s="5">
        <v>14</v>
      </c>
      <c r="G110" s="5">
        <v>373</v>
      </c>
      <c r="H110" s="5">
        <v>10</v>
      </c>
      <c r="I110" s="6">
        <v>46074</v>
      </c>
      <c r="J110" s="6">
        <v>46080</v>
      </c>
      <c r="K110" s="10" t="s">
        <v>29</v>
      </c>
      <c r="L110" s="17" t="str">
        <f t="shared" si="1"/>
        <v>Not Eligible</v>
      </c>
    </row>
    <row r="111" spans="1:12" ht="15" thickBot="1" x14ac:dyDescent="0.4">
      <c r="A111" s="5">
        <v>1201</v>
      </c>
      <c r="B111" s="5" t="s">
        <v>54</v>
      </c>
      <c r="C111" s="5" t="s">
        <v>31</v>
      </c>
      <c r="D111" s="5" t="s">
        <v>13</v>
      </c>
      <c r="E111" s="5" t="s">
        <v>53</v>
      </c>
      <c r="F111" s="5">
        <v>18</v>
      </c>
      <c r="G111" s="5">
        <v>139</v>
      </c>
      <c r="H111" s="5">
        <v>12</v>
      </c>
      <c r="I111" s="6">
        <v>46075</v>
      </c>
      <c r="J111" s="6">
        <v>46076</v>
      </c>
      <c r="K111" s="10" t="s">
        <v>20</v>
      </c>
      <c r="L111" s="17" t="str">
        <f t="shared" si="1"/>
        <v>Not Eligible</v>
      </c>
    </row>
    <row r="112" spans="1:12" ht="15" thickBot="1" x14ac:dyDescent="0.4">
      <c r="A112" s="5">
        <v>1082</v>
      </c>
      <c r="B112" s="5" t="s">
        <v>21</v>
      </c>
      <c r="C112" s="5" t="s">
        <v>12</v>
      </c>
      <c r="D112" s="5" t="s">
        <v>13</v>
      </c>
      <c r="E112" s="5" t="s">
        <v>14</v>
      </c>
      <c r="F112" s="5">
        <v>7</v>
      </c>
      <c r="G112" s="5">
        <v>133</v>
      </c>
      <c r="H112" s="5">
        <v>10</v>
      </c>
      <c r="I112" s="6">
        <v>46075</v>
      </c>
      <c r="J112" s="6">
        <v>46085</v>
      </c>
      <c r="K112" s="10" t="s">
        <v>51</v>
      </c>
      <c r="L112" s="17" t="str">
        <f t="shared" si="1"/>
        <v>Not Eligible</v>
      </c>
    </row>
    <row r="113" spans="1:12" ht="15" thickBot="1" x14ac:dyDescent="0.4">
      <c r="A113" s="5">
        <v>1325</v>
      </c>
      <c r="B113" s="5" t="s">
        <v>48</v>
      </c>
      <c r="C113" s="5" t="s">
        <v>43</v>
      </c>
      <c r="D113" s="5" t="s">
        <v>34</v>
      </c>
      <c r="E113" s="5" t="s">
        <v>39</v>
      </c>
      <c r="F113" s="5">
        <v>9</v>
      </c>
      <c r="G113" s="5">
        <v>58442</v>
      </c>
      <c r="H113" s="5">
        <v>12</v>
      </c>
      <c r="I113" s="6">
        <v>46076</v>
      </c>
      <c r="J113" s="6">
        <v>46085</v>
      </c>
      <c r="K113" s="10" t="s">
        <v>20</v>
      </c>
      <c r="L113" s="17" t="str">
        <f t="shared" si="1"/>
        <v>Eligible</v>
      </c>
    </row>
    <row r="114" spans="1:12" ht="15" thickBot="1" x14ac:dyDescent="0.4">
      <c r="A114" s="5">
        <v>1107</v>
      </c>
      <c r="B114" s="5" t="s">
        <v>52</v>
      </c>
      <c r="C114" s="5" t="s">
        <v>17</v>
      </c>
      <c r="D114" s="5" t="s">
        <v>34</v>
      </c>
      <c r="E114" s="5" t="s">
        <v>60</v>
      </c>
      <c r="F114" s="5">
        <v>4</v>
      </c>
      <c r="G114" s="5">
        <v>14291</v>
      </c>
      <c r="H114" s="5">
        <v>2</v>
      </c>
      <c r="I114" s="6">
        <v>46076</v>
      </c>
      <c r="J114" s="6">
        <v>46078</v>
      </c>
      <c r="K114" s="10" t="s">
        <v>15</v>
      </c>
      <c r="L114" s="17" t="str">
        <f t="shared" si="1"/>
        <v>Not Eligible</v>
      </c>
    </row>
    <row r="115" spans="1:12" ht="15" thickBot="1" x14ac:dyDescent="0.4">
      <c r="A115" s="5">
        <v>1390</v>
      </c>
      <c r="B115" s="5" t="s">
        <v>58</v>
      </c>
      <c r="C115" s="5" t="s">
        <v>43</v>
      </c>
      <c r="D115" s="5" t="s">
        <v>18</v>
      </c>
      <c r="E115" s="5" t="s">
        <v>19</v>
      </c>
      <c r="F115" s="5">
        <v>9</v>
      </c>
      <c r="G115" s="5">
        <v>7670</v>
      </c>
      <c r="H115" s="5">
        <v>0</v>
      </c>
      <c r="I115" s="6">
        <v>46076</v>
      </c>
      <c r="J115" s="6">
        <v>46081</v>
      </c>
      <c r="K115" s="10" t="s">
        <v>51</v>
      </c>
      <c r="L115" s="17" t="str">
        <f t="shared" si="1"/>
        <v>Not Eligible</v>
      </c>
    </row>
    <row r="116" spans="1:12" ht="15" thickBot="1" x14ac:dyDescent="0.4">
      <c r="A116" s="5">
        <v>1113</v>
      </c>
      <c r="B116" s="5" t="s">
        <v>26</v>
      </c>
      <c r="C116" s="5" t="s">
        <v>43</v>
      </c>
      <c r="D116" s="5" t="s">
        <v>18</v>
      </c>
      <c r="E116" s="5" t="s">
        <v>56</v>
      </c>
      <c r="F116" s="5">
        <v>13</v>
      </c>
      <c r="G116" s="5">
        <v>6719</v>
      </c>
      <c r="H116" s="5">
        <v>15</v>
      </c>
      <c r="I116" s="6">
        <v>46076</v>
      </c>
      <c r="J116" s="6">
        <v>46081</v>
      </c>
      <c r="K116" s="10" t="s">
        <v>24</v>
      </c>
      <c r="L116" s="17" t="str">
        <f t="shared" si="1"/>
        <v>Not Eligible</v>
      </c>
    </row>
    <row r="117" spans="1:12" ht="15" thickBot="1" x14ac:dyDescent="0.4">
      <c r="A117" s="5">
        <v>1070</v>
      </c>
      <c r="B117" s="5" t="s">
        <v>52</v>
      </c>
      <c r="C117" s="5" t="s">
        <v>43</v>
      </c>
      <c r="D117" s="5" t="s">
        <v>13</v>
      </c>
      <c r="E117" s="5" t="s">
        <v>36</v>
      </c>
      <c r="F117" s="5">
        <v>10</v>
      </c>
      <c r="G117" s="5">
        <v>233</v>
      </c>
      <c r="H117" s="5">
        <v>7</v>
      </c>
      <c r="I117" s="6">
        <v>46076</v>
      </c>
      <c r="J117" s="6">
        <v>46077</v>
      </c>
      <c r="K117" s="10" t="s">
        <v>29</v>
      </c>
      <c r="L117" s="17" t="str">
        <f t="shared" si="1"/>
        <v>Not Eligible</v>
      </c>
    </row>
    <row r="118" spans="1:12" ht="15" thickBot="1" x14ac:dyDescent="0.4">
      <c r="A118" s="5">
        <v>1157</v>
      </c>
      <c r="B118" s="5" t="s">
        <v>52</v>
      </c>
      <c r="C118" s="5" t="s">
        <v>33</v>
      </c>
      <c r="D118" s="5" t="s">
        <v>13</v>
      </c>
      <c r="E118" s="5" t="s">
        <v>50</v>
      </c>
      <c r="F118" s="5">
        <v>3</v>
      </c>
      <c r="G118" s="5">
        <v>203</v>
      </c>
      <c r="H118" s="5">
        <v>15</v>
      </c>
      <c r="I118" s="6">
        <v>46076</v>
      </c>
      <c r="J118" s="6">
        <v>46080</v>
      </c>
      <c r="K118" s="10" t="s">
        <v>29</v>
      </c>
      <c r="L118" s="17" t="str">
        <f t="shared" si="1"/>
        <v>Not Eligible</v>
      </c>
    </row>
    <row r="119" spans="1:12" ht="15" thickBot="1" x14ac:dyDescent="0.4">
      <c r="A119" s="5">
        <v>1110</v>
      </c>
      <c r="B119" s="5" t="s">
        <v>49</v>
      </c>
      <c r="C119" s="5" t="s">
        <v>38</v>
      </c>
      <c r="D119" s="5" t="s">
        <v>18</v>
      </c>
      <c r="E119" s="5" t="s">
        <v>23</v>
      </c>
      <c r="F119" s="5">
        <v>14</v>
      </c>
      <c r="G119" s="5">
        <v>6793</v>
      </c>
      <c r="H119" s="5">
        <v>7</v>
      </c>
      <c r="I119" s="6">
        <v>46077</v>
      </c>
      <c r="J119" s="6">
        <v>46082</v>
      </c>
      <c r="K119" s="10" t="s">
        <v>29</v>
      </c>
      <c r="L119" s="17" t="str">
        <f t="shared" si="1"/>
        <v>Not Eligible</v>
      </c>
    </row>
    <row r="120" spans="1:12" ht="15" thickBot="1" x14ac:dyDescent="0.4">
      <c r="A120" s="5">
        <v>1223</v>
      </c>
      <c r="B120" s="5" t="s">
        <v>59</v>
      </c>
      <c r="C120" s="5" t="s">
        <v>17</v>
      </c>
      <c r="D120" s="5" t="s">
        <v>18</v>
      </c>
      <c r="E120" s="5" t="s">
        <v>23</v>
      </c>
      <c r="F120" s="5">
        <v>4</v>
      </c>
      <c r="G120" s="5">
        <v>2249</v>
      </c>
      <c r="H120" s="5">
        <v>7</v>
      </c>
      <c r="I120" s="6">
        <v>46077</v>
      </c>
      <c r="J120" s="6">
        <v>46084</v>
      </c>
      <c r="K120" s="10" t="s">
        <v>15</v>
      </c>
      <c r="L120" s="17" t="str">
        <f t="shared" si="1"/>
        <v>Not Eligible</v>
      </c>
    </row>
    <row r="121" spans="1:12" ht="15" thickBot="1" x14ac:dyDescent="0.4">
      <c r="A121" s="5">
        <v>1055</v>
      </c>
      <c r="B121" s="5" t="s">
        <v>48</v>
      </c>
      <c r="C121" s="5" t="s">
        <v>12</v>
      </c>
      <c r="D121" s="5" t="s">
        <v>13</v>
      </c>
      <c r="E121" s="5" t="s">
        <v>37</v>
      </c>
      <c r="F121" s="5">
        <v>18</v>
      </c>
      <c r="G121" s="5">
        <v>185</v>
      </c>
      <c r="H121" s="5">
        <v>15</v>
      </c>
      <c r="I121" s="6">
        <v>46077</v>
      </c>
      <c r="J121" s="6">
        <v>46078</v>
      </c>
      <c r="K121" s="10" t="s">
        <v>15</v>
      </c>
      <c r="L121" s="17" t="str">
        <f t="shared" si="1"/>
        <v>Not Eligible</v>
      </c>
    </row>
    <row r="122" spans="1:12" ht="15" thickBot="1" x14ac:dyDescent="0.4">
      <c r="A122" s="5">
        <v>1272</v>
      </c>
      <c r="B122" s="5" t="s">
        <v>52</v>
      </c>
      <c r="C122" s="5" t="s">
        <v>38</v>
      </c>
      <c r="D122" s="5" t="s">
        <v>34</v>
      </c>
      <c r="E122" s="5" t="s">
        <v>41</v>
      </c>
      <c r="F122" s="5">
        <v>13</v>
      </c>
      <c r="G122" s="5">
        <v>42179</v>
      </c>
      <c r="H122" s="5">
        <v>0</v>
      </c>
      <c r="I122" s="6">
        <v>46078</v>
      </c>
      <c r="J122" s="6">
        <v>46084</v>
      </c>
      <c r="K122" s="10" t="s">
        <v>20</v>
      </c>
      <c r="L122" s="17" t="str">
        <f t="shared" si="1"/>
        <v>Not Eligible</v>
      </c>
    </row>
    <row r="123" spans="1:12" ht="15" thickBot="1" x14ac:dyDescent="0.4">
      <c r="A123" s="5">
        <v>1316</v>
      </c>
      <c r="B123" s="5" t="s">
        <v>46</v>
      </c>
      <c r="C123" s="5" t="s">
        <v>12</v>
      </c>
      <c r="D123" s="5" t="s">
        <v>18</v>
      </c>
      <c r="E123" s="5" t="s">
        <v>28</v>
      </c>
      <c r="F123" s="5">
        <v>7</v>
      </c>
      <c r="G123" s="5">
        <v>9838</v>
      </c>
      <c r="H123" s="5">
        <v>7</v>
      </c>
      <c r="I123" s="6">
        <v>46078</v>
      </c>
      <c r="J123" s="6">
        <v>46085</v>
      </c>
      <c r="K123" s="10" t="s">
        <v>20</v>
      </c>
      <c r="L123" s="17" t="str">
        <f t="shared" si="1"/>
        <v>Not Eligible</v>
      </c>
    </row>
    <row r="124" spans="1:12" ht="15" thickBot="1" x14ac:dyDescent="0.4">
      <c r="A124" s="5">
        <v>1020</v>
      </c>
      <c r="B124" s="5" t="s">
        <v>46</v>
      </c>
      <c r="C124" s="5" t="s">
        <v>12</v>
      </c>
      <c r="D124" s="5" t="s">
        <v>18</v>
      </c>
      <c r="E124" s="5" t="s">
        <v>19</v>
      </c>
      <c r="F124" s="5">
        <v>5</v>
      </c>
      <c r="G124" s="5">
        <v>4582</v>
      </c>
      <c r="H124" s="5">
        <v>5</v>
      </c>
      <c r="I124" s="6">
        <v>46078</v>
      </c>
      <c r="J124" s="6">
        <v>46083</v>
      </c>
      <c r="K124" s="10" t="s">
        <v>15</v>
      </c>
      <c r="L124" s="17" t="str">
        <f t="shared" si="1"/>
        <v>Not Eligible</v>
      </c>
    </row>
    <row r="125" spans="1:12" ht="15" thickBot="1" x14ac:dyDescent="0.4">
      <c r="A125" s="5">
        <v>1349</v>
      </c>
      <c r="B125" s="5" t="s">
        <v>40</v>
      </c>
      <c r="C125" s="5" t="s">
        <v>33</v>
      </c>
      <c r="D125" s="5" t="s">
        <v>34</v>
      </c>
      <c r="E125" s="5" t="s">
        <v>35</v>
      </c>
      <c r="F125" s="5">
        <v>20</v>
      </c>
      <c r="G125" s="5">
        <v>62721</v>
      </c>
      <c r="H125" s="5">
        <v>7</v>
      </c>
      <c r="I125" s="6">
        <v>46079</v>
      </c>
      <c r="J125" s="6">
        <v>46083</v>
      </c>
      <c r="K125" s="10" t="s">
        <v>20</v>
      </c>
      <c r="L125" s="17" t="str">
        <f t="shared" si="1"/>
        <v>Not Eligible</v>
      </c>
    </row>
    <row r="126" spans="1:12" ht="15" thickBot="1" x14ac:dyDescent="0.4">
      <c r="A126" s="5">
        <v>1158</v>
      </c>
      <c r="B126" s="5" t="s">
        <v>26</v>
      </c>
      <c r="C126" s="5" t="s">
        <v>38</v>
      </c>
      <c r="D126" s="5" t="s">
        <v>34</v>
      </c>
      <c r="E126" s="5" t="s">
        <v>41</v>
      </c>
      <c r="F126" s="5">
        <v>13</v>
      </c>
      <c r="G126" s="5">
        <v>12518</v>
      </c>
      <c r="H126" s="5">
        <v>2</v>
      </c>
      <c r="I126" s="6">
        <v>46079</v>
      </c>
      <c r="J126" s="6">
        <v>46082</v>
      </c>
      <c r="K126" s="10" t="s">
        <v>51</v>
      </c>
      <c r="L126" s="17" t="str">
        <f t="shared" si="1"/>
        <v>Not Eligible</v>
      </c>
    </row>
    <row r="127" spans="1:12" ht="15" thickBot="1" x14ac:dyDescent="0.4">
      <c r="A127" s="5">
        <v>1163</v>
      </c>
      <c r="B127" s="5" t="s">
        <v>29</v>
      </c>
      <c r="C127" s="5" t="s">
        <v>38</v>
      </c>
      <c r="D127" s="5" t="s">
        <v>34</v>
      </c>
      <c r="E127" s="5" t="s">
        <v>39</v>
      </c>
      <c r="F127" s="5">
        <v>9</v>
      </c>
      <c r="G127" s="5">
        <v>62440</v>
      </c>
      <c r="H127" s="5">
        <v>2</v>
      </c>
      <c r="I127" s="6">
        <v>46081</v>
      </c>
      <c r="J127" s="6">
        <v>46086</v>
      </c>
      <c r="K127" s="10" t="s">
        <v>29</v>
      </c>
      <c r="L127" s="17" t="str">
        <f t="shared" si="1"/>
        <v>Not Eligible</v>
      </c>
    </row>
    <row r="128" spans="1:12" ht="15" thickBot="1" x14ac:dyDescent="0.4">
      <c r="A128" s="5">
        <v>1042</v>
      </c>
      <c r="B128" s="5" t="s">
        <v>46</v>
      </c>
      <c r="C128" s="5" t="s">
        <v>33</v>
      </c>
      <c r="D128" s="5" t="s">
        <v>13</v>
      </c>
      <c r="E128" s="5" t="s">
        <v>53</v>
      </c>
      <c r="F128" s="5">
        <v>16</v>
      </c>
      <c r="G128" s="5">
        <v>232</v>
      </c>
      <c r="H128" s="5">
        <v>0</v>
      </c>
      <c r="I128" s="6">
        <v>46081</v>
      </c>
      <c r="J128" s="6">
        <v>46088</v>
      </c>
      <c r="K128" s="10" t="s">
        <v>29</v>
      </c>
      <c r="L128" s="17" t="str">
        <f t="shared" si="1"/>
        <v>Not Eligible</v>
      </c>
    </row>
    <row r="129" spans="1:12" ht="15" thickBot="1" x14ac:dyDescent="0.4">
      <c r="A129" s="5">
        <v>1001</v>
      </c>
      <c r="B129" s="5" t="s">
        <v>11</v>
      </c>
      <c r="C129" s="5" t="s">
        <v>12</v>
      </c>
      <c r="D129" s="5" t="s">
        <v>13</v>
      </c>
      <c r="E129" s="5" t="s">
        <v>14</v>
      </c>
      <c r="F129" s="5">
        <v>3</v>
      </c>
      <c r="G129" s="5">
        <v>222</v>
      </c>
      <c r="H129" s="5">
        <v>15</v>
      </c>
      <c r="I129" s="6">
        <v>46081</v>
      </c>
      <c r="J129" s="6">
        <v>46083</v>
      </c>
      <c r="K129" s="10" t="s">
        <v>15</v>
      </c>
      <c r="L129" s="17" t="str">
        <f t="shared" si="1"/>
        <v>Not Eligible</v>
      </c>
    </row>
    <row r="130" spans="1:12" ht="15" thickBot="1" x14ac:dyDescent="0.4">
      <c r="A130" s="5">
        <v>1202</v>
      </c>
      <c r="B130" s="5" t="s">
        <v>57</v>
      </c>
      <c r="C130" s="5" t="s">
        <v>22</v>
      </c>
      <c r="D130" s="5" t="s">
        <v>34</v>
      </c>
      <c r="E130" s="5" t="s">
        <v>35</v>
      </c>
      <c r="F130" s="5">
        <v>2</v>
      </c>
      <c r="G130" s="5">
        <v>20312</v>
      </c>
      <c r="H130" s="5">
        <v>12</v>
      </c>
      <c r="I130" s="6">
        <v>46082</v>
      </c>
      <c r="J130" s="6">
        <v>46091</v>
      </c>
      <c r="K130" s="10" t="s">
        <v>15</v>
      </c>
      <c r="L130" s="17" t="str">
        <f t="shared" si="1"/>
        <v>Eligible</v>
      </c>
    </row>
    <row r="131" spans="1:12" ht="15" thickBot="1" x14ac:dyDescent="0.4">
      <c r="A131" s="5">
        <v>1066</v>
      </c>
      <c r="B131" s="5" t="s">
        <v>47</v>
      </c>
      <c r="C131" s="5" t="s">
        <v>25</v>
      </c>
      <c r="D131" s="5" t="s">
        <v>18</v>
      </c>
      <c r="E131" s="5" t="s">
        <v>44</v>
      </c>
      <c r="F131" s="5">
        <v>15</v>
      </c>
      <c r="G131" s="5">
        <v>11987</v>
      </c>
      <c r="H131" s="5">
        <v>5</v>
      </c>
      <c r="I131" s="6">
        <v>46082</v>
      </c>
      <c r="J131" s="6">
        <v>46083</v>
      </c>
      <c r="K131" s="10" t="s">
        <v>15</v>
      </c>
      <c r="L131" s="17" t="str">
        <f t="shared" ref="L131:L194" si="2">IF(AND(D131="Electronics",H131&gt;=10),"Eligible","Not Eligible")</f>
        <v>Not Eligible</v>
      </c>
    </row>
    <row r="132" spans="1:12" ht="15" thickBot="1" x14ac:dyDescent="0.4">
      <c r="A132" s="5">
        <v>1033</v>
      </c>
      <c r="B132" s="5" t="s">
        <v>11</v>
      </c>
      <c r="C132" s="5" t="s">
        <v>43</v>
      </c>
      <c r="D132" s="5" t="s">
        <v>18</v>
      </c>
      <c r="E132" s="5" t="s">
        <v>19</v>
      </c>
      <c r="F132" s="5">
        <v>9</v>
      </c>
      <c r="G132" s="5">
        <v>4895</v>
      </c>
      <c r="H132" s="5">
        <v>2</v>
      </c>
      <c r="I132" s="6">
        <v>46082</v>
      </c>
      <c r="J132" s="6">
        <v>46084</v>
      </c>
      <c r="K132" s="10" t="s">
        <v>29</v>
      </c>
      <c r="L132" s="17" t="str">
        <f t="shared" si="2"/>
        <v>Not Eligible</v>
      </c>
    </row>
    <row r="133" spans="1:12" ht="15" thickBot="1" x14ac:dyDescent="0.4">
      <c r="A133" s="5">
        <v>1284</v>
      </c>
      <c r="B133" s="5" t="s">
        <v>40</v>
      </c>
      <c r="C133" s="5" t="s">
        <v>25</v>
      </c>
      <c r="D133" s="5" t="s">
        <v>13</v>
      </c>
      <c r="E133" s="5" t="s">
        <v>37</v>
      </c>
      <c r="F133" s="5">
        <v>16</v>
      </c>
      <c r="G133" s="5">
        <v>419</v>
      </c>
      <c r="H133" s="5">
        <v>2</v>
      </c>
      <c r="I133" s="6">
        <v>46082</v>
      </c>
      <c r="J133" s="6">
        <v>46090</v>
      </c>
      <c r="K133" s="10" t="s">
        <v>15</v>
      </c>
      <c r="L133" s="17" t="str">
        <f t="shared" si="2"/>
        <v>Not Eligible</v>
      </c>
    </row>
    <row r="134" spans="1:12" ht="15" thickBot="1" x14ac:dyDescent="0.4">
      <c r="A134" s="5">
        <v>1017</v>
      </c>
      <c r="B134" s="5" t="s">
        <v>46</v>
      </c>
      <c r="C134" s="5" t="s">
        <v>38</v>
      </c>
      <c r="D134" s="5" t="s">
        <v>13</v>
      </c>
      <c r="E134" s="5" t="s">
        <v>36</v>
      </c>
      <c r="F134" s="5">
        <v>8</v>
      </c>
      <c r="G134" s="5">
        <v>179</v>
      </c>
      <c r="H134" s="5">
        <v>15</v>
      </c>
      <c r="I134" s="6">
        <v>46082</v>
      </c>
      <c r="J134" s="6">
        <v>46084</v>
      </c>
      <c r="K134" s="10" t="s">
        <v>15</v>
      </c>
      <c r="L134" s="17" t="str">
        <f t="shared" si="2"/>
        <v>Not Eligible</v>
      </c>
    </row>
    <row r="135" spans="1:12" ht="15" thickBot="1" x14ac:dyDescent="0.4">
      <c r="A135" s="5">
        <v>1271</v>
      </c>
      <c r="B135" s="5" t="s">
        <v>40</v>
      </c>
      <c r="C135" s="5" t="s">
        <v>33</v>
      </c>
      <c r="D135" s="5" t="s">
        <v>34</v>
      </c>
      <c r="E135" s="5" t="s">
        <v>60</v>
      </c>
      <c r="F135" s="5">
        <v>20</v>
      </c>
      <c r="G135" s="5">
        <v>36941</v>
      </c>
      <c r="H135" s="5">
        <v>15</v>
      </c>
      <c r="I135" s="6">
        <v>46083</v>
      </c>
      <c r="J135" s="6">
        <v>46085</v>
      </c>
      <c r="K135" s="10" t="s">
        <v>29</v>
      </c>
      <c r="L135" s="17" t="str">
        <f t="shared" si="2"/>
        <v>Eligible</v>
      </c>
    </row>
    <row r="136" spans="1:12" ht="15" thickBot="1" x14ac:dyDescent="0.4">
      <c r="A136" s="5">
        <v>1298</v>
      </c>
      <c r="B136" s="5" t="s">
        <v>21</v>
      </c>
      <c r="C136" s="5" t="s">
        <v>12</v>
      </c>
      <c r="D136" s="5" t="s">
        <v>34</v>
      </c>
      <c r="E136" s="5" t="s">
        <v>61</v>
      </c>
      <c r="F136" s="5">
        <v>19</v>
      </c>
      <c r="G136" s="5">
        <v>20745</v>
      </c>
      <c r="H136" s="5">
        <v>2</v>
      </c>
      <c r="I136" s="6">
        <v>46083</v>
      </c>
      <c r="J136" s="6">
        <v>46093</v>
      </c>
      <c r="K136" s="10" t="s">
        <v>24</v>
      </c>
      <c r="L136" s="17" t="str">
        <f t="shared" si="2"/>
        <v>Not Eligible</v>
      </c>
    </row>
    <row r="137" spans="1:12" ht="15" thickBot="1" x14ac:dyDescent="0.4">
      <c r="A137" s="5">
        <v>1078</v>
      </c>
      <c r="B137" s="5" t="s">
        <v>52</v>
      </c>
      <c r="C137" s="5" t="s">
        <v>17</v>
      </c>
      <c r="D137" s="5" t="s">
        <v>34</v>
      </c>
      <c r="E137" s="5" t="s">
        <v>39</v>
      </c>
      <c r="F137" s="5">
        <v>11</v>
      </c>
      <c r="G137" s="5">
        <v>24278</v>
      </c>
      <c r="H137" s="5">
        <v>12</v>
      </c>
      <c r="I137" s="6">
        <v>46084</v>
      </c>
      <c r="J137" s="6">
        <v>46090</v>
      </c>
      <c r="K137" s="10" t="s">
        <v>29</v>
      </c>
      <c r="L137" s="17" t="str">
        <f t="shared" si="2"/>
        <v>Eligible</v>
      </c>
    </row>
    <row r="138" spans="1:12" ht="15" thickBot="1" x14ac:dyDescent="0.4">
      <c r="A138" s="5">
        <v>1138</v>
      </c>
      <c r="B138" s="5" t="s">
        <v>55</v>
      </c>
      <c r="C138" s="5" t="s">
        <v>43</v>
      </c>
      <c r="D138" s="5" t="s">
        <v>18</v>
      </c>
      <c r="E138" s="5" t="s">
        <v>19</v>
      </c>
      <c r="F138" s="5">
        <v>5</v>
      </c>
      <c r="G138" s="5">
        <v>14466</v>
      </c>
      <c r="H138" s="5">
        <v>2</v>
      </c>
      <c r="I138" s="6">
        <v>46084</v>
      </c>
      <c r="J138" s="6">
        <v>46092</v>
      </c>
      <c r="K138" s="10" t="s">
        <v>51</v>
      </c>
      <c r="L138" s="17" t="str">
        <f t="shared" si="2"/>
        <v>Not Eligible</v>
      </c>
    </row>
    <row r="139" spans="1:12" ht="15" thickBot="1" x14ac:dyDescent="0.4">
      <c r="A139" s="5">
        <v>1280</v>
      </c>
      <c r="B139" s="5" t="s">
        <v>59</v>
      </c>
      <c r="C139" s="5" t="s">
        <v>38</v>
      </c>
      <c r="D139" s="5" t="s">
        <v>13</v>
      </c>
      <c r="E139" s="5" t="s">
        <v>53</v>
      </c>
      <c r="F139" s="5">
        <v>9</v>
      </c>
      <c r="G139" s="5">
        <v>50</v>
      </c>
      <c r="H139" s="5">
        <v>7</v>
      </c>
      <c r="I139" s="6">
        <v>46085</v>
      </c>
      <c r="J139" s="6">
        <v>46095</v>
      </c>
      <c r="K139" s="10" t="s">
        <v>51</v>
      </c>
      <c r="L139" s="17" t="str">
        <f t="shared" si="2"/>
        <v>Not Eligible</v>
      </c>
    </row>
    <row r="140" spans="1:12" ht="15" thickBot="1" x14ac:dyDescent="0.4">
      <c r="A140" s="5">
        <v>1012</v>
      </c>
      <c r="B140" s="5" t="s">
        <v>26</v>
      </c>
      <c r="C140" s="5" t="s">
        <v>38</v>
      </c>
      <c r="D140" s="5" t="s">
        <v>34</v>
      </c>
      <c r="E140" s="5" t="s">
        <v>39</v>
      </c>
      <c r="F140" s="5">
        <v>3</v>
      </c>
      <c r="G140" s="5">
        <v>64615</v>
      </c>
      <c r="H140" s="5">
        <v>10</v>
      </c>
      <c r="I140" s="6">
        <v>46086</v>
      </c>
      <c r="J140" s="6">
        <v>46095</v>
      </c>
      <c r="K140" s="10" t="s">
        <v>29</v>
      </c>
      <c r="L140" s="17" t="str">
        <f t="shared" si="2"/>
        <v>Eligible</v>
      </c>
    </row>
    <row r="141" spans="1:12" ht="15" thickBot="1" x14ac:dyDescent="0.4">
      <c r="A141" s="5">
        <v>1336</v>
      </c>
      <c r="B141" s="5" t="s">
        <v>16</v>
      </c>
      <c r="C141" s="5" t="s">
        <v>25</v>
      </c>
      <c r="D141" s="5" t="s">
        <v>18</v>
      </c>
      <c r="E141" s="5" t="s">
        <v>56</v>
      </c>
      <c r="F141" s="5">
        <v>10</v>
      </c>
      <c r="G141" s="5">
        <v>5624</v>
      </c>
      <c r="H141" s="5">
        <v>0</v>
      </c>
      <c r="I141" s="6">
        <v>46086</v>
      </c>
      <c r="J141" s="6">
        <v>46092</v>
      </c>
      <c r="K141" s="10" t="s">
        <v>29</v>
      </c>
      <c r="L141" s="17" t="str">
        <f t="shared" si="2"/>
        <v>Not Eligible</v>
      </c>
    </row>
    <row r="142" spans="1:12" ht="15" thickBot="1" x14ac:dyDescent="0.4">
      <c r="A142" s="5">
        <v>1277</v>
      </c>
      <c r="B142" s="5" t="s">
        <v>59</v>
      </c>
      <c r="C142" s="5" t="s">
        <v>17</v>
      </c>
      <c r="D142" s="5" t="s">
        <v>13</v>
      </c>
      <c r="E142" s="5" t="s">
        <v>36</v>
      </c>
      <c r="F142" s="5">
        <v>14</v>
      </c>
      <c r="G142" s="5">
        <v>276</v>
      </c>
      <c r="H142" s="5">
        <v>0</v>
      </c>
      <c r="I142" s="6">
        <v>46086</v>
      </c>
      <c r="J142" s="6">
        <v>46089</v>
      </c>
      <c r="K142" s="10" t="s">
        <v>15</v>
      </c>
      <c r="L142" s="17" t="str">
        <f t="shared" si="2"/>
        <v>Not Eligible</v>
      </c>
    </row>
    <row r="143" spans="1:12" ht="15" thickBot="1" x14ac:dyDescent="0.4">
      <c r="A143" s="5">
        <v>1090</v>
      </c>
      <c r="B143" s="5" t="s">
        <v>49</v>
      </c>
      <c r="C143" s="5" t="s">
        <v>31</v>
      </c>
      <c r="D143" s="5" t="s">
        <v>34</v>
      </c>
      <c r="E143" s="5" t="s">
        <v>45</v>
      </c>
      <c r="F143" s="5">
        <v>19</v>
      </c>
      <c r="G143" s="5">
        <v>66139</v>
      </c>
      <c r="H143" s="5">
        <v>5</v>
      </c>
      <c r="I143" s="6">
        <v>46088</v>
      </c>
      <c r="J143" s="6">
        <v>46095</v>
      </c>
      <c r="K143" s="10" t="s">
        <v>24</v>
      </c>
      <c r="L143" s="17" t="str">
        <f t="shared" si="2"/>
        <v>Not Eligible</v>
      </c>
    </row>
    <row r="144" spans="1:12" ht="15" thickBot="1" x14ac:dyDescent="0.4">
      <c r="A144" s="5">
        <v>1175</v>
      </c>
      <c r="B144" s="5" t="s">
        <v>26</v>
      </c>
      <c r="C144" s="5" t="s">
        <v>17</v>
      </c>
      <c r="D144" s="5" t="s">
        <v>34</v>
      </c>
      <c r="E144" s="5" t="s">
        <v>41</v>
      </c>
      <c r="F144" s="5">
        <v>10</v>
      </c>
      <c r="G144" s="5">
        <v>20339</v>
      </c>
      <c r="H144" s="5">
        <v>2</v>
      </c>
      <c r="I144" s="6">
        <v>46088</v>
      </c>
      <c r="J144" s="6">
        <v>46094</v>
      </c>
      <c r="K144" s="10" t="s">
        <v>20</v>
      </c>
      <c r="L144" s="17" t="str">
        <f t="shared" si="2"/>
        <v>Not Eligible</v>
      </c>
    </row>
    <row r="145" spans="1:12" ht="15" thickBot="1" x14ac:dyDescent="0.4">
      <c r="A145" s="5">
        <v>1097</v>
      </c>
      <c r="B145" s="5" t="s">
        <v>52</v>
      </c>
      <c r="C145" s="5" t="s">
        <v>22</v>
      </c>
      <c r="D145" s="5" t="s">
        <v>34</v>
      </c>
      <c r="E145" s="5" t="s">
        <v>61</v>
      </c>
      <c r="F145" s="5">
        <v>10</v>
      </c>
      <c r="G145" s="5">
        <v>28980</v>
      </c>
      <c r="H145" s="5">
        <v>10</v>
      </c>
      <c r="I145" s="6">
        <v>46089</v>
      </c>
      <c r="J145" s="6">
        <v>46094</v>
      </c>
      <c r="K145" s="10" t="s">
        <v>24</v>
      </c>
      <c r="L145" s="17" t="str">
        <f t="shared" si="2"/>
        <v>Eligible</v>
      </c>
    </row>
    <row r="146" spans="1:12" ht="15" thickBot="1" x14ac:dyDescent="0.4">
      <c r="A146" s="5">
        <v>1381</v>
      </c>
      <c r="B146" s="5" t="s">
        <v>55</v>
      </c>
      <c r="C146" s="5" t="s">
        <v>33</v>
      </c>
      <c r="D146" s="5" t="s">
        <v>18</v>
      </c>
      <c r="E146" s="5" t="s">
        <v>28</v>
      </c>
      <c r="F146" s="5">
        <v>5</v>
      </c>
      <c r="G146" s="5">
        <v>7484</v>
      </c>
      <c r="H146" s="5">
        <v>2</v>
      </c>
      <c r="I146" s="6">
        <v>46089</v>
      </c>
      <c r="J146" s="6">
        <v>46093</v>
      </c>
      <c r="K146" s="10" t="s">
        <v>20</v>
      </c>
      <c r="L146" s="17" t="str">
        <f t="shared" si="2"/>
        <v>Not Eligible</v>
      </c>
    </row>
    <row r="147" spans="1:12" ht="15" thickBot="1" x14ac:dyDescent="0.4">
      <c r="A147" s="5">
        <v>1018</v>
      </c>
      <c r="B147" s="5" t="s">
        <v>47</v>
      </c>
      <c r="C147" s="5" t="s">
        <v>25</v>
      </c>
      <c r="D147" s="5" t="s">
        <v>13</v>
      </c>
      <c r="E147" s="5" t="s">
        <v>14</v>
      </c>
      <c r="F147" s="5">
        <v>20</v>
      </c>
      <c r="G147" s="5">
        <v>301</v>
      </c>
      <c r="H147" s="5">
        <v>0</v>
      </c>
      <c r="I147" s="6">
        <v>46089</v>
      </c>
      <c r="J147" s="6">
        <v>46094</v>
      </c>
      <c r="K147" s="10" t="s">
        <v>29</v>
      </c>
      <c r="L147" s="17" t="str">
        <f t="shared" si="2"/>
        <v>Not Eligible</v>
      </c>
    </row>
    <row r="148" spans="1:12" ht="15" thickBot="1" x14ac:dyDescent="0.4">
      <c r="A148" s="5">
        <v>1031</v>
      </c>
      <c r="B148" s="5" t="s">
        <v>54</v>
      </c>
      <c r="C148" s="5" t="s">
        <v>31</v>
      </c>
      <c r="D148" s="5" t="s">
        <v>13</v>
      </c>
      <c r="E148" s="5" t="s">
        <v>53</v>
      </c>
      <c r="F148" s="5">
        <v>2</v>
      </c>
      <c r="G148" s="5">
        <v>184</v>
      </c>
      <c r="H148" s="5">
        <v>5</v>
      </c>
      <c r="I148" s="6">
        <v>46089</v>
      </c>
      <c r="J148" s="6">
        <v>46093</v>
      </c>
      <c r="K148" s="10" t="s">
        <v>20</v>
      </c>
      <c r="L148" s="17" t="str">
        <f t="shared" si="2"/>
        <v>Not Eligible</v>
      </c>
    </row>
    <row r="149" spans="1:12" ht="15" thickBot="1" x14ac:dyDescent="0.4">
      <c r="A149" s="5">
        <v>1399</v>
      </c>
      <c r="B149" s="5" t="s">
        <v>48</v>
      </c>
      <c r="C149" s="5" t="s">
        <v>31</v>
      </c>
      <c r="D149" s="5" t="s">
        <v>13</v>
      </c>
      <c r="E149" s="5" t="s">
        <v>14</v>
      </c>
      <c r="F149" s="5">
        <v>15</v>
      </c>
      <c r="G149" s="5">
        <v>87</v>
      </c>
      <c r="H149" s="5">
        <v>15</v>
      </c>
      <c r="I149" s="6">
        <v>46089</v>
      </c>
      <c r="J149" s="6">
        <v>46093</v>
      </c>
      <c r="K149" s="10" t="s">
        <v>20</v>
      </c>
      <c r="L149" s="17" t="str">
        <f t="shared" si="2"/>
        <v>Not Eligible</v>
      </c>
    </row>
    <row r="150" spans="1:12" ht="15" thickBot="1" x14ac:dyDescent="0.4">
      <c r="A150" s="5">
        <v>1192</v>
      </c>
      <c r="B150" s="5" t="s">
        <v>21</v>
      </c>
      <c r="C150" s="5" t="s">
        <v>33</v>
      </c>
      <c r="D150" s="5" t="s">
        <v>13</v>
      </c>
      <c r="E150" s="5" t="s">
        <v>53</v>
      </c>
      <c r="F150" s="5">
        <v>18</v>
      </c>
      <c r="G150" s="5">
        <v>49</v>
      </c>
      <c r="H150" s="5">
        <v>12</v>
      </c>
      <c r="I150" s="6">
        <v>46089</v>
      </c>
      <c r="J150" s="6">
        <v>46095</v>
      </c>
      <c r="K150" s="10" t="s">
        <v>24</v>
      </c>
      <c r="L150" s="17" t="str">
        <f t="shared" si="2"/>
        <v>Not Eligible</v>
      </c>
    </row>
    <row r="151" spans="1:12" ht="15" thickBot="1" x14ac:dyDescent="0.4">
      <c r="A151" s="5">
        <v>1400</v>
      </c>
      <c r="B151" s="5" t="s">
        <v>40</v>
      </c>
      <c r="C151" s="5" t="s">
        <v>22</v>
      </c>
      <c r="D151" s="5" t="s">
        <v>34</v>
      </c>
      <c r="E151" s="5" t="s">
        <v>35</v>
      </c>
      <c r="F151" s="5">
        <v>13</v>
      </c>
      <c r="G151" s="5">
        <v>52411</v>
      </c>
      <c r="H151" s="5">
        <v>15</v>
      </c>
      <c r="I151" s="6">
        <v>46090</v>
      </c>
      <c r="J151" s="6">
        <v>46092</v>
      </c>
      <c r="K151" s="10" t="s">
        <v>20</v>
      </c>
      <c r="L151" s="17" t="str">
        <f t="shared" si="2"/>
        <v>Eligible</v>
      </c>
    </row>
    <row r="152" spans="1:12" ht="15" thickBot="1" x14ac:dyDescent="0.4">
      <c r="A152" s="5">
        <v>1112</v>
      </c>
      <c r="B152" s="5" t="s">
        <v>21</v>
      </c>
      <c r="C152" s="5" t="s">
        <v>43</v>
      </c>
      <c r="D152" s="5" t="s">
        <v>18</v>
      </c>
      <c r="E152" s="5" t="s">
        <v>44</v>
      </c>
      <c r="F152" s="5">
        <v>7</v>
      </c>
      <c r="G152" s="5">
        <v>1959</v>
      </c>
      <c r="H152" s="5">
        <v>15</v>
      </c>
      <c r="I152" s="6">
        <v>46090</v>
      </c>
      <c r="J152" s="6">
        <v>46100</v>
      </c>
      <c r="K152" s="10" t="s">
        <v>15</v>
      </c>
      <c r="L152" s="17" t="str">
        <f t="shared" si="2"/>
        <v>Not Eligible</v>
      </c>
    </row>
    <row r="153" spans="1:12" ht="15" thickBot="1" x14ac:dyDescent="0.4">
      <c r="A153" s="5">
        <v>1043</v>
      </c>
      <c r="B153" s="5" t="s">
        <v>49</v>
      </c>
      <c r="C153" s="5" t="s">
        <v>38</v>
      </c>
      <c r="D153" s="5" t="s">
        <v>34</v>
      </c>
      <c r="E153" s="5" t="s">
        <v>35</v>
      </c>
      <c r="F153" s="5">
        <v>20</v>
      </c>
      <c r="G153" s="5">
        <v>46093</v>
      </c>
      <c r="H153" s="5">
        <v>5</v>
      </c>
      <c r="I153" s="6">
        <v>46091</v>
      </c>
      <c r="J153" s="6">
        <v>46098</v>
      </c>
      <c r="K153" s="10" t="s">
        <v>29</v>
      </c>
      <c r="L153" s="17" t="str">
        <f t="shared" si="2"/>
        <v>Not Eligible</v>
      </c>
    </row>
    <row r="154" spans="1:12" ht="15" thickBot="1" x14ac:dyDescent="0.4">
      <c r="A154" s="5">
        <v>1255</v>
      </c>
      <c r="B154" s="5" t="s">
        <v>32</v>
      </c>
      <c r="C154" s="5" t="s">
        <v>17</v>
      </c>
      <c r="D154" s="5" t="s">
        <v>18</v>
      </c>
      <c r="E154" s="5" t="s">
        <v>19</v>
      </c>
      <c r="F154" s="5">
        <v>1</v>
      </c>
      <c r="G154" s="5">
        <v>2240</v>
      </c>
      <c r="H154" s="5">
        <v>5</v>
      </c>
      <c r="I154" s="6">
        <v>46091</v>
      </c>
      <c r="J154" s="6">
        <v>46095</v>
      </c>
      <c r="K154" s="10" t="s">
        <v>20</v>
      </c>
      <c r="L154" s="17" t="str">
        <f t="shared" si="2"/>
        <v>Not Eligible</v>
      </c>
    </row>
    <row r="155" spans="1:12" ht="15" thickBot="1" x14ac:dyDescent="0.4">
      <c r="A155" s="5">
        <v>1106</v>
      </c>
      <c r="B155" s="5" t="s">
        <v>27</v>
      </c>
      <c r="C155" s="5" t="s">
        <v>43</v>
      </c>
      <c r="D155" s="5" t="s">
        <v>18</v>
      </c>
      <c r="E155" s="5" t="s">
        <v>23</v>
      </c>
      <c r="F155" s="5">
        <v>20</v>
      </c>
      <c r="G155" s="5">
        <v>2141</v>
      </c>
      <c r="H155" s="5">
        <v>2</v>
      </c>
      <c r="I155" s="6">
        <v>46091</v>
      </c>
      <c r="J155" s="6">
        <v>46097</v>
      </c>
      <c r="K155" s="10" t="s">
        <v>29</v>
      </c>
      <c r="L155" s="17" t="str">
        <f t="shared" si="2"/>
        <v>Not Eligible</v>
      </c>
    </row>
    <row r="156" spans="1:12" ht="15" thickBot="1" x14ac:dyDescent="0.4">
      <c r="A156" s="5">
        <v>1275</v>
      </c>
      <c r="B156" s="5" t="s">
        <v>16</v>
      </c>
      <c r="C156" s="5" t="s">
        <v>31</v>
      </c>
      <c r="D156" s="5" t="s">
        <v>13</v>
      </c>
      <c r="E156" s="5" t="s">
        <v>50</v>
      </c>
      <c r="F156" s="5">
        <v>20</v>
      </c>
      <c r="G156" s="5">
        <v>451</v>
      </c>
      <c r="H156" s="5">
        <v>15</v>
      </c>
      <c r="I156" s="6">
        <v>46092</v>
      </c>
      <c r="J156" s="6">
        <v>46094</v>
      </c>
      <c r="K156" s="10" t="s">
        <v>20</v>
      </c>
      <c r="L156" s="17" t="str">
        <f t="shared" si="2"/>
        <v>Not Eligible</v>
      </c>
    </row>
    <row r="157" spans="1:12" ht="15" thickBot="1" x14ac:dyDescent="0.4">
      <c r="A157" s="5">
        <v>1166</v>
      </c>
      <c r="B157" s="5" t="s">
        <v>32</v>
      </c>
      <c r="C157" s="5" t="s">
        <v>31</v>
      </c>
      <c r="D157" s="5" t="s">
        <v>13</v>
      </c>
      <c r="E157" s="5" t="s">
        <v>37</v>
      </c>
      <c r="F157" s="5">
        <v>1</v>
      </c>
      <c r="G157" s="5">
        <v>396</v>
      </c>
      <c r="H157" s="5">
        <v>5</v>
      </c>
      <c r="I157" s="6">
        <v>46092</v>
      </c>
      <c r="J157" s="6">
        <v>46093</v>
      </c>
      <c r="K157" s="10" t="s">
        <v>20</v>
      </c>
      <c r="L157" s="17" t="str">
        <f t="shared" si="2"/>
        <v>Not Eligible</v>
      </c>
    </row>
    <row r="158" spans="1:12" ht="15" thickBot="1" x14ac:dyDescent="0.4">
      <c r="A158" s="5">
        <v>1139</v>
      </c>
      <c r="B158" s="5" t="s">
        <v>55</v>
      </c>
      <c r="C158" s="5" t="s">
        <v>33</v>
      </c>
      <c r="D158" s="5" t="s">
        <v>34</v>
      </c>
      <c r="E158" s="5" t="s">
        <v>61</v>
      </c>
      <c r="F158" s="5">
        <v>17</v>
      </c>
      <c r="G158" s="5">
        <v>28839</v>
      </c>
      <c r="H158" s="5">
        <v>10</v>
      </c>
      <c r="I158" s="6">
        <v>46093</v>
      </c>
      <c r="J158" s="6">
        <v>46099</v>
      </c>
      <c r="K158" s="10" t="s">
        <v>15</v>
      </c>
      <c r="L158" s="17" t="str">
        <f t="shared" si="2"/>
        <v>Eligible</v>
      </c>
    </row>
    <row r="159" spans="1:12" ht="15" thickBot="1" x14ac:dyDescent="0.4">
      <c r="A159" s="5">
        <v>1155</v>
      </c>
      <c r="B159" s="5" t="s">
        <v>11</v>
      </c>
      <c r="C159" s="5" t="s">
        <v>31</v>
      </c>
      <c r="D159" s="5" t="s">
        <v>18</v>
      </c>
      <c r="E159" s="5" t="s">
        <v>28</v>
      </c>
      <c r="F159" s="5">
        <v>13</v>
      </c>
      <c r="G159" s="5">
        <v>4341</v>
      </c>
      <c r="H159" s="5">
        <v>15</v>
      </c>
      <c r="I159" s="6">
        <v>46093</v>
      </c>
      <c r="J159" s="6">
        <v>46096</v>
      </c>
      <c r="K159" s="10" t="s">
        <v>24</v>
      </c>
      <c r="L159" s="17" t="str">
        <f t="shared" si="2"/>
        <v>Not Eligible</v>
      </c>
    </row>
    <row r="160" spans="1:12" ht="15" thickBot="1" x14ac:dyDescent="0.4">
      <c r="A160" s="5">
        <v>1319</v>
      </c>
      <c r="B160" s="5" t="s">
        <v>21</v>
      </c>
      <c r="C160" s="5" t="s">
        <v>17</v>
      </c>
      <c r="D160" s="5" t="s">
        <v>34</v>
      </c>
      <c r="E160" s="5" t="s">
        <v>61</v>
      </c>
      <c r="F160" s="5">
        <v>17</v>
      </c>
      <c r="G160" s="5">
        <v>58407</v>
      </c>
      <c r="H160" s="5">
        <v>7</v>
      </c>
      <c r="I160" s="6">
        <v>46094</v>
      </c>
      <c r="J160" s="6">
        <v>46102</v>
      </c>
      <c r="K160" s="10" t="s">
        <v>15</v>
      </c>
      <c r="L160" s="17" t="str">
        <f t="shared" si="2"/>
        <v>Not Eligible</v>
      </c>
    </row>
    <row r="161" spans="1:12" ht="15" thickBot="1" x14ac:dyDescent="0.4">
      <c r="A161" s="5">
        <v>1388</v>
      </c>
      <c r="B161" s="5" t="s">
        <v>55</v>
      </c>
      <c r="C161" s="5" t="s">
        <v>31</v>
      </c>
      <c r="D161" s="5" t="s">
        <v>18</v>
      </c>
      <c r="E161" s="5" t="s">
        <v>28</v>
      </c>
      <c r="F161" s="5">
        <v>12</v>
      </c>
      <c r="G161" s="5">
        <v>11662</v>
      </c>
      <c r="H161" s="5">
        <v>12</v>
      </c>
      <c r="I161" s="6">
        <v>46094</v>
      </c>
      <c r="J161" s="6">
        <v>46096</v>
      </c>
      <c r="K161" s="10" t="s">
        <v>20</v>
      </c>
      <c r="L161" s="17" t="str">
        <f t="shared" si="2"/>
        <v>Not Eligible</v>
      </c>
    </row>
    <row r="162" spans="1:12" ht="15" thickBot="1" x14ac:dyDescent="0.4">
      <c r="A162" s="5">
        <v>1362</v>
      </c>
      <c r="B162" s="5" t="s">
        <v>16</v>
      </c>
      <c r="C162" s="5" t="s">
        <v>12</v>
      </c>
      <c r="D162" s="5" t="s">
        <v>18</v>
      </c>
      <c r="E162" s="5" t="s">
        <v>28</v>
      </c>
      <c r="F162" s="5">
        <v>1</v>
      </c>
      <c r="G162" s="5">
        <v>10474</v>
      </c>
      <c r="H162" s="5">
        <v>0</v>
      </c>
      <c r="I162" s="6">
        <v>46094</v>
      </c>
      <c r="J162" s="6">
        <v>46096</v>
      </c>
      <c r="K162" s="10" t="s">
        <v>29</v>
      </c>
      <c r="L162" s="17" t="str">
        <f t="shared" si="2"/>
        <v>Not Eligible</v>
      </c>
    </row>
    <row r="163" spans="1:12" ht="15" thickBot="1" x14ac:dyDescent="0.4">
      <c r="A163" s="5">
        <v>1345</v>
      </c>
      <c r="B163" s="5" t="s">
        <v>32</v>
      </c>
      <c r="C163" s="5" t="s">
        <v>12</v>
      </c>
      <c r="D163" s="5" t="s">
        <v>34</v>
      </c>
      <c r="E163" s="5" t="s">
        <v>45</v>
      </c>
      <c r="F163" s="5">
        <v>12</v>
      </c>
      <c r="G163" s="5">
        <v>50544</v>
      </c>
      <c r="H163" s="5">
        <v>10</v>
      </c>
      <c r="I163" s="6">
        <v>46095</v>
      </c>
      <c r="J163" s="6">
        <v>46097</v>
      </c>
      <c r="K163" s="10" t="s">
        <v>29</v>
      </c>
      <c r="L163" s="17" t="str">
        <f t="shared" si="2"/>
        <v>Eligible</v>
      </c>
    </row>
    <row r="164" spans="1:12" ht="15" thickBot="1" x14ac:dyDescent="0.4">
      <c r="A164" s="5">
        <v>1013</v>
      </c>
      <c r="B164" s="5" t="s">
        <v>16</v>
      </c>
      <c r="C164" s="5" t="s">
        <v>31</v>
      </c>
      <c r="D164" s="5" t="s">
        <v>13</v>
      </c>
      <c r="E164" s="5" t="s">
        <v>36</v>
      </c>
      <c r="F164" s="5">
        <v>17</v>
      </c>
      <c r="G164" s="5">
        <v>459</v>
      </c>
      <c r="H164" s="5">
        <v>12</v>
      </c>
      <c r="I164" s="6">
        <v>46095</v>
      </c>
      <c r="J164" s="6">
        <v>46105</v>
      </c>
      <c r="K164" s="10" t="s">
        <v>29</v>
      </c>
      <c r="L164" s="17" t="str">
        <f t="shared" si="2"/>
        <v>Not Eligible</v>
      </c>
    </row>
    <row r="165" spans="1:12" ht="15" thickBot="1" x14ac:dyDescent="0.4">
      <c r="A165" s="5">
        <v>1359</v>
      </c>
      <c r="B165" s="5" t="s">
        <v>54</v>
      </c>
      <c r="C165" s="5" t="s">
        <v>12</v>
      </c>
      <c r="D165" s="5" t="s">
        <v>34</v>
      </c>
      <c r="E165" s="5" t="s">
        <v>61</v>
      </c>
      <c r="F165" s="5">
        <v>9</v>
      </c>
      <c r="G165" s="5">
        <v>38179</v>
      </c>
      <c r="H165" s="5">
        <v>0</v>
      </c>
      <c r="I165" s="6">
        <v>46096</v>
      </c>
      <c r="J165" s="6">
        <v>46099</v>
      </c>
      <c r="K165" s="10" t="s">
        <v>15</v>
      </c>
      <c r="L165" s="17" t="str">
        <f t="shared" si="2"/>
        <v>Not Eligible</v>
      </c>
    </row>
    <row r="166" spans="1:12" ht="15" thickBot="1" x14ac:dyDescent="0.4">
      <c r="A166" s="5">
        <v>1266</v>
      </c>
      <c r="B166" s="5" t="s">
        <v>29</v>
      </c>
      <c r="C166" s="5" t="s">
        <v>33</v>
      </c>
      <c r="D166" s="5" t="s">
        <v>13</v>
      </c>
      <c r="E166" s="5" t="s">
        <v>14</v>
      </c>
      <c r="F166" s="5">
        <v>17</v>
      </c>
      <c r="G166" s="5">
        <v>365</v>
      </c>
      <c r="H166" s="5">
        <v>2</v>
      </c>
      <c r="I166" s="6">
        <v>46096</v>
      </c>
      <c r="J166" s="6">
        <v>46104</v>
      </c>
      <c r="K166" s="10" t="s">
        <v>51</v>
      </c>
      <c r="L166" s="17" t="str">
        <f t="shared" si="2"/>
        <v>Not Eligible</v>
      </c>
    </row>
    <row r="167" spans="1:12" ht="15" thickBot="1" x14ac:dyDescent="0.4">
      <c r="A167" s="5">
        <v>1238</v>
      </c>
      <c r="B167" s="5" t="s">
        <v>30</v>
      </c>
      <c r="C167" s="5" t="s">
        <v>31</v>
      </c>
      <c r="D167" s="5" t="s">
        <v>13</v>
      </c>
      <c r="E167" s="5" t="s">
        <v>14</v>
      </c>
      <c r="F167" s="5">
        <v>6</v>
      </c>
      <c r="G167" s="5">
        <v>180</v>
      </c>
      <c r="H167" s="5">
        <v>12</v>
      </c>
      <c r="I167" s="6">
        <v>46096</v>
      </c>
      <c r="J167" s="6">
        <v>46097</v>
      </c>
      <c r="K167" s="10" t="s">
        <v>51</v>
      </c>
      <c r="L167" s="17" t="str">
        <f t="shared" si="2"/>
        <v>Not Eligible</v>
      </c>
    </row>
    <row r="168" spans="1:12" ht="15" thickBot="1" x14ac:dyDescent="0.4">
      <c r="A168" s="5">
        <v>1276</v>
      </c>
      <c r="B168" s="5" t="s">
        <v>40</v>
      </c>
      <c r="C168" s="5" t="s">
        <v>12</v>
      </c>
      <c r="D168" s="5" t="s">
        <v>18</v>
      </c>
      <c r="E168" s="5" t="s">
        <v>19</v>
      </c>
      <c r="F168" s="5">
        <v>1</v>
      </c>
      <c r="G168" s="5">
        <v>13437</v>
      </c>
      <c r="H168" s="5">
        <v>15</v>
      </c>
      <c r="I168" s="6">
        <v>46097</v>
      </c>
      <c r="J168" s="6">
        <v>46099</v>
      </c>
      <c r="K168" s="10" t="s">
        <v>24</v>
      </c>
      <c r="L168" s="17" t="str">
        <f t="shared" si="2"/>
        <v>Not Eligible</v>
      </c>
    </row>
    <row r="169" spans="1:12" ht="15" thickBot="1" x14ac:dyDescent="0.4">
      <c r="A169" s="5">
        <v>1030</v>
      </c>
      <c r="B169" s="5" t="s">
        <v>52</v>
      </c>
      <c r="C169" s="5" t="s">
        <v>12</v>
      </c>
      <c r="D169" s="5" t="s">
        <v>13</v>
      </c>
      <c r="E169" s="5" t="s">
        <v>53</v>
      </c>
      <c r="F169" s="5">
        <v>13</v>
      </c>
      <c r="G169" s="5">
        <v>336</v>
      </c>
      <c r="H169" s="5">
        <v>10</v>
      </c>
      <c r="I169" s="6">
        <v>46098</v>
      </c>
      <c r="J169" s="6">
        <v>46108</v>
      </c>
      <c r="K169" s="10" t="s">
        <v>15</v>
      </c>
      <c r="L169" s="17" t="str">
        <f t="shared" si="2"/>
        <v>Not Eligible</v>
      </c>
    </row>
    <row r="170" spans="1:12" ht="15" thickBot="1" x14ac:dyDescent="0.4">
      <c r="A170" s="5">
        <v>1391</v>
      </c>
      <c r="B170" s="5" t="s">
        <v>30</v>
      </c>
      <c r="C170" s="5" t="s">
        <v>31</v>
      </c>
      <c r="D170" s="5" t="s">
        <v>34</v>
      </c>
      <c r="E170" s="5" t="s">
        <v>35</v>
      </c>
      <c r="F170" s="5">
        <v>5</v>
      </c>
      <c r="G170" s="5">
        <v>65270</v>
      </c>
      <c r="H170" s="5">
        <v>5</v>
      </c>
      <c r="I170" s="6">
        <v>46100</v>
      </c>
      <c r="J170" s="6">
        <v>46103</v>
      </c>
      <c r="K170" s="10" t="s">
        <v>24</v>
      </c>
      <c r="L170" s="17" t="str">
        <f t="shared" si="2"/>
        <v>Not Eligible</v>
      </c>
    </row>
    <row r="171" spans="1:12" ht="15" thickBot="1" x14ac:dyDescent="0.4">
      <c r="A171" s="5">
        <v>1162</v>
      </c>
      <c r="B171" s="5" t="s">
        <v>57</v>
      </c>
      <c r="C171" s="5" t="s">
        <v>31</v>
      </c>
      <c r="D171" s="5" t="s">
        <v>34</v>
      </c>
      <c r="E171" s="5" t="s">
        <v>45</v>
      </c>
      <c r="F171" s="5">
        <v>2</v>
      </c>
      <c r="G171" s="5">
        <v>28176</v>
      </c>
      <c r="H171" s="5">
        <v>10</v>
      </c>
      <c r="I171" s="6">
        <v>46100</v>
      </c>
      <c r="J171" s="6">
        <v>46101</v>
      </c>
      <c r="K171" s="10" t="s">
        <v>20</v>
      </c>
      <c r="L171" s="17" t="str">
        <f t="shared" si="2"/>
        <v>Eligible</v>
      </c>
    </row>
    <row r="172" spans="1:12" ht="15" thickBot="1" x14ac:dyDescent="0.4">
      <c r="A172" s="5">
        <v>1283</v>
      </c>
      <c r="B172" s="5" t="s">
        <v>40</v>
      </c>
      <c r="C172" s="5" t="s">
        <v>12</v>
      </c>
      <c r="D172" s="5" t="s">
        <v>18</v>
      </c>
      <c r="E172" s="5" t="s">
        <v>23</v>
      </c>
      <c r="F172" s="5">
        <v>6</v>
      </c>
      <c r="G172" s="5">
        <v>1167</v>
      </c>
      <c r="H172" s="5">
        <v>2</v>
      </c>
      <c r="I172" s="6">
        <v>46100</v>
      </c>
      <c r="J172" s="6">
        <v>46106</v>
      </c>
      <c r="K172" s="10" t="s">
        <v>15</v>
      </c>
      <c r="L172" s="17" t="str">
        <f t="shared" si="2"/>
        <v>Not Eligible</v>
      </c>
    </row>
    <row r="173" spans="1:12" ht="15" thickBot="1" x14ac:dyDescent="0.4">
      <c r="A173" s="5">
        <v>1094</v>
      </c>
      <c r="B173" s="5" t="s">
        <v>47</v>
      </c>
      <c r="C173" s="5" t="s">
        <v>43</v>
      </c>
      <c r="D173" s="5" t="s">
        <v>34</v>
      </c>
      <c r="E173" s="5" t="s">
        <v>61</v>
      </c>
      <c r="F173" s="5">
        <v>4</v>
      </c>
      <c r="G173" s="5">
        <v>7073</v>
      </c>
      <c r="H173" s="5">
        <v>0</v>
      </c>
      <c r="I173" s="6">
        <v>46101</v>
      </c>
      <c r="J173" s="6">
        <v>46105</v>
      </c>
      <c r="K173" s="10" t="s">
        <v>29</v>
      </c>
      <c r="L173" s="17" t="str">
        <f t="shared" si="2"/>
        <v>Not Eligible</v>
      </c>
    </row>
    <row r="174" spans="1:12" ht="15" thickBot="1" x14ac:dyDescent="0.4">
      <c r="A174" s="5">
        <v>1387</v>
      </c>
      <c r="B174" s="5" t="s">
        <v>54</v>
      </c>
      <c r="C174" s="5" t="s">
        <v>33</v>
      </c>
      <c r="D174" s="5" t="s">
        <v>34</v>
      </c>
      <c r="E174" s="5" t="s">
        <v>35</v>
      </c>
      <c r="F174" s="5">
        <v>11</v>
      </c>
      <c r="G174" s="5">
        <v>56515</v>
      </c>
      <c r="H174" s="5">
        <v>5</v>
      </c>
      <c r="I174" s="6">
        <v>46102</v>
      </c>
      <c r="J174" s="6">
        <v>46112</v>
      </c>
      <c r="K174" s="10" t="s">
        <v>24</v>
      </c>
      <c r="L174" s="17" t="str">
        <f t="shared" si="2"/>
        <v>Not Eligible</v>
      </c>
    </row>
    <row r="175" spans="1:12" ht="15" thickBot="1" x14ac:dyDescent="0.4">
      <c r="A175" s="5">
        <v>1049</v>
      </c>
      <c r="B175" s="5" t="s">
        <v>52</v>
      </c>
      <c r="C175" s="5" t="s">
        <v>25</v>
      </c>
      <c r="D175" s="5" t="s">
        <v>34</v>
      </c>
      <c r="E175" s="5" t="s">
        <v>45</v>
      </c>
      <c r="F175" s="5">
        <v>2</v>
      </c>
      <c r="G175" s="5">
        <v>40789</v>
      </c>
      <c r="H175" s="5">
        <v>0</v>
      </c>
      <c r="I175" s="6">
        <v>46102</v>
      </c>
      <c r="J175" s="6">
        <v>46108</v>
      </c>
      <c r="K175" s="10" t="s">
        <v>24</v>
      </c>
      <c r="L175" s="17" t="str">
        <f t="shared" si="2"/>
        <v>Not Eligible</v>
      </c>
    </row>
    <row r="176" spans="1:12" ht="15" thickBot="1" x14ac:dyDescent="0.4">
      <c r="A176" s="5">
        <v>1145</v>
      </c>
      <c r="B176" s="5" t="s">
        <v>42</v>
      </c>
      <c r="C176" s="5" t="s">
        <v>33</v>
      </c>
      <c r="D176" s="5" t="s">
        <v>34</v>
      </c>
      <c r="E176" s="5" t="s">
        <v>39</v>
      </c>
      <c r="F176" s="5">
        <v>2</v>
      </c>
      <c r="G176" s="5">
        <v>34429</v>
      </c>
      <c r="H176" s="5">
        <v>12</v>
      </c>
      <c r="I176" s="6">
        <v>46102</v>
      </c>
      <c r="J176" s="6">
        <v>46112</v>
      </c>
      <c r="K176" s="10" t="s">
        <v>24</v>
      </c>
      <c r="L176" s="17" t="str">
        <f t="shared" si="2"/>
        <v>Eligible</v>
      </c>
    </row>
    <row r="177" spans="1:12" ht="15" thickBot="1" x14ac:dyDescent="0.4">
      <c r="A177" s="5">
        <v>1121</v>
      </c>
      <c r="B177" s="5" t="s">
        <v>29</v>
      </c>
      <c r="C177" s="5" t="s">
        <v>12</v>
      </c>
      <c r="D177" s="5" t="s">
        <v>34</v>
      </c>
      <c r="E177" s="5" t="s">
        <v>39</v>
      </c>
      <c r="F177" s="5">
        <v>4</v>
      </c>
      <c r="G177" s="5">
        <v>55809</v>
      </c>
      <c r="H177" s="5">
        <v>2</v>
      </c>
      <c r="I177" s="6">
        <v>46103</v>
      </c>
      <c r="J177" s="6">
        <v>46108</v>
      </c>
      <c r="K177" s="10" t="s">
        <v>29</v>
      </c>
      <c r="L177" s="17" t="str">
        <f t="shared" si="2"/>
        <v>Not Eligible</v>
      </c>
    </row>
    <row r="178" spans="1:12" ht="15" thickBot="1" x14ac:dyDescent="0.4">
      <c r="A178" s="5">
        <v>1209</v>
      </c>
      <c r="B178" s="5" t="s">
        <v>48</v>
      </c>
      <c r="C178" s="5" t="s">
        <v>38</v>
      </c>
      <c r="D178" s="5" t="s">
        <v>34</v>
      </c>
      <c r="E178" s="5" t="s">
        <v>35</v>
      </c>
      <c r="F178" s="5">
        <v>19</v>
      </c>
      <c r="G178" s="5">
        <v>20284</v>
      </c>
      <c r="H178" s="5">
        <v>10</v>
      </c>
      <c r="I178" s="6">
        <v>46103</v>
      </c>
      <c r="J178" s="6">
        <v>46110</v>
      </c>
      <c r="K178" s="10" t="s">
        <v>20</v>
      </c>
      <c r="L178" s="17" t="str">
        <f t="shared" si="2"/>
        <v>Eligible</v>
      </c>
    </row>
    <row r="179" spans="1:12" ht="15" thickBot="1" x14ac:dyDescent="0.4">
      <c r="A179" s="5">
        <v>1161</v>
      </c>
      <c r="B179" s="5" t="s">
        <v>27</v>
      </c>
      <c r="C179" s="5" t="s">
        <v>25</v>
      </c>
      <c r="D179" s="5" t="s">
        <v>34</v>
      </c>
      <c r="E179" s="5" t="s">
        <v>39</v>
      </c>
      <c r="F179" s="5">
        <v>4</v>
      </c>
      <c r="G179" s="5">
        <v>54659</v>
      </c>
      <c r="H179" s="5">
        <v>7</v>
      </c>
      <c r="I179" s="6">
        <v>46105</v>
      </c>
      <c r="J179" s="6">
        <v>46109</v>
      </c>
      <c r="K179" s="10" t="s">
        <v>20</v>
      </c>
      <c r="L179" s="17" t="str">
        <f t="shared" si="2"/>
        <v>Not Eligible</v>
      </c>
    </row>
    <row r="180" spans="1:12" ht="15" thickBot="1" x14ac:dyDescent="0.4">
      <c r="A180" s="5">
        <v>1377</v>
      </c>
      <c r="B180" s="5" t="s">
        <v>32</v>
      </c>
      <c r="C180" s="5" t="s">
        <v>38</v>
      </c>
      <c r="D180" s="5" t="s">
        <v>18</v>
      </c>
      <c r="E180" s="5" t="s">
        <v>19</v>
      </c>
      <c r="F180" s="5">
        <v>3</v>
      </c>
      <c r="G180" s="5">
        <v>5480</v>
      </c>
      <c r="H180" s="5">
        <v>12</v>
      </c>
      <c r="I180" s="6">
        <v>46105</v>
      </c>
      <c r="J180" s="6">
        <v>46111</v>
      </c>
      <c r="K180" s="10" t="s">
        <v>24</v>
      </c>
      <c r="L180" s="17" t="str">
        <f t="shared" si="2"/>
        <v>Not Eligible</v>
      </c>
    </row>
    <row r="181" spans="1:12" ht="15" thickBot="1" x14ac:dyDescent="0.4">
      <c r="A181" s="5">
        <v>1170</v>
      </c>
      <c r="B181" s="5" t="s">
        <v>49</v>
      </c>
      <c r="C181" s="5" t="s">
        <v>38</v>
      </c>
      <c r="D181" s="5" t="s">
        <v>13</v>
      </c>
      <c r="E181" s="5" t="s">
        <v>14</v>
      </c>
      <c r="F181" s="5">
        <v>6</v>
      </c>
      <c r="G181" s="5">
        <v>339</v>
      </c>
      <c r="H181" s="5">
        <v>12</v>
      </c>
      <c r="I181" s="6">
        <v>46105</v>
      </c>
      <c r="J181" s="6">
        <v>46106</v>
      </c>
      <c r="K181" s="10" t="s">
        <v>24</v>
      </c>
      <c r="L181" s="17" t="str">
        <f t="shared" si="2"/>
        <v>Not Eligible</v>
      </c>
    </row>
    <row r="182" spans="1:12" ht="15" thickBot="1" x14ac:dyDescent="0.4">
      <c r="A182" s="5">
        <v>1102</v>
      </c>
      <c r="B182" s="5" t="s">
        <v>54</v>
      </c>
      <c r="C182" s="5" t="s">
        <v>25</v>
      </c>
      <c r="D182" s="5" t="s">
        <v>34</v>
      </c>
      <c r="E182" s="5" t="s">
        <v>45</v>
      </c>
      <c r="F182" s="5">
        <v>12</v>
      </c>
      <c r="G182" s="5">
        <v>63402</v>
      </c>
      <c r="H182" s="5">
        <v>7</v>
      </c>
      <c r="I182" s="6">
        <v>46106</v>
      </c>
      <c r="J182" s="6">
        <v>46113</v>
      </c>
      <c r="K182" s="10" t="s">
        <v>51</v>
      </c>
      <c r="L182" s="17" t="str">
        <f t="shared" si="2"/>
        <v>Not Eligible</v>
      </c>
    </row>
    <row r="183" spans="1:12" ht="15" thickBot="1" x14ac:dyDescent="0.4">
      <c r="A183" s="5">
        <v>1198</v>
      </c>
      <c r="B183" s="5" t="s">
        <v>58</v>
      </c>
      <c r="C183" s="5" t="s">
        <v>12</v>
      </c>
      <c r="D183" s="5" t="s">
        <v>13</v>
      </c>
      <c r="E183" s="5" t="s">
        <v>14</v>
      </c>
      <c r="F183" s="5">
        <v>12</v>
      </c>
      <c r="G183" s="5">
        <v>491</v>
      </c>
      <c r="H183" s="5">
        <v>2</v>
      </c>
      <c r="I183" s="6">
        <v>46106</v>
      </c>
      <c r="J183" s="6">
        <v>46109</v>
      </c>
      <c r="K183" s="10" t="s">
        <v>51</v>
      </c>
      <c r="L183" s="17" t="str">
        <f t="shared" si="2"/>
        <v>Not Eligible</v>
      </c>
    </row>
    <row r="184" spans="1:12" ht="15" thickBot="1" x14ac:dyDescent="0.4">
      <c r="A184" s="5">
        <v>1379</v>
      </c>
      <c r="B184" s="5" t="s">
        <v>47</v>
      </c>
      <c r="C184" s="5" t="s">
        <v>17</v>
      </c>
      <c r="D184" s="5" t="s">
        <v>13</v>
      </c>
      <c r="E184" s="5" t="s">
        <v>14</v>
      </c>
      <c r="F184" s="5">
        <v>11</v>
      </c>
      <c r="G184" s="5">
        <v>136</v>
      </c>
      <c r="H184" s="5">
        <v>15</v>
      </c>
      <c r="I184" s="6">
        <v>46106</v>
      </c>
      <c r="J184" s="6">
        <v>46107</v>
      </c>
      <c r="K184" s="10" t="s">
        <v>20</v>
      </c>
      <c r="L184" s="17" t="str">
        <f t="shared" si="2"/>
        <v>Not Eligible</v>
      </c>
    </row>
    <row r="185" spans="1:12" ht="15" thickBot="1" x14ac:dyDescent="0.4">
      <c r="A185" s="5">
        <v>1039</v>
      </c>
      <c r="B185" s="5" t="s">
        <v>48</v>
      </c>
      <c r="C185" s="5" t="s">
        <v>38</v>
      </c>
      <c r="D185" s="5" t="s">
        <v>34</v>
      </c>
      <c r="E185" s="5" t="s">
        <v>45</v>
      </c>
      <c r="F185" s="5">
        <v>5</v>
      </c>
      <c r="G185" s="5">
        <v>60236</v>
      </c>
      <c r="H185" s="5">
        <v>10</v>
      </c>
      <c r="I185" s="6">
        <v>46107</v>
      </c>
      <c r="J185" s="6">
        <v>46110</v>
      </c>
      <c r="K185" s="10" t="s">
        <v>20</v>
      </c>
      <c r="L185" s="17" t="str">
        <f t="shared" si="2"/>
        <v>Eligible</v>
      </c>
    </row>
    <row r="186" spans="1:12" ht="15" thickBot="1" x14ac:dyDescent="0.4">
      <c r="A186" s="5">
        <v>1321</v>
      </c>
      <c r="B186" s="5" t="s">
        <v>32</v>
      </c>
      <c r="C186" s="5" t="s">
        <v>22</v>
      </c>
      <c r="D186" s="5" t="s">
        <v>18</v>
      </c>
      <c r="E186" s="5" t="s">
        <v>19</v>
      </c>
      <c r="F186" s="5">
        <v>8</v>
      </c>
      <c r="G186" s="5">
        <v>5619</v>
      </c>
      <c r="H186" s="5">
        <v>7</v>
      </c>
      <c r="I186" s="6">
        <v>46107</v>
      </c>
      <c r="J186" s="6">
        <v>46109</v>
      </c>
      <c r="K186" s="10" t="s">
        <v>51</v>
      </c>
      <c r="L186" s="17" t="str">
        <f t="shared" si="2"/>
        <v>Not Eligible</v>
      </c>
    </row>
    <row r="187" spans="1:12" ht="15" thickBot="1" x14ac:dyDescent="0.4">
      <c r="A187" s="5">
        <v>1123</v>
      </c>
      <c r="B187" s="5" t="s">
        <v>32</v>
      </c>
      <c r="C187" s="5" t="s">
        <v>31</v>
      </c>
      <c r="D187" s="5" t="s">
        <v>34</v>
      </c>
      <c r="E187" s="5" t="s">
        <v>45</v>
      </c>
      <c r="F187" s="5">
        <v>16</v>
      </c>
      <c r="G187" s="5">
        <v>1332</v>
      </c>
      <c r="H187" s="5">
        <v>7</v>
      </c>
      <c r="I187" s="6">
        <v>46107</v>
      </c>
      <c r="J187" s="6">
        <v>46109</v>
      </c>
      <c r="K187" s="10" t="s">
        <v>29</v>
      </c>
      <c r="L187" s="17" t="str">
        <f t="shared" si="2"/>
        <v>Not Eligible</v>
      </c>
    </row>
    <row r="188" spans="1:12" ht="15" thickBot="1" x14ac:dyDescent="0.4">
      <c r="A188" s="5">
        <v>1182</v>
      </c>
      <c r="B188" s="5" t="s">
        <v>42</v>
      </c>
      <c r="C188" s="5" t="s">
        <v>12</v>
      </c>
      <c r="D188" s="5" t="s">
        <v>34</v>
      </c>
      <c r="E188" s="5" t="s">
        <v>39</v>
      </c>
      <c r="F188" s="5">
        <v>8</v>
      </c>
      <c r="G188" s="5">
        <v>66022</v>
      </c>
      <c r="H188" s="5">
        <v>12</v>
      </c>
      <c r="I188" s="6">
        <v>46108</v>
      </c>
      <c r="J188" s="6">
        <v>46114</v>
      </c>
      <c r="K188" s="10" t="s">
        <v>24</v>
      </c>
      <c r="L188" s="17" t="str">
        <f t="shared" si="2"/>
        <v>Eligible</v>
      </c>
    </row>
    <row r="189" spans="1:12" ht="15" thickBot="1" x14ac:dyDescent="0.4">
      <c r="A189" s="5">
        <v>1183</v>
      </c>
      <c r="B189" s="5" t="s">
        <v>52</v>
      </c>
      <c r="C189" s="5" t="s">
        <v>43</v>
      </c>
      <c r="D189" s="5" t="s">
        <v>13</v>
      </c>
      <c r="E189" s="5" t="s">
        <v>14</v>
      </c>
      <c r="F189" s="5">
        <v>2</v>
      </c>
      <c r="G189" s="5">
        <v>309</v>
      </c>
      <c r="H189" s="5">
        <v>2</v>
      </c>
      <c r="I189" s="6">
        <v>46109</v>
      </c>
      <c r="J189" s="6">
        <v>46111</v>
      </c>
      <c r="K189" s="10" t="s">
        <v>20</v>
      </c>
      <c r="L189" s="17" t="str">
        <f t="shared" si="2"/>
        <v>Not Eligible</v>
      </c>
    </row>
    <row r="190" spans="1:12" ht="15" thickBot="1" x14ac:dyDescent="0.4">
      <c r="A190" s="5">
        <v>1328</v>
      </c>
      <c r="B190" s="5" t="s">
        <v>16</v>
      </c>
      <c r="C190" s="5" t="s">
        <v>38</v>
      </c>
      <c r="D190" s="5" t="s">
        <v>13</v>
      </c>
      <c r="E190" s="5" t="s">
        <v>36</v>
      </c>
      <c r="F190" s="5">
        <v>4</v>
      </c>
      <c r="G190" s="5">
        <v>132</v>
      </c>
      <c r="H190" s="5">
        <v>0</v>
      </c>
      <c r="I190" s="6">
        <v>46109</v>
      </c>
      <c r="J190" s="6">
        <v>46114</v>
      </c>
      <c r="K190" s="10" t="s">
        <v>29</v>
      </c>
      <c r="L190" s="17" t="str">
        <f t="shared" si="2"/>
        <v>Not Eligible</v>
      </c>
    </row>
    <row r="191" spans="1:12" ht="15" thickBot="1" x14ac:dyDescent="0.4">
      <c r="A191" s="5">
        <v>1290</v>
      </c>
      <c r="B191" s="5" t="s">
        <v>26</v>
      </c>
      <c r="C191" s="5" t="s">
        <v>22</v>
      </c>
      <c r="D191" s="5" t="s">
        <v>34</v>
      </c>
      <c r="E191" s="5" t="s">
        <v>35</v>
      </c>
      <c r="F191" s="5">
        <v>3</v>
      </c>
      <c r="G191" s="5">
        <v>69793</v>
      </c>
      <c r="H191" s="5">
        <v>15</v>
      </c>
      <c r="I191" s="6">
        <v>46110</v>
      </c>
      <c r="J191" s="6">
        <v>46111</v>
      </c>
      <c r="K191" s="10" t="s">
        <v>29</v>
      </c>
      <c r="L191" s="17" t="str">
        <f t="shared" si="2"/>
        <v>Eligible</v>
      </c>
    </row>
    <row r="192" spans="1:12" ht="15" thickBot="1" x14ac:dyDescent="0.4">
      <c r="A192" s="5">
        <v>1193</v>
      </c>
      <c r="B192" s="5" t="s">
        <v>57</v>
      </c>
      <c r="C192" s="5" t="s">
        <v>12</v>
      </c>
      <c r="D192" s="5" t="s">
        <v>18</v>
      </c>
      <c r="E192" s="5" t="s">
        <v>23</v>
      </c>
      <c r="F192" s="5">
        <v>19</v>
      </c>
      <c r="G192" s="5">
        <v>2699</v>
      </c>
      <c r="H192" s="5">
        <v>7</v>
      </c>
      <c r="I192" s="6">
        <v>46110</v>
      </c>
      <c r="J192" s="6">
        <v>46112</v>
      </c>
      <c r="K192" s="10" t="s">
        <v>29</v>
      </c>
      <c r="L192" s="17" t="str">
        <f t="shared" si="2"/>
        <v>Not Eligible</v>
      </c>
    </row>
    <row r="193" spans="1:12" ht="15" thickBot="1" x14ac:dyDescent="0.4">
      <c r="A193" s="5">
        <v>1300</v>
      </c>
      <c r="B193" s="5" t="s">
        <v>47</v>
      </c>
      <c r="C193" s="5" t="s">
        <v>33</v>
      </c>
      <c r="D193" s="5" t="s">
        <v>34</v>
      </c>
      <c r="E193" s="5" t="s">
        <v>45</v>
      </c>
      <c r="F193" s="5">
        <v>20</v>
      </c>
      <c r="G193" s="5">
        <v>1392</v>
      </c>
      <c r="H193" s="5">
        <v>2</v>
      </c>
      <c r="I193" s="6">
        <v>46110</v>
      </c>
      <c r="J193" s="6">
        <v>46117</v>
      </c>
      <c r="K193" s="10" t="s">
        <v>24</v>
      </c>
      <c r="L193" s="17" t="str">
        <f t="shared" si="2"/>
        <v>Not Eligible</v>
      </c>
    </row>
    <row r="194" spans="1:12" ht="15" thickBot="1" x14ac:dyDescent="0.4">
      <c r="A194" s="5">
        <v>1180</v>
      </c>
      <c r="B194" s="5" t="s">
        <v>40</v>
      </c>
      <c r="C194" s="5" t="s">
        <v>31</v>
      </c>
      <c r="D194" s="5" t="s">
        <v>18</v>
      </c>
      <c r="E194" s="5" t="s">
        <v>28</v>
      </c>
      <c r="F194" s="5">
        <v>2</v>
      </c>
      <c r="G194" s="5">
        <v>2076</v>
      </c>
      <c r="H194" s="5">
        <v>2</v>
      </c>
      <c r="I194" s="6">
        <v>46111</v>
      </c>
      <c r="J194" s="6">
        <v>46121</v>
      </c>
      <c r="K194" s="10" t="s">
        <v>29</v>
      </c>
      <c r="L194" s="17" t="str">
        <f t="shared" si="2"/>
        <v>Not Eligible</v>
      </c>
    </row>
    <row r="195" spans="1:12" ht="15" thickBot="1" x14ac:dyDescent="0.4">
      <c r="A195" s="5">
        <v>1178</v>
      </c>
      <c r="B195" s="5" t="s">
        <v>57</v>
      </c>
      <c r="C195" s="5" t="s">
        <v>17</v>
      </c>
      <c r="D195" s="5" t="s">
        <v>13</v>
      </c>
      <c r="E195" s="5" t="s">
        <v>50</v>
      </c>
      <c r="F195" s="5">
        <v>5</v>
      </c>
      <c r="G195" s="5">
        <v>50</v>
      </c>
      <c r="H195" s="5">
        <v>0</v>
      </c>
      <c r="I195" s="6">
        <v>46111</v>
      </c>
      <c r="J195" s="6">
        <v>46117</v>
      </c>
      <c r="K195" s="10" t="s">
        <v>20</v>
      </c>
      <c r="L195" s="17" t="str">
        <f t="shared" ref="L195:L258" si="3">IF(AND(D195="Electronics",H195&gt;=10),"Eligible","Not Eligible")</f>
        <v>Not Eligible</v>
      </c>
    </row>
    <row r="196" spans="1:12" ht="15" thickBot="1" x14ac:dyDescent="0.4">
      <c r="A196" s="5">
        <v>1251</v>
      </c>
      <c r="B196" s="5" t="s">
        <v>55</v>
      </c>
      <c r="C196" s="5" t="s">
        <v>38</v>
      </c>
      <c r="D196" s="5" t="s">
        <v>34</v>
      </c>
      <c r="E196" s="5" t="s">
        <v>61</v>
      </c>
      <c r="F196" s="5">
        <v>19</v>
      </c>
      <c r="G196" s="5">
        <v>48548</v>
      </c>
      <c r="H196" s="5">
        <v>0</v>
      </c>
      <c r="I196" s="6">
        <v>46112</v>
      </c>
      <c r="J196" s="6">
        <v>46121</v>
      </c>
      <c r="K196" s="10" t="s">
        <v>51</v>
      </c>
      <c r="L196" s="17" t="str">
        <f t="shared" si="3"/>
        <v>Not Eligible</v>
      </c>
    </row>
    <row r="197" spans="1:12" ht="15" thickBot="1" x14ac:dyDescent="0.4">
      <c r="A197" s="5">
        <v>1133</v>
      </c>
      <c r="B197" s="5" t="s">
        <v>11</v>
      </c>
      <c r="C197" s="5" t="s">
        <v>12</v>
      </c>
      <c r="D197" s="5" t="s">
        <v>18</v>
      </c>
      <c r="E197" s="5" t="s">
        <v>56</v>
      </c>
      <c r="F197" s="5">
        <v>6</v>
      </c>
      <c r="G197" s="5">
        <v>9037</v>
      </c>
      <c r="H197" s="5">
        <v>2</v>
      </c>
      <c r="I197" s="6">
        <v>46112</v>
      </c>
      <c r="J197" s="6">
        <v>46121</v>
      </c>
      <c r="K197" s="10" t="s">
        <v>51</v>
      </c>
      <c r="L197" s="17" t="str">
        <f t="shared" si="3"/>
        <v>Not Eligible</v>
      </c>
    </row>
    <row r="198" spans="1:12" ht="15" thickBot="1" x14ac:dyDescent="0.4">
      <c r="A198" s="5">
        <v>1227</v>
      </c>
      <c r="B198" s="5" t="s">
        <v>58</v>
      </c>
      <c r="C198" s="5" t="s">
        <v>22</v>
      </c>
      <c r="D198" s="5" t="s">
        <v>34</v>
      </c>
      <c r="E198" s="5" t="s">
        <v>45</v>
      </c>
      <c r="F198" s="5">
        <v>16</v>
      </c>
      <c r="G198" s="5">
        <v>1321</v>
      </c>
      <c r="H198" s="5">
        <v>12</v>
      </c>
      <c r="I198" s="6">
        <v>46113</v>
      </c>
      <c r="J198" s="6">
        <v>46116</v>
      </c>
      <c r="K198" s="10" t="s">
        <v>15</v>
      </c>
      <c r="L198" s="17" t="str">
        <f t="shared" si="3"/>
        <v>Eligible</v>
      </c>
    </row>
    <row r="199" spans="1:12" ht="15" thickBot="1" x14ac:dyDescent="0.4">
      <c r="A199" s="5">
        <v>1077</v>
      </c>
      <c r="B199" s="5" t="s">
        <v>55</v>
      </c>
      <c r="C199" s="5" t="s">
        <v>25</v>
      </c>
      <c r="D199" s="5" t="s">
        <v>13</v>
      </c>
      <c r="E199" s="5" t="s">
        <v>14</v>
      </c>
      <c r="F199" s="5">
        <v>1</v>
      </c>
      <c r="G199" s="5">
        <v>123</v>
      </c>
      <c r="H199" s="5">
        <v>10</v>
      </c>
      <c r="I199" s="6">
        <v>46113</v>
      </c>
      <c r="J199" s="6">
        <v>46121</v>
      </c>
      <c r="K199" s="10" t="s">
        <v>51</v>
      </c>
      <c r="L199" s="17" t="str">
        <f t="shared" si="3"/>
        <v>Not Eligible</v>
      </c>
    </row>
    <row r="200" spans="1:12" ht="15" thickBot="1" x14ac:dyDescent="0.4">
      <c r="A200" s="5">
        <v>1059</v>
      </c>
      <c r="B200" s="5" t="s">
        <v>54</v>
      </c>
      <c r="C200" s="5" t="s">
        <v>25</v>
      </c>
      <c r="D200" s="5" t="s">
        <v>13</v>
      </c>
      <c r="E200" s="5" t="s">
        <v>50</v>
      </c>
      <c r="F200" s="5">
        <v>20</v>
      </c>
      <c r="G200" s="5">
        <v>112</v>
      </c>
      <c r="H200" s="5">
        <v>10</v>
      </c>
      <c r="I200" s="6">
        <v>46113</v>
      </c>
      <c r="J200" s="6">
        <v>46122</v>
      </c>
      <c r="K200" s="10" t="s">
        <v>51</v>
      </c>
      <c r="L200" s="17" t="str">
        <f t="shared" si="3"/>
        <v>Not Eligible</v>
      </c>
    </row>
    <row r="201" spans="1:12" ht="15" thickBot="1" x14ac:dyDescent="0.4">
      <c r="A201" s="5">
        <v>1234</v>
      </c>
      <c r="B201" s="5" t="s">
        <v>11</v>
      </c>
      <c r="C201" s="5" t="s">
        <v>25</v>
      </c>
      <c r="D201" s="5" t="s">
        <v>18</v>
      </c>
      <c r="E201" s="5" t="s">
        <v>28</v>
      </c>
      <c r="F201" s="5">
        <v>1</v>
      </c>
      <c r="G201" s="5">
        <v>14320</v>
      </c>
      <c r="H201" s="5">
        <v>12</v>
      </c>
      <c r="I201" s="6">
        <v>46114</v>
      </c>
      <c r="J201" s="6">
        <v>46121</v>
      </c>
      <c r="K201" s="10" t="s">
        <v>51</v>
      </c>
      <c r="L201" s="17" t="str">
        <f t="shared" si="3"/>
        <v>Not Eligible</v>
      </c>
    </row>
    <row r="202" spans="1:12" ht="15" thickBot="1" x14ac:dyDescent="0.4">
      <c r="A202" s="5">
        <v>1074</v>
      </c>
      <c r="B202" s="5" t="s">
        <v>26</v>
      </c>
      <c r="C202" s="5" t="s">
        <v>31</v>
      </c>
      <c r="D202" s="5" t="s">
        <v>13</v>
      </c>
      <c r="E202" s="5" t="s">
        <v>50</v>
      </c>
      <c r="F202" s="5">
        <v>11</v>
      </c>
      <c r="G202" s="5">
        <v>390</v>
      </c>
      <c r="H202" s="5">
        <v>15</v>
      </c>
      <c r="I202" s="6">
        <v>46114</v>
      </c>
      <c r="J202" s="6">
        <v>46123</v>
      </c>
      <c r="K202" s="10" t="s">
        <v>29</v>
      </c>
      <c r="L202" s="17" t="str">
        <f t="shared" si="3"/>
        <v>Not Eligible</v>
      </c>
    </row>
    <row r="203" spans="1:12" ht="15" thickBot="1" x14ac:dyDescent="0.4">
      <c r="A203" s="5">
        <v>1213</v>
      </c>
      <c r="B203" s="5" t="s">
        <v>32</v>
      </c>
      <c r="C203" s="5" t="s">
        <v>38</v>
      </c>
      <c r="D203" s="5" t="s">
        <v>34</v>
      </c>
      <c r="E203" s="5" t="s">
        <v>45</v>
      </c>
      <c r="F203" s="5">
        <v>16</v>
      </c>
      <c r="G203" s="5">
        <v>27741</v>
      </c>
      <c r="H203" s="5">
        <v>12</v>
      </c>
      <c r="I203" s="6">
        <v>46116</v>
      </c>
      <c r="J203" s="6">
        <v>46119</v>
      </c>
      <c r="K203" s="10" t="s">
        <v>15</v>
      </c>
      <c r="L203" s="17" t="str">
        <f t="shared" si="3"/>
        <v>Eligible</v>
      </c>
    </row>
    <row r="204" spans="1:12" ht="15" thickBot="1" x14ac:dyDescent="0.4">
      <c r="A204" s="5">
        <v>1028</v>
      </c>
      <c r="B204" s="5" t="s">
        <v>47</v>
      </c>
      <c r="C204" s="5" t="s">
        <v>22</v>
      </c>
      <c r="D204" s="5" t="s">
        <v>13</v>
      </c>
      <c r="E204" s="5" t="s">
        <v>36</v>
      </c>
      <c r="F204" s="5">
        <v>13</v>
      </c>
      <c r="G204" s="5">
        <v>433</v>
      </c>
      <c r="H204" s="5">
        <v>2</v>
      </c>
      <c r="I204" s="6">
        <v>46116</v>
      </c>
      <c r="J204" s="6">
        <v>46121</v>
      </c>
      <c r="K204" s="10" t="s">
        <v>24</v>
      </c>
      <c r="L204" s="17" t="str">
        <f t="shared" si="3"/>
        <v>Not Eligible</v>
      </c>
    </row>
    <row r="205" spans="1:12" ht="15" thickBot="1" x14ac:dyDescent="0.4">
      <c r="A205" s="5">
        <v>1287</v>
      </c>
      <c r="B205" s="5" t="s">
        <v>59</v>
      </c>
      <c r="C205" s="5" t="s">
        <v>31</v>
      </c>
      <c r="D205" s="5" t="s">
        <v>13</v>
      </c>
      <c r="E205" s="5" t="s">
        <v>14</v>
      </c>
      <c r="F205" s="5">
        <v>15</v>
      </c>
      <c r="G205" s="5">
        <v>251</v>
      </c>
      <c r="H205" s="5">
        <v>2</v>
      </c>
      <c r="I205" s="6">
        <v>46116</v>
      </c>
      <c r="J205" s="6">
        <v>46122</v>
      </c>
      <c r="K205" s="10" t="s">
        <v>51</v>
      </c>
      <c r="L205" s="17" t="str">
        <f t="shared" si="3"/>
        <v>Not Eligible</v>
      </c>
    </row>
    <row r="206" spans="1:12" ht="15" thickBot="1" x14ac:dyDescent="0.4">
      <c r="A206" s="5">
        <v>1022</v>
      </c>
      <c r="B206" s="5" t="s">
        <v>26</v>
      </c>
      <c r="C206" s="5" t="s">
        <v>17</v>
      </c>
      <c r="D206" s="5" t="s">
        <v>34</v>
      </c>
      <c r="E206" s="5" t="s">
        <v>45</v>
      </c>
      <c r="F206" s="5">
        <v>15</v>
      </c>
      <c r="G206" s="5">
        <v>11596</v>
      </c>
      <c r="H206" s="5">
        <v>0</v>
      </c>
      <c r="I206" s="6">
        <v>46117</v>
      </c>
      <c r="J206" s="6">
        <v>46121</v>
      </c>
      <c r="K206" s="10" t="s">
        <v>29</v>
      </c>
      <c r="L206" s="17" t="str">
        <f t="shared" si="3"/>
        <v>Not Eligible</v>
      </c>
    </row>
    <row r="207" spans="1:12" ht="15" thickBot="1" x14ac:dyDescent="0.4">
      <c r="A207" s="5">
        <v>1265</v>
      </c>
      <c r="B207" s="5" t="s">
        <v>58</v>
      </c>
      <c r="C207" s="5" t="s">
        <v>22</v>
      </c>
      <c r="D207" s="5" t="s">
        <v>18</v>
      </c>
      <c r="E207" s="5" t="s">
        <v>19</v>
      </c>
      <c r="F207" s="5">
        <v>1</v>
      </c>
      <c r="G207" s="5">
        <v>1052</v>
      </c>
      <c r="H207" s="5">
        <v>7</v>
      </c>
      <c r="I207" s="6">
        <v>46117</v>
      </c>
      <c r="J207" s="6">
        <v>46127</v>
      </c>
      <c r="K207" s="10" t="s">
        <v>51</v>
      </c>
      <c r="L207" s="17" t="str">
        <f t="shared" si="3"/>
        <v>Not Eligible</v>
      </c>
    </row>
    <row r="208" spans="1:12" ht="15" thickBot="1" x14ac:dyDescent="0.4">
      <c r="A208" s="5">
        <v>1354</v>
      </c>
      <c r="B208" s="5" t="s">
        <v>47</v>
      </c>
      <c r="C208" s="5" t="s">
        <v>43</v>
      </c>
      <c r="D208" s="5" t="s">
        <v>34</v>
      </c>
      <c r="E208" s="5" t="s">
        <v>35</v>
      </c>
      <c r="F208" s="5">
        <v>15</v>
      </c>
      <c r="G208" s="5">
        <v>14927</v>
      </c>
      <c r="H208" s="5">
        <v>15</v>
      </c>
      <c r="I208" s="6">
        <v>46118</v>
      </c>
      <c r="J208" s="6">
        <v>46120</v>
      </c>
      <c r="K208" s="10" t="s">
        <v>51</v>
      </c>
      <c r="L208" s="17" t="str">
        <f t="shared" si="3"/>
        <v>Eligible</v>
      </c>
    </row>
    <row r="209" spans="1:12" ht="15" thickBot="1" x14ac:dyDescent="0.4">
      <c r="A209" s="5">
        <v>1108</v>
      </c>
      <c r="B209" s="5" t="s">
        <v>42</v>
      </c>
      <c r="C209" s="5" t="s">
        <v>33</v>
      </c>
      <c r="D209" s="5" t="s">
        <v>18</v>
      </c>
      <c r="E209" s="5" t="s">
        <v>28</v>
      </c>
      <c r="F209" s="5">
        <v>15</v>
      </c>
      <c r="G209" s="5">
        <v>13843</v>
      </c>
      <c r="H209" s="5">
        <v>7</v>
      </c>
      <c r="I209" s="6">
        <v>46119</v>
      </c>
      <c r="J209" s="6">
        <v>46127</v>
      </c>
      <c r="K209" s="10" t="s">
        <v>20</v>
      </c>
      <c r="L209" s="17" t="str">
        <f t="shared" si="3"/>
        <v>Not Eligible</v>
      </c>
    </row>
    <row r="210" spans="1:12" ht="15" thickBot="1" x14ac:dyDescent="0.4">
      <c r="A210" s="5">
        <v>1241</v>
      </c>
      <c r="B210" s="5" t="s">
        <v>46</v>
      </c>
      <c r="C210" s="5" t="s">
        <v>31</v>
      </c>
      <c r="D210" s="5" t="s">
        <v>18</v>
      </c>
      <c r="E210" s="5" t="s">
        <v>44</v>
      </c>
      <c r="F210" s="5">
        <v>1</v>
      </c>
      <c r="G210" s="5">
        <v>12537</v>
      </c>
      <c r="H210" s="5">
        <v>0</v>
      </c>
      <c r="I210" s="6">
        <v>46119</v>
      </c>
      <c r="J210" s="6">
        <v>46122</v>
      </c>
      <c r="K210" s="10" t="s">
        <v>15</v>
      </c>
      <c r="L210" s="17" t="str">
        <f t="shared" si="3"/>
        <v>Not Eligible</v>
      </c>
    </row>
    <row r="211" spans="1:12" ht="15" thickBot="1" x14ac:dyDescent="0.4">
      <c r="A211" s="5">
        <v>1203</v>
      </c>
      <c r="B211" s="5" t="s">
        <v>40</v>
      </c>
      <c r="C211" s="5" t="s">
        <v>22</v>
      </c>
      <c r="D211" s="5" t="s">
        <v>18</v>
      </c>
      <c r="E211" s="5" t="s">
        <v>23</v>
      </c>
      <c r="F211" s="5">
        <v>17</v>
      </c>
      <c r="G211" s="5">
        <v>6695</v>
      </c>
      <c r="H211" s="5">
        <v>2</v>
      </c>
      <c r="I211" s="6">
        <v>46119</v>
      </c>
      <c r="J211" s="6">
        <v>46122</v>
      </c>
      <c r="K211" s="10" t="s">
        <v>51</v>
      </c>
      <c r="L211" s="17" t="str">
        <f t="shared" si="3"/>
        <v>Not Eligible</v>
      </c>
    </row>
    <row r="212" spans="1:12" ht="15" thickBot="1" x14ac:dyDescent="0.4">
      <c r="A212" s="5">
        <v>1261</v>
      </c>
      <c r="B212" s="5" t="s">
        <v>40</v>
      </c>
      <c r="C212" s="5" t="s">
        <v>17</v>
      </c>
      <c r="D212" s="5" t="s">
        <v>13</v>
      </c>
      <c r="E212" s="5" t="s">
        <v>50</v>
      </c>
      <c r="F212" s="5">
        <v>20</v>
      </c>
      <c r="G212" s="5">
        <v>162</v>
      </c>
      <c r="H212" s="5">
        <v>7</v>
      </c>
      <c r="I212" s="6">
        <v>46119</v>
      </c>
      <c r="J212" s="6">
        <v>46120</v>
      </c>
      <c r="K212" s="10" t="s">
        <v>51</v>
      </c>
      <c r="L212" s="17" t="str">
        <f t="shared" si="3"/>
        <v>Not Eligible</v>
      </c>
    </row>
    <row r="213" spans="1:12" ht="15" thickBot="1" x14ac:dyDescent="0.4">
      <c r="A213" s="5">
        <v>1172</v>
      </c>
      <c r="B213" s="5" t="s">
        <v>16</v>
      </c>
      <c r="C213" s="5" t="s">
        <v>12</v>
      </c>
      <c r="D213" s="5" t="s">
        <v>34</v>
      </c>
      <c r="E213" s="5" t="s">
        <v>45</v>
      </c>
      <c r="F213" s="5">
        <v>13</v>
      </c>
      <c r="G213" s="5">
        <v>43163</v>
      </c>
      <c r="H213" s="5">
        <v>12</v>
      </c>
      <c r="I213" s="6">
        <v>46120</v>
      </c>
      <c r="J213" s="6">
        <v>46129</v>
      </c>
      <c r="K213" s="10" t="s">
        <v>24</v>
      </c>
      <c r="L213" s="17" t="str">
        <f t="shared" si="3"/>
        <v>Eligible</v>
      </c>
    </row>
    <row r="214" spans="1:12" ht="15" thickBot="1" x14ac:dyDescent="0.4">
      <c r="A214" s="5">
        <v>1169</v>
      </c>
      <c r="B214" s="5" t="s">
        <v>47</v>
      </c>
      <c r="C214" s="5" t="s">
        <v>12</v>
      </c>
      <c r="D214" s="5" t="s">
        <v>18</v>
      </c>
      <c r="E214" s="5" t="s">
        <v>56</v>
      </c>
      <c r="F214" s="5">
        <v>12</v>
      </c>
      <c r="G214" s="5">
        <v>12104</v>
      </c>
      <c r="H214" s="5">
        <v>7</v>
      </c>
      <c r="I214" s="6">
        <v>46121</v>
      </c>
      <c r="J214" s="6">
        <v>46130</v>
      </c>
      <c r="K214" s="10" t="s">
        <v>24</v>
      </c>
      <c r="L214" s="17" t="str">
        <f t="shared" si="3"/>
        <v>Not Eligible</v>
      </c>
    </row>
    <row r="215" spans="1:12" ht="15" thickBot="1" x14ac:dyDescent="0.4">
      <c r="A215" s="5">
        <v>1363</v>
      </c>
      <c r="B215" s="5" t="s">
        <v>27</v>
      </c>
      <c r="C215" s="5" t="s">
        <v>25</v>
      </c>
      <c r="D215" s="5" t="s">
        <v>34</v>
      </c>
      <c r="E215" s="5" t="s">
        <v>35</v>
      </c>
      <c r="F215" s="5">
        <v>7</v>
      </c>
      <c r="G215" s="5">
        <v>45381</v>
      </c>
      <c r="H215" s="5">
        <v>0</v>
      </c>
      <c r="I215" s="6">
        <v>46122</v>
      </c>
      <c r="J215" s="6">
        <v>46128</v>
      </c>
      <c r="K215" s="10" t="s">
        <v>15</v>
      </c>
      <c r="L215" s="17" t="str">
        <f t="shared" si="3"/>
        <v>Not Eligible</v>
      </c>
    </row>
    <row r="216" spans="1:12" ht="15" thickBot="1" x14ac:dyDescent="0.4">
      <c r="A216" s="5">
        <v>1289</v>
      </c>
      <c r="B216" s="5" t="s">
        <v>26</v>
      </c>
      <c r="C216" s="5" t="s">
        <v>22</v>
      </c>
      <c r="D216" s="5" t="s">
        <v>34</v>
      </c>
      <c r="E216" s="5" t="s">
        <v>45</v>
      </c>
      <c r="F216" s="5">
        <v>19</v>
      </c>
      <c r="G216" s="5">
        <v>25336</v>
      </c>
      <c r="H216" s="5">
        <v>2</v>
      </c>
      <c r="I216" s="6">
        <v>46122</v>
      </c>
      <c r="J216" s="6">
        <v>46130</v>
      </c>
      <c r="K216" s="10" t="s">
        <v>24</v>
      </c>
      <c r="L216" s="17" t="str">
        <f t="shared" si="3"/>
        <v>Not Eligible</v>
      </c>
    </row>
    <row r="217" spans="1:12" ht="15" thickBot="1" x14ac:dyDescent="0.4">
      <c r="A217" s="5">
        <v>1239</v>
      </c>
      <c r="B217" s="5" t="s">
        <v>48</v>
      </c>
      <c r="C217" s="5" t="s">
        <v>17</v>
      </c>
      <c r="D217" s="5" t="s">
        <v>18</v>
      </c>
      <c r="E217" s="5" t="s">
        <v>56</v>
      </c>
      <c r="F217" s="5">
        <v>2</v>
      </c>
      <c r="G217" s="5">
        <v>12330</v>
      </c>
      <c r="H217" s="5">
        <v>12</v>
      </c>
      <c r="I217" s="6">
        <v>46122</v>
      </c>
      <c r="J217" s="6">
        <v>46125</v>
      </c>
      <c r="K217" s="10" t="s">
        <v>15</v>
      </c>
      <c r="L217" s="17" t="str">
        <f t="shared" si="3"/>
        <v>Not Eligible</v>
      </c>
    </row>
    <row r="218" spans="1:12" ht="15" thickBot="1" x14ac:dyDescent="0.4">
      <c r="A218" s="5">
        <v>1221</v>
      </c>
      <c r="B218" s="5" t="s">
        <v>11</v>
      </c>
      <c r="C218" s="5" t="s">
        <v>31</v>
      </c>
      <c r="D218" s="5" t="s">
        <v>18</v>
      </c>
      <c r="E218" s="5" t="s">
        <v>56</v>
      </c>
      <c r="F218" s="5">
        <v>18</v>
      </c>
      <c r="G218" s="5">
        <v>2681</v>
      </c>
      <c r="H218" s="5">
        <v>10</v>
      </c>
      <c r="I218" s="6">
        <v>46122</v>
      </c>
      <c r="J218" s="6">
        <v>46125</v>
      </c>
      <c r="K218" s="10" t="s">
        <v>51</v>
      </c>
      <c r="L218" s="17" t="str">
        <f t="shared" si="3"/>
        <v>Not Eligible</v>
      </c>
    </row>
    <row r="219" spans="1:12" ht="15" thickBot="1" x14ac:dyDescent="0.4">
      <c r="A219" s="5">
        <v>1299</v>
      </c>
      <c r="B219" s="5" t="s">
        <v>26</v>
      </c>
      <c r="C219" s="5" t="s">
        <v>17</v>
      </c>
      <c r="D219" s="5" t="s">
        <v>18</v>
      </c>
      <c r="E219" s="5" t="s">
        <v>56</v>
      </c>
      <c r="F219" s="5">
        <v>8</v>
      </c>
      <c r="G219" s="5">
        <v>8783</v>
      </c>
      <c r="H219" s="5">
        <v>2</v>
      </c>
      <c r="I219" s="6">
        <v>46123</v>
      </c>
      <c r="J219" s="6">
        <v>46132</v>
      </c>
      <c r="K219" s="10" t="s">
        <v>15</v>
      </c>
      <c r="L219" s="17" t="str">
        <f t="shared" si="3"/>
        <v>Not Eligible</v>
      </c>
    </row>
    <row r="220" spans="1:12" ht="15" thickBot="1" x14ac:dyDescent="0.4">
      <c r="A220" s="5">
        <v>1204</v>
      </c>
      <c r="B220" s="5" t="s">
        <v>16</v>
      </c>
      <c r="C220" s="5" t="s">
        <v>31</v>
      </c>
      <c r="D220" s="5" t="s">
        <v>13</v>
      </c>
      <c r="E220" s="5" t="s">
        <v>37</v>
      </c>
      <c r="F220" s="5">
        <v>13</v>
      </c>
      <c r="G220" s="5">
        <v>416</v>
      </c>
      <c r="H220" s="5">
        <v>10</v>
      </c>
      <c r="I220" s="6">
        <v>46123</v>
      </c>
      <c r="J220" s="6">
        <v>46132</v>
      </c>
      <c r="K220" s="10" t="s">
        <v>20</v>
      </c>
      <c r="L220" s="17" t="str">
        <f t="shared" si="3"/>
        <v>Not Eligible</v>
      </c>
    </row>
    <row r="221" spans="1:12" ht="15" thickBot="1" x14ac:dyDescent="0.4">
      <c r="A221" s="5">
        <v>1279</v>
      </c>
      <c r="B221" s="5" t="s">
        <v>55</v>
      </c>
      <c r="C221" s="5" t="s">
        <v>33</v>
      </c>
      <c r="D221" s="5" t="s">
        <v>34</v>
      </c>
      <c r="E221" s="5" t="s">
        <v>45</v>
      </c>
      <c r="F221" s="5">
        <v>20</v>
      </c>
      <c r="G221" s="5">
        <v>49042</v>
      </c>
      <c r="H221" s="5">
        <v>2</v>
      </c>
      <c r="I221" s="6">
        <v>46124</v>
      </c>
      <c r="J221" s="6">
        <v>46126</v>
      </c>
      <c r="K221" s="10" t="s">
        <v>15</v>
      </c>
      <c r="L221" s="17" t="str">
        <f t="shared" si="3"/>
        <v>Not Eligible</v>
      </c>
    </row>
    <row r="222" spans="1:12" ht="15" thickBot="1" x14ac:dyDescent="0.4">
      <c r="A222" s="5">
        <v>1392</v>
      </c>
      <c r="B222" s="5" t="s">
        <v>29</v>
      </c>
      <c r="C222" s="5" t="s">
        <v>43</v>
      </c>
      <c r="D222" s="5" t="s">
        <v>34</v>
      </c>
      <c r="E222" s="5" t="s">
        <v>35</v>
      </c>
      <c r="F222" s="5">
        <v>13</v>
      </c>
      <c r="G222" s="5">
        <v>23903</v>
      </c>
      <c r="H222" s="5">
        <v>5</v>
      </c>
      <c r="I222" s="6">
        <v>46124</v>
      </c>
      <c r="J222" s="6">
        <v>46125</v>
      </c>
      <c r="K222" s="10" t="s">
        <v>29</v>
      </c>
      <c r="L222" s="17" t="str">
        <f t="shared" si="3"/>
        <v>Not Eligible</v>
      </c>
    </row>
    <row r="223" spans="1:12" ht="15" thickBot="1" x14ac:dyDescent="0.4">
      <c r="A223" s="5">
        <v>1303</v>
      </c>
      <c r="B223" s="5" t="s">
        <v>57</v>
      </c>
      <c r="C223" s="5" t="s">
        <v>38</v>
      </c>
      <c r="D223" s="5" t="s">
        <v>34</v>
      </c>
      <c r="E223" s="5" t="s">
        <v>35</v>
      </c>
      <c r="F223" s="5">
        <v>13</v>
      </c>
      <c r="G223" s="5">
        <v>5170</v>
      </c>
      <c r="H223" s="5">
        <v>2</v>
      </c>
      <c r="I223" s="6">
        <v>46124</v>
      </c>
      <c r="J223" s="6">
        <v>46127</v>
      </c>
      <c r="K223" s="10" t="s">
        <v>15</v>
      </c>
      <c r="L223" s="17" t="str">
        <f t="shared" si="3"/>
        <v>Not Eligible</v>
      </c>
    </row>
    <row r="224" spans="1:12" ht="15" thickBot="1" x14ac:dyDescent="0.4">
      <c r="A224" s="5">
        <v>1225</v>
      </c>
      <c r="B224" s="5" t="s">
        <v>42</v>
      </c>
      <c r="C224" s="5" t="s">
        <v>31</v>
      </c>
      <c r="D224" s="5" t="s">
        <v>34</v>
      </c>
      <c r="E224" s="5" t="s">
        <v>35</v>
      </c>
      <c r="F224" s="5">
        <v>16</v>
      </c>
      <c r="G224" s="5">
        <v>32262</v>
      </c>
      <c r="H224" s="5">
        <v>12</v>
      </c>
      <c r="I224" s="6">
        <v>46125</v>
      </c>
      <c r="J224" s="6">
        <v>46126</v>
      </c>
      <c r="K224" s="10" t="s">
        <v>20</v>
      </c>
      <c r="L224" s="17" t="str">
        <f t="shared" si="3"/>
        <v>Eligible</v>
      </c>
    </row>
    <row r="225" spans="1:12" ht="15" thickBot="1" x14ac:dyDescent="0.4">
      <c r="A225" s="5">
        <v>1130</v>
      </c>
      <c r="B225" s="5" t="s">
        <v>48</v>
      </c>
      <c r="C225" s="5" t="s">
        <v>33</v>
      </c>
      <c r="D225" s="5" t="s">
        <v>13</v>
      </c>
      <c r="E225" s="5" t="s">
        <v>14</v>
      </c>
      <c r="F225" s="5">
        <v>12</v>
      </c>
      <c r="G225" s="5">
        <v>50</v>
      </c>
      <c r="H225" s="5">
        <v>2</v>
      </c>
      <c r="I225" s="6">
        <v>46125</v>
      </c>
      <c r="J225" s="6">
        <v>46131</v>
      </c>
      <c r="K225" s="10" t="s">
        <v>24</v>
      </c>
      <c r="L225" s="17" t="str">
        <f t="shared" si="3"/>
        <v>Not Eligible</v>
      </c>
    </row>
    <row r="226" spans="1:12" ht="15" thickBot="1" x14ac:dyDescent="0.4">
      <c r="A226" s="5">
        <v>1073</v>
      </c>
      <c r="B226" s="5" t="s">
        <v>58</v>
      </c>
      <c r="C226" s="5" t="s">
        <v>17</v>
      </c>
      <c r="D226" s="5" t="s">
        <v>18</v>
      </c>
      <c r="E226" s="5" t="s">
        <v>56</v>
      </c>
      <c r="F226" s="5">
        <v>4</v>
      </c>
      <c r="G226" s="5">
        <v>2453</v>
      </c>
      <c r="H226" s="5">
        <v>7</v>
      </c>
      <c r="I226" s="6">
        <v>46126</v>
      </c>
      <c r="J226" s="6">
        <v>46129</v>
      </c>
      <c r="K226" s="10" t="s">
        <v>51</v>
      </c>
      <c r="L226" s="17" t="str">
        <f t="shared" si="3"/>
        <v>Not Eligible</v>
      </c>
    </row>
    <row r="227" spans="1:12" ht="15" thickBot="1" x14ac:dyDescent="0.4">
      <c r="A227" s="5">
        <v>1098</v>
      </c>
      <c r="B227" s="5" t="s">
        <v>26</v>
      </c>
      <c r="C227" s="5" t="s">
        <v>25</v>
      </c>
      <c r="D227" s="5" t="s">
        <v>13</v>
      </c>
      <c r="E227" s="5" t="s">
        <v>53</v>
      </c>
      <c r="F227" s="5">
        <v>17</v>
      </c>
      <c r="G227" s="5">
        <v>345</v>
      </c>
      <c r="H227" s="5">
        <v>2</v>
      </c>
      <c r="I227" s="6">
        <v>46126</v>
      </c>
      <c r="J227" s="6">
        <v>46127</v>
      </c>
      <c r="K227" s="10" t="s">
        <v>51</v>
      </c>
      <c r="L227" s="17" t="str">
        <f t="shared" si="3"/>
        <v>Not Eligible</v>
      </c>
    </row>
    <row r="228" spans="1:12" ht="15" thickBot="1" x14ac:dyDescent="0.4">
      <c r="A228" s="5">
        <v>1329</v>
      </c>
      <c r="B228" s="5" t="s">
        <v>30</v>
      </c>
      <c r="C228" s="5" t="s">
        <v>43</v>
      </c>
      <c r="D228" s="5" t="s">
        <v>13</v>
      </c>
      <c r="E228" s="5" t="s">
        <v>53</v>
      </c>
      <c r="F228" s="5">
        <v>18</v>
      </c>
      <c r="G228" s="5">
        <v>227</v>
      </c>
      <c r="H228" s="5">
        <v>5</v>
      </c>
      <c r="I228" s="6">
        <v>46126</v>
      </c>
      <c r="J228" s="6">
        <v>46136</v>
      </c>
      <c r="K228" s="10" t="s">
        <v>29</v>
      </c>
      <c r="L228" s="17" t="str">
        <f t="shared" si="3"/>
        <v>Not Eligible</v>
      </c>
    </row>
    <row r="229" spans="1:12" ht="15" thickBot="1" x14ac:dyDescent="0.4">
      <c r="A229" s="5">
        <v>1358</v>
      </c>
      <c r="B229" s="5" t="s">
        <v>40</v>
      </c>
      <c r="C229" s="5" t="s">
        <v>38</v>
      </c>
      <c r="D229" s="5" t="s">
        <v>18</v>
      </c>
      <c r="E229" s="5" t="s">
        <v>19</v>
      </c>
      <c r="F229" s="5">
        <v>7</v>
      </c>
      <c r="G229" s="5">
        <v>6618</v>
      </c>
      <c r="H229" s="5">
        <v>0</v>
      </c>
      <c r="I229" s="6">
        <v>46127</v>
      </c>
      <c r="J229" s="6">
        <v>46129</v>
      </c>
      <c r="K229" s="10" t="s">
        <v>20</v>
      </c>
      <c r="L229" s="17" t="str">
        <f t="shared" si="3"/>
        <v>Not Eligible</v>
      </c>
    </row>
    <row r="230" spans="1:12" ht="15" thickBot="1" x14ac:dyDescent="0.4">
      <c r="A230" s="5">
        <v>1050</v>
      </c>
      <c r="B230" s="5" t="s">
        <v>32</v>
      </c>
      <c r="C230" s="5" t="s">
        <v>25</v>
      </c>
      <c r="D230" s="5" t="s">
        <v>13</v>
      </c>
      <c r="E230" s="5" t="s">
        <v>53</v>
      </c>
      <c r="F230" s="5">
        <v>12</v>
      </c>
      <c r="G230" s="5">
        <v>360</v>
      </c>
      <c r="H230" s="5">
        <v>5</v>
      </c>
      <c r="I230" s="6">
        <v>46127</v>
      </c>
      <c r="J230" s="6">
        <v>46137</v>
      </c>
      <c r="K230" s="10" t="s">
        <v>29</v>
      </c>
      <c r="L230" s="17" t="str">
        <f t="shared" si="3"/>
        <v>Not Eligible</v>
      </c>
    </row>
    <row r="231" spans="1:12" ht="15" thickBot="1" x14ac:dyDescent="0.4">
      <c r="A231" s="5">
        <v>1380</v>
      </c>
      <c r="B231" s="5" t="s">
        <v>52</v>
      </c>
      <c r="C231" s="5" t="s">
        <v>43</v>
      </c>
      <c r="D231" s="5" t="s">
        <v>13</v>
      </c>
      <c r="E231" s="5" t="s">
        <v>53</v>
      </c>
      <c r="F231" s="5">
        <v>3</v>
      </c>
      <c r="G231" s="5">
        <v>412</v>
      </c>
      <c r="H231" s="5">
        <v>7</v>
      </c>
      <c r="I231" s="6">
        <v>46128</v>
      </c>
      <c r="J231" s="6">
        <v>46138</v>
      </c>
      <c r="K231" s="10" t="s">
        <v>24</v>
      </c>
      <c r="L231" s="17" t="str">
        <f t="shared" si="3"/>
        <v>Not Eligible</v>
      </c>
    </row>
    <row r="232" spans="1:12" ht="15" thickBot="1" x14ac:dyDescent="0.4">
      <c r="A232" s="5">
        <v>1308</v>
      </c>
      <c r="B232" s="5" t="s">
        <v>30</v>
      </c>
      <c r="C232" s="5" t="s">
        <v>22</v>
      </c>
      <c r="D232" s="5" t="s">
        <v>34</v>
      </c>
      <c r="E232" s="5" t="s">
        <v>41</v>
      </c>
      <c r="F232" s="5">
        <v>12</v>
      </c>
      <c r="G232" s="5">
        <v>66075</v>
      </c>
      <c r="H232" s="5">
        <v>5</v>
      </c>
      <c r="I232" s="6">
        <v>46129</v>
      </c>
      <c r="J232" s="6">
        <v>46135</v>
      </c>
      <c r="K232" s="10" t="s">
        <v>20</v>
      </c>
      <c r="L232" s="17" t="str">
        <f t="shared" si="3"/>
        <v>Not Eligible</v>
      </c>
    </row>
    <row r="233" spans="1:12" ht="15" thickBot="1" x14ac:dyDescent="0.4">
      <c r="A233" s="5">
        <v>1014</v>
      </c>
      <c r="B233" s="5" t="s">
        <v>40</v>
      </c>
      <c r="C233" s="5" t="s">
        <v>17</v>
      </c>
      <c r="D233" s="5" t="s">
        <v>34</v>
      </c>
      <c r="E233" s="5" t="s">
        <v>41</v>
      </c>
      <c r="F233" s="5">
        <v>19</v>
      </c>
      <c r="G233" s="5">
        <v>53683</v>
      </c>
      <c r="H233" s="5">
        <v>12</v>
      </c>
      <c r="I233" s="6">
        <v>46129</v>
      </c>
      <c r="J233" s="6">
        <v>46134</v>
      </c>
      <c r="K233" s="10" t="s">
        <v>29</v>
      </c>
      <c r="L233" s="17" t="str">
        <f t="shared" si="3"/>
        <v>Eligible</v>
      </c>
    </row>
    <row r="234" spans="1:12" ht="15" thickBot="1" x14ac:dyDescent="0.4">
      <c r="A234" s="5">
        <v>1071</v>
      </c>
      <c r="B234" s="5" t="s">
        <v>59</v>
      </c>
      <c r="C234" s="5" t="s">
        <v>22</v>
      </c>
      <c r="D234" s="5" t="s">
        <v>34</v>
      </c>
      <c r="E234" s="5" t="s">
        <v>61</v>
      </c>
      <c r="F234" s="5">
        <v>18</v>
      </c>
      <c r="G234" s="5">
        <v>32197</v>
      </c>
      <c r="H234" s="5">
        <v>5</v>
      </c>
      <c r="I234" s="6">
        <v>46129</v>
      </c>
      <c r="J234" s="6">
        <v>46137</v>
      </c>
      <c r="K234" s="10" t="s">
        <v>20</v>
      </c>
      <c r="L234" s="17" t="str">
        <f t="shared" si="3"/>
        <v>Not Eligible</v>
      </c>
    </row>
    <row r="235" spans="1:12" ht="15" thickBot="1" x14ac:dyDescent="0.4">
      <c r="A235" s="5">
        <v>1194</v>
      </c>
      <c r="B235" s="5" t="s">
        <v>57</v>
      </c>
      <c r="C235" s="5" t="s">
        <v>43</v>
      </c>
      <c r="D235" s="5" t="s">
        <v>18</v>
      </c>
      <c r="E235" s="5" t="s">
        <v>28</v>
      </c>
      <c r="F235" s="5">
        <v>13</v>
      </c>
      <c r="G235" s="5">
        <v>12856</v>
      </c>
      <c r="H235" s="5">
        <v>15</v>
      </c>
      <c r="I235" s="6">
        <v>46129</v>
      </c>
      <c r="J235" s="6">
        <v>46133</v>
      </c>
      <c r="K235" s="10" t="s">
        <v>51</v>
      </c>
      <c r="L235" s="17" t="str">
        <f t="shared" si="3"/>
        <v>Not Eligible</v>
      </c>
    </row>
    <row r="236" spans="1:12" ht="15" thickBot="1" x14ac:dyDescent="0.4">
      <c r="A236" s="5">
        <v>1269</v>
      </c>
      <c r="B236" s="5" t="s">
        <v>52</v>
      </c>
      <c r="C236" s="5" t="s">
        <v>43</v>
      </c>
      <c r="D236" s="5" t="s">
        <v>18</v>
      </c>
      <c r="E236" s="5" t="s">
        <v>19</v>
      </c>
      <c r="F236" s="5">
        <v>14</v>
      </c>
      <c r="G236" s="5">
        <v>5704</v>
      </c>
      <c r="H236" s="5">
        <v>2</v>
      </c>
      <c r="I236" s="6">
        <v>46129</v>
      </c>
      <c r="J236" s="6">
        <v>46131</v>
      </c>
      <c r="K236" s="10" t="s">
        <v>15</v>
      </c>
      <c r="L236" s="17" t="str">
        <f t="shared" si="3"/>
        <v>Not Eligible</v>
      </c>
    </row>
    <row r="237" spans="1:12" ht="15" thickBot="1" x14ac:dyDescent="0.4">
      <c r="A237" s="5">
        <v>1267</v>
      </c>
      <c r="B237" s="5" t="s">
        <v>27</v>
      </c>
      <c r="C237" s="5" t="s">
        <v>38</v>
      </c>
      <c r="D237" s="5" t="s">
        <v>13</v>
      </c>
      <c r="E237" s="5" t="s">
        <v>50</v>
      </c>
      <c r="F237" s="5">
        <v>1</v>
      </c>
      <c r="G237" s="5">
        <v>50</v>
      </c>
      <c r="H237" s="5">
        <v>0</v>
      </c>
      <c r="I237" s="6">
        <v>46129</v>
      </c>
      <c r="J237" s="6">
        <v>46138</v>
      </c>
      <c r="K237" s="10" t="s">
        <v>20</v>
      </c>
      <c r="L237" s="17" t="str">
        <f t="shared" si="3"/>
        <v>Not Eligible</v>
      </c>
    </row>
    <row r="238" spans="1:12" ht="15" thickBot="1" x14ac:dyDescent="0.4">
      <c r="A238" s="5">
        <v>1382</v>
      </c>
      <c r="B238" s="5" t="s">
        <v>49</v>
      </c>
      <c r="C238" s="5" t="s">
        <v>33</v>
      </c>
      <c r="D238" s="5" t="s">
        <v>34</v>
      </c>
      <c r="E238" s="5" t="s">
        <v>60</v>
      </c>
      <c r="F238" s="5">
        <v>11</v>
      </c>
      <c r="G238" s="5">
        <v>36198</v>
      </c>
      <c r="H238" s="5">
        <v>0</v>
      </c>
      <c r="I238" s="6">
        <v>46130</v>
      </c>
      <c r="J238" s="6">
        <v>46134</v>
      </c>
      <c r="K238" s="10" t="s">
        <v>15</v>
      </c>
      <c r="L238" s="17" t="str">
        <f t="shared" si="3"/>
        <v>Not Eligible</v>
      </c>
    </row>
    <row r="239" spans="1:12" ht="15" thickBot="1" x14ac:dyDescent="0.4">
      <c r="A239" s="5">
        <v>1263</v>
      </c>
      <c r="B239" s="5" t="s">
        <v>29</v>
      </c>
      <c r="C239" s="5" t="s">
        <v>38</v>
      </c>
      <c r="D239" s="5" t="s">
        <v>18</v>
      </c>
      <c r="E239" s="5" t="s">
        <v>28</v>
      </c>
      <c r="F239" s="5">
        <v>10</v>
      </c>
      <c r="G239" s="5">
        <v>1505</v>
      </c>
      <c r="H239" s="5">
        <v>0</v>
      </c>
      <c r="I239" s="6">
        <v>46130</v>
      </c>
      <c r="J239" s="6">
        <v>46138</v>
      </c>
      <c r="K239" s="10" t="s">
        <v>51</v>
      </c>
      <c r="L239" s="17" t="str">
        <f t="shared" si="3"/>
        <v>Not Eligible</v>
      </c>
    </row>
    <row r="240" spans="1:12" ht="15" thickBot="1" x14ac:dyDescent="0.4">
      <c r="A240" s="5">
        <v>1168</v>
      </c>
      <c r="B240" s="5" t="s">
        <v>54</v>
      </c>
      <c r="C240" s="5" t="s">
        <v>12</v>
      </c>
      <c r="D240" s="5" t="s">
        <v>13</v>
      </c>
      <c r="E240" s="5" t="s">
        <v>37</v>
      </c>
      <c r="F240" s="5">
        <v>18</v>
      </c>
      <c r="G240" s="5">
        <v>335</v>
      </c>
      <c r="H240" s="5">
        <v>15</v>
      </c>
      <c r="I240" s="6">
        <v>46130</v>
      </c>
      <c r="J240" s="6">
        <v>46140</v>
      </c>
      <c r="K240" s="10" t="s">
        <v>29</v>
      </c>
      <c r="L240" s="17" t="str">
        <f t="shared" si="3"/>
        <v>Not Eligible</v>
      </c>
    </row>
    <row r="241" spans="1:12" ht="15" thickBot="1" x14ac:dyDescent="0.4">
      <c r="A241" s="5">
        <v>1215</v>
      </c>
      <c r="B241" s="5" t="s">
        <v>27</v>
      </c>
      <c r="C241" s="5" t="s">
        <v>12</v>
      </c>
      <c r="D241" s="5" t="s">
        <v>18</v>
      </c>
      <c r="E241" s="5" t="s">
        <v>28</v>
      </c>
      <c r="F241" s="5">
        <v>6</v>
      </c>
      <c r="G241" s="5">
        <v>1254</v>
      </c>
      <c r="H241" s="5">
        <v>0</v>
      </c>
      <c r="I241" s="6">
        <v>46131</v>
      </c>
      <c r="J241" s="6">
        <v>46136</v>
      </c>
      <c r="K241" s="10" t="s">
        <v>29</v>
      </c>
      <c r="L241" s="17" t="str">
        <f t="shared" si="3"/>
        <v>Not Eligible</v>
      </c>
    </row>
    <row r="242" spans="1:12" ht="15" thickBot="1" x14ac:dyDescent="0.4">
      <c r="A242" s="5">
        <v>1122</v>
      </c>
      <c r="B242" s="5" t="s">
        <v>40</v>
      </c>
      <c r="C242" s="5" t="s">
        <v>22</v>
      </c>
      <c r="D242" s="5" t="s">
        <v>34</v>
      </c>
      <c r="E242" s="5" t="s">
        <v>39</v>
      </c>
      <c r="F242" s="5">
        <v>14</v>
      </c>
      <c r="G242" s="5">
        <v>49990</v>
      </c>
      <c r="H242" s="5">
        <v>10</v>
      </c>
      <c r="I242" s="6">
        <v>46132</v>
      </c>
      <c r="J242" s="6">
        <v>46135</v>
      </c>
      <c r="K242" s="10" t="s">
        <v>29</v>
      </c>
      <c r="L242" s="17" t="str">
        <f t="shared" si="3"/>
        <v>Eligible</v>
      </c>
    </row>
    <row r="243" spans="1:12" ht="15" thickBot="1" x14ac:dyDescent="0.4">
      <c r="A243" s="5">
        <v>1342</v>
      </c>
      <c r="B243" s="5" t="s">
        <v>59</v>
      </c>
      <c r="C243" s="5" t="s">
        <v>31</v>
      </c>
      <c r="D243" s="5" t="s">
        <v>34</v>
      </c>
      <c r="E243" s="5" t="s">
        <v>35</v>
      </c>
      <c r="F243" s="5">
        <v>13</v>
      </c>
      <c r="G243" s="5">
        <v>47881</v>
      </c>
      <c r="H243" s="5">
        <v>15</v>
      </c>
      <c r="I243" s="6">
        <v>46132</v>
      </c>
      <c r="J243" s="6">
        <v>46139</v>
      </c>
      <c r="K243" s="10" t="s">
        <v>29</v>
      </c>
      <c r="L243" s="17" t="str">
        <f t="shared" si="3"/>
        <v>Eligible</v>
      </c>
    </row>
    <row r="244" spans="1:12" ht="15" thickBot="1" x14ac:dyDescent="0.4">
      <c r="A244" s="5">
        <v>1080</v>
      </c>
      <c r="B244" s="5" t="s">
        <v>21</v>
      </c>
      <c r="C244" s="5" t="s">
        <v>22</v>
      </c>
      <c r="D244" s="5" t="s">
        <v>34</v>
      </c>
      <c r="E244" s="5" t="s">
        <v>41</v>
      </c>
      <c r="F244" s="5">
        <v>12</v>
      </c>
      <c r="G244" s="5">
        <v>54161</v>
      </c>
      <c r="H244" s="5">
        <v>15</v>
      </c>
      <c r="I244" s="6">
        <v>46133</v>
      </c>
      <c r="J244" s="6">
        <v>46143</v>
      </c>
      <c r="K244" s="10" t="s">
        <v>24</v>
      </c>
      <c r="L244" s="17" t="str">
        <f t="shared" si="3"/>
        <v>Eligible</v>
      </c>
    </row>
    <row r="245" spans="1:12" ht="15" thickBot="1" x14ac:dyDescent="0.4">
      <c r="A245" s="5">
        <v>1111</v>
      </c>
      <c r="B245" s="5" t="s">
        <v>47</v>
      </c>
      <c r="C245" s="5" t="s">
        <v>17</v>
      </c>
      <c r="D245" s="5" t="s">
        <v>34</v>
      </c>
      <c r="E245" s="5" t="s">
        <v>35</v>
      </c>
      <c r="F245" s="5">
        <v>5</v>
      </c>
      <c r="G245" s="5">
        <v>49945</v>
      </c>
      <c r="H245" s="5">
        <v>12</v>
      </c>
      <c r="I245" s="6">
        <v>46133</v>
      </c>
      <c r="J245" s="6">
        <v>46141</v>
      </c>
      <c r="K245" s="10" t="s">
        <v>29</v>
      </c>
      <c r="L245" s="17" t="str">
        <f t="shared" si="3"/>
        <v>Eligible</v>
      </c>
    </row>
    <row r="246" spans="1:12" ht="15" thickBot="1" x14ac:dyDescent="0.4">
      <c r="A246" s="5">
        <v>1056</v>
      </c>
      <c r="B246" s="5" t="s">
        <v>11</v>
      </c>
      <c r="C246" s="5" t="s">
        <v>22</v>
      </c>
      <c r="D246" s="5" t="s">
        <v>18</v>
      </c>
      <c r="E246" s="5" t="s">
        <v>19</v>
      </c>
      <c r="F246" s="5">
        <v>3</v>
      </c>
      <c r="G246" s="5">
        <v>9771</v>
      </c>
      <c r="H246" s="5">
        <v>5</v>
      </c>
      <c r="I246" s="6">
        <v>46133</v>
      </c>
      <c r="J246" s="6">
        <v>46139</v>
      </c>
      <c r="K246" s="10" t="s">
        <v>24</v>
      </c>
      <c r="L246" s="17" t="str">
        <f t="shared" si="3"/>
        <v>Not Eligible</v>
      </c>
    </row>
    <row r="247" spans="1:12" ht="15" thickBot="1" x14ac:dyDescent="0.4">
      <c r="A247" s="5">
        <v>1357</v>
      </c>
      <c r="B247" s="5" t="s">
        <v>59</v>
      </c>
      <c r="C247" s="5" t="s">
        <v>25</v>
      </c>
      <c r="D247" s="5" t="s">
        <v>13</v>
      </c>
      <c r="E247" s="5" t="s">
        <v>37</v>
      </c>
      <c r="F247" s="5">
        <v>6</v>
      </c>
      <c r="G247" s="5">
        <v>365</v>
      </c>
      <c r="H247" s="5">
        <v>7</v>
      </c>
      <c r="I247" s="6">
        <v>46133</v>
      </c>
      <c r="J247" s="6">
        <v>46140</v>
      </c>
      <c r="K247" s="10" t="s">
        <v>51</v>
      </c>
      <c r="L247" s="17" t="str">
        <f t="shared" si="3"/>
        <v>Not Eligible</v>
      </c>
    </row>
    <row r="248" spans="1:12" ht="15" thickBot="1" x14ac:dyDescent="0.4">
      <c r="A248" s="5">
        <v>1125</v>
      </c>
      <c r="B248" s="5" t="s">
        <v>49</v>
      </c>
      <c r="C248" s="5" t="s">
        <v>33</v>
      </c>
      <c r="D248" s="5" t="s">
        <v>13</v>
      </c>
      <c r="E248" s="5" t="s">
        <v>14</v>
      </c>
      <c r="F248" s="5">
        <v>6</v>
      </c>
      <c r="G248" s="5">
        <v>30</v>
      </c>
      <c r="H248" s="5">
        <v>2</v>
      </c>
      <c r="I248" s="6">
        <v>46133</v>
      </c>
      <c r="J248" s="6">
        <v>46138</v>
      </c>
      <c r="K248" s="10" t="s">
        <v>24</v>
      </c>
      <c r="L248" s="17" t="str">
        <f t="shared" si="3"/>
        <v>Not Eligible</v>
      </c>
    </row>
    <row r="249" spans="1:12" ht="15" thickBot="1" x14ac:dyDescent="0.4">
      <c r="A249" s="5">
        <v>1200</v>
      </c>
      <c r="B249" s="5" t="s">
        <v>29</v>
      </c>
      <c r="C249" s="5" t="s">
        <v>31</v>
      </c>
      <c r="D249" s="5" t="s">
        <v>34</v>
      </c>
      <c r="E249" s="5" t="s">
        <v>45</v>
      </c>
      <c r="F249" s="5">
        <v>13</v>
      </c>
      <c r="G249" s="5">
        <v>69422</v>
      </c>
      <c r="H249" s="5">
        <v>0</v>
      </c>
      <c r="I249" s="6">
        <v>46134</v>
      </c>
      <c r="J249" s="6">
        <v>46143</v>
      </c>
      <c r="K249" s="10" t="s">
        <v>29</v>
      </c>
      <c r="L249" s="17" t="str">
        <f t="shared" si="3"/>
        <v>Not Eligible</v>
      </c>
    </row>
    <row r="250" spans="1:12" ht="15" thickBot="1" x14ac:dyDescent="0.4">
      <c r="A250" s="5">
        <v>1270</v>
      </c>
      <c r="B250" s="5" t="s">
        <v>49</v>
      </c>
      <c r="C250" s="5" t="s">
        <v>43</v>
      </c>
      <c r="D250" s="5" t="s">
        <v>34</v>
      </c>
      <c r="E250" s="5" t="s">
        <v>35</v>
      </c>
      <c r="F250" s="5">
        <v>16</v>
      </c>
      <c r="G250" s="5">
        <v>62941</v>
      </c>
      <c r="H250" s="5">
        <v>7</v>
      </c>
      <c r="I250" s="6">
        <v>46135</v>
      </c>
      <c r="J250" s="6">
        <v>46141</v>
      </c>
      <c r="K250" s="10" t="s">
        <v>51</v>
      </c>
      <c r="L250" s="17" t="str">
        <f t="shared" si="3"/>
        <v>Not Eligible</v>
      </c>
    </row>
    <row r="251" spans="1:12" ht="15" thickBot="1" x14ac:dyDescent="0.4">
      <c r="A251" s="5">
        <v>1216</v>
      </c>
      <c r="B251" s="5" t="s">
        <v>40</v>
      </c>
      <c r="C251" s="5" t="s">
        <v>22</v>
      </c>
      <c r="D251" s="5" t="s">
        <v>34</v>
      </c>
      <c r="E251" s="5" t="s">
        <v>45</v>
      </c>
      <c r="F251" s="5">
        <v>10</v>
      </c>
      <c r="G251" s="5">
        <v>56709</v>
      </c>
      <c r="H251" s="5">
        <v>15</v>
      </c>
      <c r="I251" s="6">
        <v>46135</v>
      </c>
      <c r="J251" s="6">
        <v>46139</v>
      </c>
      <c r="K251" s="10" t="s">
        <v>29</v>
      </c>
      <c r="L251" s="17" t="str">
        <f t="shared" si="3"/>
        <v>Eligible</v>
      </c>
    </row>
    <row r="252" spans="1:12" ht="15" thickBot="1" x14ac:dyDescent="0.4">
      <c r="A252" s="5">
        <v>1091</v>
      </c>
      <c r="B252" s="5" t="s">
        <v>55</v>
      </c>
      <c r="C252" s="5" t="s">
        <v>17</v>
      </c>
      <c r="D252" s="5" t="s">
        <v>13</v>
      </c>
      <c r="E252" s="5" t="s">
        <v>53</v>
      </c>
      <c r="F252" s="5">
        <v>2</v>
      </c>
      <c r="G252" s="5">
        <v>305</v>
      </c>
      <c r="H252" s="5">
        <v>0</v>
      </c>
      <c r="I252" s="6">
        <v>46136</v>
      </c>
      <c r="J252" s="6">
        <v>46144</v>
      </c>
      <c r="K252" s="10" t="s">
        <v>15</v>
      </c>
      <c r="L252" s="17" t="str">
        <f t="shared" si="3"/>
        <v>Not Eligible</v>
      </c>
    </row>
    <row r="253" spans="1:12" ht="15" thickBot="1" x14ac:dyDescent="0.4">
      <c r="A253" s="5">
        <v>1016</v>
      </c>
      <c r="B253" s="5" t="s">
        <v>32</v>
      </c>
      <c r="C253" s="5" t="s">
        <v>33</v>
      </c>
      <c r="D253" s="5" t="s">
        <v>34</v>
      </c>
      <c r="E253" s="5" t="s">
        <v>45</v>
      </c>
      <c r="F253" s="5">
        <v>16</v>
      </c>
      <c r="G253" s="5">
        <v>30234</v>
      </c>
      <c r="H253" s="5">
        <v>15</v>
      </c>
      <c r="I253" s="6">
        <v>46137</v>
      </c>
      <c r="J253" s="6">
        <v>46140</v>
      </c>
      <c r="K253" s="10" t="s">
        <v>24</v>
      </c>
      <c r="L253" s="17" t="str">
        <f t="shared" si="3"/>
        <v>Eligible</v>
      </c>
    </row>
    <row r="254" spans="1:12" ht="15" thickBot="1" x14ac:dyDescent="0.4">
      <c r="A254" s="5">
        <v>1237</v>
      </c>
      <c r="B254" s="5" t="s">
        <v>46</v>
      </c>
      <c r="C254" s="5" t="s">
        <v>38</v>
      </c>
      <c r="D254" s="5" t="s">
        <v>18</v>
      </c>
      <c r="E254" s="5" t="s">
        <v>56</v>
      </c>
      <c r="F254" s="5">
        <v>8</v>
      </c>
      <c r="G254" s="5">
        <v>12123</v>
      </c>
      <c r="H254" s="5">
        <v>2</v>
      </c>
      <c r="I254" s="6">
        <v>46137</v>
      </c>
      <c r="J254" s="6">
        <v>46145</v>
      </c>
      <c r="K254" s="10" t="s">
        <v>15</v>
      </c>
      <c r="L254" s="17" t="str">
        <f t="shared" si="3"/>
        <v>Not Eligible</v>
      </c>
    </row>
    <row r="255" spans="1:12" ht="15" thickBot="1" x14ac:dyDescent="0.4">
      <c r="A255" s="5">
        <v>1258</v>
      </c>
      <c r="B255" s="5" t="s">
        <v>32</v>
      </c>
      <c r="C255" s="5" t="s">
        <v>31</v>
      </c>
      <c r="D255" s="5" t="s">
        <v>34</v>
      </c>
      <c r="E255" s="5" t="s">
        <v>60</v>
      </c>
      <c r="F255" s="5">
        <v>1</v>
      </c>
      <c r="G255" s="5">
        <v>10600</v>
      </c>
      <c r="H255" s="5">
        <v>5</v>
      </c>
      <c r="I255" s="6">
        <v>46137</v>
      </c>
      <c r="J255" s="6">
        <v>46138</v>
      </c>
      <c r="K255" s="10" t="s">
        <v>29</v>
      </c>
      <c r="L255" s="17" t="str">
        <f t="shared" si="3"/>
        <v>Not Eligible</v>
      </c>
    </row>
    <row r="256" spans="1:12" ht="15" thickBot="1" x14ac:dyDescent="0.4">
      <c r="A256" s="5">
        <v>1188</v>
      </c>
      <c r="B256" s="5" t="s">
        <v>29</v>
      </c>
      <c r="C256" s="5" t="s">
        <v>22</v>
      </c>
      <c r="D256" s="5" t="s">
        <v>18</v>
      </c>
      <c r="E256" s="5" t="s">
        <v>56</v>
      </c>
      <c r="F256" s="5">
        <v>6</v>
      </c>
      <c r="G256" s="5">
        <v>10368</v>
      </c>
      <c r="H256" s="5">
        <v>7</v>
      </c>
      <c r="I256" s="6">
        <v>46137</v>
      </c>
      <c r="J256" s="6">
        <v>46142</v>
      </c>
      <c r="K256" s="10" t="s">
        <v>15</v>
      </c>
      <c r="L256" s="17" t="str">
        <f t="shared" si="3"/>
        <v>Not Eligible</v>
      </c>
    </row>
    <row r="257" spans="1:12" ht="15" thickBot="1" x14ac:dyDescent="0.4">
      <c r="A257" s="5">
        <v>1291</v>
      </c>
      <c r="B257" s="5" t="s">
        <v>21</v>
      </c>
      <c r="C257" s="5" t="s">
        <v>17</v>
      </c>
      <c r="D257" s="5" t="s">
        <v>13</v>
      </c>
      <c r="E257" s="5" t="s">
        <v>36</v>
      </c>
      <c r="F257" s="5">
        <v>17</v>
      </c>
      <c r="G257" s="5">
        <v>415</v>
      </c>
      <c r="H257" s="5">
        <v>5</v>
      </c>
      <c r="I257" s="6">
        <v>46137</v>
      </c>
      <c r="J257" s="6">
        <v>46141</v>
      </c>
      <c r="K257" s="10" t="s">
        <v>20</v>
      </c>
      <c r="L257" s="17" t="str">
        <f t="shared" si="3"/>
        <v>Not Eligible</v>
      </c>
    </row>
    <row r="258" spans="1:12" ht="15" thickBot="1" x14ac:dyDescent="0.4">
      <c r="A258" s="5">
        <v>1144</v>
      </c>
      <c r="B258" s="5" t="s">
        <v>42</v>
      </c>
      <c r="C258" s="5" t="s">
        <v>25</v>
      </c>
      <c r="D258" s="5" t="s">
        <v>13</v>
      </c>
      <c r="E258" s="5" t="s">
        <v>14</v>
      </c>
      <c r="F258" s="5">
        <v>16</v>
      </c>
      <c r="G258" s="5">
        <v>219</v>
      </c>
      <c r="H258" s="5">
        <v>7</v>
      </c>
      <c r="I258" s="6">
        <v>46138</v>
      </c>
      <c r="J258" s="6">
        <v>46140</v>
      </c>
      <c r="K258" s="10" t="s">
        <v>20</v>
      </c>
      <c r="L258" s="17" t="str">
        <f t="shared" si="3"/>
        <v>Not Eligible</v>
      </c>
    </row>
    <row r="259" spans="1:12" ht="15" thickBot="1" x14ac:dyDescent="0.4">
      <c r="A259" s="5">
        <v>1214</v>
      </c>
      <c r="B259" s="5" t="s">
        <v>42</v>
      </c>
      <c r="C259" s="5" t="s">
        <v>25</v>
      </c>
      <c r="D259" s="5" t="s">
        <v>18</v>
      </c>
      <c r="E259" s="5" t="s">
        <v>28</v>
      </c>
      <c r="F259" s="5">
        <v>19</v>
      </c>
      <c r="G259" s="5">
        <v>13832</v>
      </c>
      <c r="H259" s="5">
        <v>0</v>
      </c>
      <c r="I259" s="6">
        <v>46140</v>
      </c>
      <c r="J259" s="6">
        <v>46145</v>
      </c>
      <c r="K259" s="10" t="s">
        <v>51</v>
      </c>
      <c r="L259" s="17" t="str">
        <f t="shared" ref="L259:L322" si="4">IF(AND(D259="Electronics",H259&gt;=10),"Eligible","Not Eligible")</f>
        <v>Not Eligible</v>
      </c>
    </row>
    <row r="260" spans="1:12" ht="15" thickBot="1" x14ac:dyDescent="0.4">
      <c r="A260" s="5">
        <v>1346</v>
      </c>
      <c r="B260" s="5" t="s">
        <v>32</v>
      </c>
      <c r="C260" s="5" t="s">
        <v>22</v>
      </c>
      <c r="D260" s="5" t="s">
        <v>18</v>
      </c>
      <c r="E260" s="5" t="s">
        <v>19</v>
      </c>
      <c r="F260" s="5">
        <v>16</v>
      </c>
      <c r="G260" s="5">
        <v>6910</v>
      </c>
      <c r="H260" s="5">
        <v>15</v>
      </c>
      <c r="I260" s="6">
        <v>46140</v>
      </c>
      <c r="J260" s="6">
        <v>46142</v>
      </c>
      <c r="K260" s="10" t="s">
        <v>29</v>
      </c>
      <c r="L260" s="17" t="str">
        <f t="shared" si="4"/>
        <v>Not Eligible</v>
      </c>
    </row>
    <row r="261" spans="1:12" ht="15" thickBot="1" x14ac:dyDescent="0.4">
      <c r="A261" s="5">
        <v>1101</v>
      </c>
      <c r="B261" s="5" t="s">
        <v>27</v>
      </c>
      <c r="C261" s="5" t="s">
        <v>22</v>
      </c>
      <c r="D261" s="5" t="s">
        <v>34</v>
      </c>
      <c r="E261" s="5" t="s">
        <v>61</v>
      </c>
      <c r="F261" s="5">
        <v>9</v>
      </c>
      <c r="G261" s="5">
        <v>37361</v>
      </c>
      <c r="H261" s="5">
        <v>10</v>
      </c>
      <c r="I261" s="6">
        <v>46141</v>
      </c>
      <c r="J261" s="6">
        <v>46142</v>
      </c>
      <c r="K261" s="10" t="s">
        <v>24</v>
      </c>
      <c r="L261" s="17" t="str">
        <f t="shared" si="4"/>
        <v>Eligible</v>
      </c>
    </row>
    <row r="262" spans="1:12" ht="15" thickBot="1" x14ac:dyDescent="0.4">
      <c r="A262" s="5">
        <v>1322</v>
      </c>
      <c r="B262" s="5" t="s">
        <v>27</v>
      </c>
      <c r="C262" s="5" t="s">
        <v>12</v>
      </c>
      <c r="D262" s="5" t="s">
        <v>18</v>
      </c>
      <c r="E262" s="5" t="s">
        <v>23</v>
      </c>
      <c r="F262" s="5">
        <v>14</v>
      </c>
      <c r="G262" s="5">
        <v>9081</v>
      </c>
      <c r="H262" s="5">
        <v>15</v>
      </c>
      <c r="I262" s="6">
        <v>46141</v>
      </c>
      <c r="J262" s="6">
        <v>46146</v>
      </c>
      <c r="K262" s="10" t="s">
        <v>15</v>
      </c>
      <c r="L262" s="17" t="str">
        <f t="shared" si="4"/>
        <v>Not Eligible</v>
      </c>
    </row>
    <row r="263" spans="1:12" ht="15" thickBot="1" x14ac:dyDescent="0.4">
      <c r="A263" s="5">
        <v>1361</v>
      </c>
      <c r="B263" s="5" t="s">
        <v>42</v>
      </c>
      <c r="C263" s="5" t="s">
        <v>17</v>
      </c>
      <c r="D263" s="5" t="s">
        <v>18</v>
      </c>
      <c r="E263" s="5" t="s">
        <v>23</v>
      </c>
      <c r="F263" s="5">
        <v>2</v>
      </c>
      <c r="G263" s="5">
        <v>1822</v>
      </c>
      <c r="H263" s="5">
        <v>5</v>
      </c>
      <c r="I263" s="6">
        <v>46141</v>
      </c>
      <c r="J263" s="6">
        <v>46145</v>
      </c>
      <c r="K263" s="10" t="s">
        <v>20</v>
      </c>
      <c r="L263" s="17" t="str">
        <f t="shared" si="4"/>
        <v>Not Eligible</v>
      </c>
    </row>
    <row r="264" spans="1:12" ht="15" thickBot="1" x14ac:dyDescent="0.4">
      <c r="A264" s="5">
        <v>1254</v>
      </c>
      <c r="B264" s="5" t="s">
        <v>52</v>
      </c>
      <c r="C264" s="5" t="s">
        <v>22</v>
      </c>
      <c r="D264" s="5" t="s">
        <v>13</v>
      </c>
      <c r="E264" s="5" t="s">
        <v>50</v>
      </c>
      <c r="F264" s="5">
        <v>18</v>
      </c>
      <c r="G264" s="5">
        <v>447</v>
      </c>
      <c r="H264" s="5">
        <v>15</v>
      </c>
      <c r="I264" s="6">
        <v>46141</v>
      </c>
      <c r="J264" s="6">
        <v>46149</v>
      </c>
      <c r="K264" s="10" t="s">
        <v>24</v>
      </c>
      <c r="L264" s="17" t="str">
        <f t="shared" si="4"/>
        <v>Not Eligible</v>
      </c>
    </row>
    <row r="265" spans="1:12" ht="15" thickBot="1" x14ac:dyDescent="0.4">
      <c r="A265" s="5">
        <v>1160</v>
      </c>
      <c r="B265" s="5" t="s">
        <v>59</v>
      </c>
      <c r="C265" s="5" t="s">
        <v>22</v>
      </c>
      <c r="D265" s="5" t="s">
        <v>34</v>
      </c>
      <c r="E265" s="5" t="s">
        <v>39</v>
      </c>
      <c r="F265" s="5">
        <v>7</v>
      </c>
      <c r="G265" s="5">
        <v>53986</v>
      </c>
      <c r="H265" s="5">
        <v>10</v>
      </c>
      <c r="I265" s="6">
        <v>46142</v>
      </c>
      <c r="J265" s="6">
        <v>46147</v>
      </c>
      <c r="K265" s="10" t="s">
        <v>51</v>
      </c>
      <c r="L265" s="17" t="str">
        <f t="shared" si="4"/>
        <v>Eligible</v>
      </c>
    </row>
    <row r="266" spans="1:12" ht="15" thickBot="1" x14ac:dyDescent="0.4">
      <c r="A266" s="5">
        <v>1240</v>
      </c>
      <c r="B266" s="5" t="s">
        <v>55</v>
      </c>
      <c r="C266" s="5" t="s">
        <v>33</v>
      </c>
      <c r="D266" s="5" t="s">
        <v>18</v>
      </c>
      <c r="E266" s="5" t="s">
        <v>23</v>
      </c>
      <c r="F266" s="5">
        <v>2</v>
      </c>
      <c r="G266" s="5">
        <v>5475</v>
      </c>
      <c r="H266" s="5">
        <v>2</v>
      </c>
      <c r="I266" s="6">
        <v>46142</v>
      </c>
      <c r="J266" s="6">
        <v>46146</v>
      </c>
      <c r="K266" s="10" t="s">
        <v>29</v>
      </c>
      <c r="L266" s="17" t="str">
        <f t="shared" si="4"/>
        <v>Not Eligible</v>
      </c>
    </row>
    <row r="267" spans="1:12" ht="15" thickBot="1" x14ac:dyDescent="0.4">
      <c r="A267" s="5">
        <v>1339</v>
      </c>
      <c r="B267" s="5" t="s">
        <v>32</v>
      </c>
      <c r="C267" s="5" t="s">
        <v>25</v>
      </c>
      <c r="D267" s="5" t="s">
        <v>13</v>
      </c>
      <c r="E267" s="5" t="s">
        <v>14</v>
      </c>
      <c r="F267" s="5">
        <v>6</v>
      </c>
      <c r="G267" s="5">
        <v>302</v>
      </c>
      <c r="H267" s="5">
        <v>5</v>
      </c>
      <c r="I267" s="6">
        <v>46142</v>
      </c>
      <c r="J267" s="6">
        <v>46148</v>
      </c>
      <c r="K267" s="10" t="s">
        <v>20</v>
      </c>
      <c r="L267" s="17" t="str">
        <f t="shared" si="4"/>
        <v>Not Eligible</v>
      </c>
    </row>
    <row r="268" spans="1:12" ht="15" thickBot="1" x14ac:dyDescent="0.4">
      <c r="A268" s="5">
        <v>1150</v>
      </c>
      <c r="B268" s="5" t="s">
        <v>42</v>
      </c>
      <c r="C268" s="5" t="s">
        <v>12</v>
      </c>
      <c r="D268" s="5" t="s">
        <v>18</v>
      </c>
      <c r="E268" s="5" t="s">
        <v>56</v>
      </c>
      <c r="F268" s="5">
        <v>10</v>
      </c>
      <c r="G268" s="5">
        <v>5323</v>
      </c>
      <c r="H268" s="5">
        <v>7</v>
      </c>
      <c r="I268" s="6">
        <v>46143</v>
      </c>
      <c r="J268" s="6">
        <v>46153</v>
      </c>
      <c r="K268" s="10" t="s">
        <v>24</v>
      </c>
      <c r="L268" s="17" t="str">
        <f t="shared" si="4"/>
        <v>Not Eligible</v>
      </c>
    </row>
    <row r="269" spans="1:12" ht="15" thickBot="1" x14ac:dyDescent="0.4">
      <c r="A269" s="5">
        <v>1218</v>
      </c>
      <c r="B269" s="5" t="s">
        <v>55</v>
      </c>
      <c r="C269" s="5" t="s">
        <v>38</v>
      </c>
      <c r="D269" s="5" t="s">
        <v>13</v>
      </c>
      <c r="E269" s="5" t="s">
        <v>14</v>
      </c>
      <c r="F269" s="5">
        <v>1</v>
      </c>
      <c r="G269" s="5">
        <v>134</v>
      </c>
      <c r="H269" s="5">
        <v>10</v>
      </c>
      <c r="I269" s="6">
        <v>46143</v>
      </c>
      <c r="J269" s="6">
        <v>46151</v>
      </c>
      <c r="K269" s="10" t="s">
        <v>51</v>
      </c>
      <c r="L269" s="17" t="str">
        <f t="shared" si="4"/>
        <v>Not Eligible</v>
      </c>
    </row>
    <row r="270" spans="1:12" ht="15" thickBot="1" x14ac:dyDescent="0.4">
      <c r="A270" s="5">
        <v>1021</v>
      </c>
      <c r="B270" s="5" t="s">
        <v>48</v>
      </c>
      <c r="C270" s="5" t="s">
        <v>43</v>
      </c>
      <c r="D270" s="5" t="s">
        <v>13</v>
      </c>
      <c r="E270" s="5" t="s">
        <v>14</v>
      </c>
      <c r="F270" s="5">
        <v>3</v>
      </c>
      <c r="G270" s="5">
        <v>484</v>
      </c>
      <c r="H270" s="5">
        <v>2</v>
      </c>
      <c r="I270" s="6">
        <v>46144</v>
      </c>
      <c r="J270" s="6">
        <v>46148</v>
      </c>
      <c r="K270" s="10" t="s">
        <v>24</v>
      </c>
      <c r="L270" s="17" t="str">
        <f t="shared" si="4"/>
        <v>Not Eligible</v>
      </c>
    </row>
    <row r="271" spans="1:12" ht="15" thickBot="1" x14ac:dyDescent="0.4">
      <c r="A271" s="5">
        <v>1184</v>
      </c>
      <c r="B271" s="5" t="s">
        <v>40</v>
      </c>
      <c r="C271" s="5" t="s">
        <v>31</v>
      </c>
      <c r="D271" s="5" t="s">
        <v>34</v>
      </c>
      <c r="E271" s="5" t="s">
        <v>39</v>
      </c>
      <c r="F271" s="5">
        <v>12</v>
      </c>
      <c r="G271" s="5">
        <v>50517</v>
      </c>
      <c r="H271" s="5">
        <v>15</v>
      </c>
      <c r="I271" s="6">
        <v>46145</v>
      </c>
      <c r="J271" s="6">
        <v>46153</v>
      </c>
      <c r="K271" s="10" t="s">
        <v>29</v>
      </c>
      <c r="L271" s="17" t="str">
        <f t="shared" si="4"/>
        <v>Eligible</v>
      </c>
    </row>
    <row r="272" spans="1:12" ht="15" thickBot="1" x14ac:dyDescent="0.4">
      <c r="A272" s="5">
        <v>1333</v>
      </c>
      <c r="B272" s="5" t="s">
        <v>29</v>
      </c>
      <c r="C272" s="5" t="s">
        <v>38</v>
      </c>
      <c r="D272" s="5" t="s">
        <v>13</v>
      </c>
      <c r="E272" s="5" t="s">
        <v>53</v>
      </c>
      <c r="F272" s="5">
        <v>20</v>
      </c>
      <c r="G272" s="5">
        <v>416</v>
      </c>
      <c r="H272" s="5">
        <v>12</v>
      </c>
      <c r="I272" s="6">
        <v>46145</v>
      </c>
      <c r="J272" s="6">
        <v>46146</v>
      </c>
      <c r="K272" s="10" t="s">
        <v>51</v>
      </c>
      <c r="L272" s="17" t="str">
        <f t="shared" si="4"/>
        <v>Not Eligible</v>
      </c>
    </row>
    <row r="273" spans="1:12" ht="15" thickBot="1" x14ac:dyDescent="0.4">
      <c r="A273" s="5">
        <v>1085</v>
      </c>
      <c r="B273" s="5" t="s">
        <v>32</v>
      </c>
      <c r="C273" s="5" t="s">
        <v>38</v>
      </c>
      <c r="D273" s="5" t="s">
        <v>34</v>
      </c>
      <c r="E273" s="5" t="s">
        <v>60</v>
      </c>
      <c r="F273" s="5">
        <v>19</v>
      </c>
      <c r="G273" s="5">
        <v>45307</v>
      </c>
      <c r="H273" s="5">
        <v>12</v>
      </c>
      <c r="I273" s="6">
        <v>46146</v>
      </c>
      <c r="J273" s="6">
        <v>46150</v>
      </c>
      <c r="K273" s="10" t="s">
        <v>24</v>
      </c>
      <c r="L273" s="17" t="str">
        <f t="shared" si="4"/>
        <v>Eligible</v>
      </c>
    </row>
    <row r="274" spans="1:12" ht="15" thickBot="1" x14ac:dyDescent="0.4">
      <c r="A274" s="5">
        <v>1305</v>
      </c>
      <c r="B274" s="5" t="s">
        <v>58</v>
      </c>
      <c r="C274" s="5" t="s">
        <v>31</v>
      </c>
      <c r="D274" s="5" t="s">
        <v>34</v>
      </c>
      <c r="E274" s="5" t="s">
        <v>60</v>
      </c>
      <c r="F274" s="5">
        <v>20</v>
      </c>
      <c r="G274" s="5">
        <v>31406</v>
      </c>
      <c r="H274" s="5">
        <v>15</v>
      </c>
      <c r="I274" s="6">
        <v>46146</v>
      </c>
      <c r="J274" s="6">
        <v>46154</v>
      </c>
      <c r="K274" s="10" t="s">
        <v>51</v>
      </c>
      <c r="L274" s="17" t="str">
        <f t="shared" si="4"/>
        <v>Eligible</v>
      </c>
    </row>
    <row r="275" spans="1:12" ht="15" thickBot="1" x14ac:dyDescent="0.4">
      <c r="A275" s="5">
        <v>1360</v>
      </c>
      <c r="B275" s="5" t="s">
        <v>11</v>
      </c>
      <c r="C275" s="5" t="s">
        <v>43</v>
      </c>
      <c r="D275" s="5" t="s">
        <v>18</v>
      </c>
      <c r="E275" s="5" t="s">
        <v>23</v>
      </c>
      <c r="F275" s="5">
        <v>19</v>
      </c>
      <c r="G275" s="5">
        <v>6681</v>
      </c>
      <c r="H275" s="5">
        <v>2</v>
      </c>
      <c r="I275" s="6">
        <v>46146</v>
      </c>
      <c r="J275" s="6">
        <v>46150</v>
      </c>
      <c r="K275" s="10" t="s">
        <v>15</v>
      </c>
      <c r="L275" s="17" t="str">
        <f t="shared" si="4"/>
        <v>Not Eligible</v>
      </c>
    </row>
    <row r="276" spans="1:12" ht="15" thickBot="1" x14ac:dyDescent="0.4">
      <c r="A276" s="5">
        <v>1117</v>
      </c>
      <c r="B276" s="5" t="s">
        <v>55</v>
      </c>
      <c r="C276" s="5" t="s">
        <v>43</v>
      </c>
      <c r="D276" s="5" t="s">
        <v>34</v>
      </c>
      <c r="E276" s="5" t="s">
        <v>39</v>
      </c>
      <c r="F276" s="5">
        <v>16</v>
      </c>
      <c r="G276" s="5">
        <v>33162</v>
      </c>
      <c r="H276" s="5">
        <v>7</v>
      </c>
      <c r="I276" s="6">
        <v>46147</v>
      </c>
      <c r="J276" s="6">
        <v>46155</v>
      </c>
      <c r="K276" s="10" t="s">
        <v>29</v>
      </c>
      <c r="L276" s="17" t="str">
        <f t="shared" si="4"/>
        <v>Not Eligible</v>
      </c>
    </row>
    <row r="277" spans="1:12" ht="15" thickBot="1" x14ac:dyDescent="0.4">
      <c r="A277" s="5">
        <v>1063</v>
      </c>
      <c r="B277" s="5" t="s">
        <v>54</v>
      </c>
      <c r="C277" s="5" t="s">
        <v>22</v>
      </c>
      <c r="D277" s="5" t="s">
        <v>34</v>
      </c>
      <c r="E277" s="5" t="s">
        <v>45</v>
      </c>
      <c r="F277" s="5">
        <v>7</v>
      </c>
      <c r="G277" s="5">
        <v>66744</v>
      </c>
      <c r="H277" s="5">
        <v>7</v>
      </c>
      <c r="I277" s="6">
        <v>46148</v>
      </c>
      <c r="J277" s="6">
        <v>46155</v>
      </c>
      <c r="K277" s="10" t="s">
        <v>15</v>
      </c>
      <c r="L277" s="17" t="str">
        <f t="shared" si="4"/>
        <v>Not Eligible</v>
      </c>
    </row>
    <row r="278" spans="1:12" ht="15" thickBot="1" x14ac:dyDescent="0.4">
      <c r="A278" s="5">
        <v>1134</v>
      </c>
      <c r="B278" s="5" t="s">
        <v>57</v>
      </c>
      <c r="C278" s="5" t="s">
        <v>31</v>
      </c>
      <c r="D278" s="5" t="s">
        <v>34</v>
      </c>
      <c r="E278" s="5" t="s">
        <v>61</v>
      </c>
      <c r="F278" s="5">
        <v>10</v>
      </c>
      <c r="G278" s="5">
        <v>29217</v>
      </c>
      <c r="H278" s="5">
        <v>15</v>
      </c>
      <c r="I278" s="6">
        <v>46148</v>
      </c>
      <c r="J278" s="6">
        <v>46150</v>
      </c>
      <c r="K278" s="10" t="s">
        <v>24</v>
      </c>
      <c r="L278" s="17" t="str">
        <f t="shared" si="4"/>
        <v>Eligible</v>
      </c>
    </row>
    <row r="279" spans="1:12" ht="15" thickBot="1" x14ac:dyDescent="0.4">
      <c r="A279" s="5">
        <v>1312</v>
      </c>
      <c r="B279" s="5" t="s">
        <v>57</v>
      </c>
      <c r="C279" s="5" t="s">
        <v>22</v>
      </c>
      <c r="D279" s="5" t="s">
        <v>18</v>
      </c>
      <c r="E279" s="5" t="s">
        <v>56</v>
      </c>
      <c r="F279" s="5">
        <v>20</v>
      </c>
      <c r="G279" s="5">
        <v>3274</v>
      </c>
      <c r="H279" s="5">
        <v>2</v>
      </c>
      <c r="I279" s="6">
        <v>46148</v>
      </c>
      <c r="J279" s="6">
        <v>46156</v>
      </c>
      <c r="K279" s="10" t="s">
        <v>24</v>
      </c>
      <c r="L279" s="17" t="str">
        <f t="shared" si="4"/>
        <v>Not Eligible</v>
      </c>
    </row>
    <row r="280" spans="1:12" ht="15" thickBot="1" x14ac:dyDescent="0.4">
      <c r="A280" s="5">
        <v>1191</v>
      </c>
      <c r="B280" s="5" t="s">
        <v>52</v>
      </c>
      <c r="C280" s="5" t="s">
        <v>33</v>
      </c>
      <c r="D280" s="5" t="s">
        <v>18</v>
      </c>
      <c r="E280" s="5" t="s">
        <v>56</v>
      </c>
      <c r="F280" s="5">
        <v>9</v>
      </c>
      <c r="G280" s="5">
        <v>8631</v>
      </c>
      <c r="H280" s="5">
        <v>10</v>
      </c>
      <c r="I280" s="6">
        <v>46149</v>
      </c>
      <c r="J280" s="6">
        <v>46156</v>
      </c>
      <c r="K280" s="10" t="s">
        <v>20</v>
      </c>
      <c r="L280" s="17" t="str">
        <f t="shared" si="4"/>
        <v>Not Eligible</v>
      </c>
    </row>
    <row r="281" spans="1:12" ht="15" thickBot="1" x14ac:dyDescent="0.4">
      <c r="A281" s="5">
        <v>1115</v>
      </c>
      <c r="B281" s="5" t="s">
        <v>59</v>
      </c>
      <c r="C281" s="5" t="s">
        <v>43</v>
      </c>
      <c r="D281" s="5" t="s">
        <v>13</v>
      </c>
      <c r="E281" s="5" t="s">
        <v>50</v>
      </c>
      <c r="F281" s="5">
        <v>9</v>
      </c>
      <c r="G281" s="5">
        <v>303</v>
      </c>
      <c r="H281" s="5">
        <v>10</v>
      </c>
      <c r="I281" s="6">
        <v>46149</v>
      </c>
      <c r="J281" s="6">
        <v>46157</v>
      </c>
      <c r="K281" s="10" t="s">
        <v>29</v>
      </c>
      <c r="L281" s="17" t="str">
        <f t="shared" si="4"/>
        <v>Not Eligible</v>
      </c>
    </row>
    <row r="282" spans="1:12" ht="15" thickBot="1" x14ac:dyDescent="0.4">
      <c r="A282" s="5">
        <v>1327</v>
      </c>
      <c r="B282" s="5" t="s">
        <v>48</v>
      </c>
      <c r="C282" s="5" t="s">
        <v>12</v>
      </c>
      <c r="D282" s="5" t="s">
        <v>13</v>
      </c>
      <c r="E282" s="5" t="s">
        <v>53</v>
      </c>
      <c r="F282" s="5">
        <v>15</v>
      </c>
      <c r="G282" s="5">
        <v>449</v>
      </c>
      <c r="H282" s="5">
        <v>5</v>
      </c>
      <c r="I282" s="6">
        <v>46152</v>
      </c>
      <c r="J282" s="6">
        <v>46153</v>
      </c>
      <c r="K282" s="10" t="s">
        <v>15</v>
      </c>
      <c r="L282" s="17" t="str">
        <f t="shared" si="4"/>
        <v>Not Eligible</v>
      </c>
    </row>
    <row r="283" spans="1:12" ht="15" thickBot="1" x14ac:dyDescent="0.4">
      <c r="A283" s="5">
        <v>1046</v>
      </c>
      <c r="B283" s="5" t="s">
        <v>57</v>
      </c>
      <c r="C283" s="5" t="s">
        <v>38</v>
      </c>
      <c r="D283" s="5" t="s">
        <v>34</v>
      </c>
      <c r="E283" s="5" t="s">
        <v>45</v>
      </c>
      <c r="F283" s="5">
        <v>3</v>
      </c>
      <c r="G283" s="5">
        <v>19443</v>
      </c>
      <c r="H283" s="5">
        <v>10</v>
      </c>
      <c r="I283" s="6">
        <v>46153</v>
      </c>
      <c r="J283" s="6">
        <v>46158</v>
      </c>
      <c r="K283" s="10" t="s">
        <v>29</v>
      </c>
      <c r="L283" s="17" t="str">
        <f t="shared" si="4"/>
        <v>Eligible</v>
      </c>
    </row>
    <row r="284" spans="1:12" ht="15" thickBot="1" x14ac:dyDescent="0.4">
      <c r="A284" s="5">
        <v>1185</v>
      </c>
      <c r="B284" s="5" t="s">
        <v>58</v>
      </c>
      <c r="C284" s="5" t="s">
        <v>22</v>
      </c>
      <c r="D284" s="5" t="s">
        <v>34</v>
      </c>
      <c r="E284" s="5" t="s">
        <v>60</v>
      </c>
      <c r="F284" s="5">
        <v>16</v>
      </c>
      <c r="G284" s="5">
        <v>15536</v>
      </c>
      <c r="H284" s="5">
        <v>2</v>
      </c>
      <c r="I284" s="6">
        <v>46153</v>
      </c>
      <c r="J284" s="6">
        <v>46156</v>
      </c>
      <c r="K284" s="10" t="s">
        <v>15</v>
      </c>
      <c r="L284" s="17" t="str">
        <f t="shared" si="4"/>
        <v>Not Eligible</v>
      </c>
    </row>
    <row r="285" spans="1:12" ht="15" thickBot="1" x14ac:dyDescent="0.4">
      <c r="A285" s="5">
        <v>1147</v>
      </c>
      <c r="B285" s="5" t="s">
        <v>11</v>
      </c>
      <c r="C285" s="5" t="s">
        <v>22</v>
      </c>
      <c r="D285" s="5" t="s">
        <v>18</v>
      </c>
      <c r="E285" s="5" t="s">
        <v>28</v>
      </c>
      <c r="F285" s="5">
        <v>7</v>
      </c>
      <c r="G285" s="5">
        <v>9581</v>
      </c>
      <c r="H285" s="5">
        <v>5</v>
      </c>
      <c r="I285" s="6">
        <v>46154</v>
      </c>
      <c r="J285" s="6">
        <v>46155</v>
      </c>
      <c r="K285" s="10" t="s">
        <v>20</v>
      </c>
      <c r="L285" s="17" t="str">
        <f t="shared" si="4"/>
        <v>Not Eligible</v>
      </c>
    </row>
    <row r="286" spans="1:12" ht="15" thickBot="1" x14ac:dyDescent="0.4">
      <c r="A286" s="5">
        <v>1222</v>
      </c>
      <c r="B286" s="5" t="s">
        <v>30</v>
      </c>
      <c r="C286" s="5" t="s">
        <v>33</v>
      </c>
      <c r="D286" s="5" t="s">
        <v>18</v>
      </c>
      <c r="E286" s="5" t="s">
        <v>23</v>
      </c>
      <c r="F286" s="5">
        <v>9</v>
      </c>
      <c r="G286" s="5">
        <v>2712</v>
      </c>
      <c r="H286" s="5">
        <v>12</v>
      </c>
      <c r="I286" s="6">
        <v>46154</v>
      </c>
      <c r="J286" s="6">
        <v>46163</v>
      </c>
      <c r="K286" s="10" t="s">
        <v>15</v>
      </c>
      <c r="L286" s="17" t="str">
        <f t="shared" si="4"/>
        <v>Not Eligible</v>
      </c>
    </row>
    <row r="287" spans="1:12" ht="15" thickBot="1" x14ac:dyDescent="0.4">
      <c r="A287" s="5">
        <v>1332</v>
      </c>
      <c r="B287" s="5" t="s">
        <v>29</v>
      </c>
      <c r="C287" s="5" t="s">
        <v>43</v>
      </c>
      <c r="D287" s="5" t="s">
        <v>13</v>
      </c>
      <c r="E287" s="5" t="s">
        <v>50</v>
      </c>
      <c r="F287" s="5">
        <v>7</v>
      </c>
      <c r="G287" s="5">
        <v>439</v>
      </c>
      <c r="H287" s="5">
        <v>2</v>
      </c>
      <c r="I287" s="6">
        <v>46154</v>
      </c>
      <c r="J287" s="6">
        <v>46157</v>
      </c>
      <c r="K287" s="10" t="s">
        <v>15</v>
      </c>
      <c r="L287" s="17" t="str">
        <f t="shared" si="4"/>
        <v>Not Eligible</v>
      </c>
    </row>
    <row r="288" spans="1:12" ht="15" thickBot="1" x14ac:dyDescent="0.4">
      <c r="A288" s="5">
        <v>1179</v>
      </c>
      <c r="B288" s="5" t="s">
        <v>47</v>
      </c>
      <c r="C288" s="5" t="s">
        <v>17</v>
      </c>
      <c r="D288" s="5" t="s">
        <v>34</v>
      </c>
      <c r="E288" s="5" t="s">
        <v>39</v>
      </c>
      <c r="F288" s="5">
        <v>6</v>
      </c>
      <c r="G288" s="5">
        <v>10400</v>
      </c>
      <c r="H288" s="5">
        <v>2</v>
      </c>
      <c r="I288" s="6">
        <v>46155</v>
      </c>
      <c r="J288" s="6">
        <v>46158</v>
      </c>
      <c r="K288" s="10" t="s">
        <v>15</v>
      </c>
      <c r="L288" s="17" t="str">
        <f t="shared" si="4"/>
        <v>Not Eligible</v>
      </c>
    </row>
    <row r="289" spans="1:12" ht="15" thickBot="1" x14ac:dyDescent="0.4">
      <c r="A289" s="5">
        <v>1196</v>
      </c>
      <c r="B289" s="5" t="s">
        <v>48</v>
      </c>
      <c r="C289" s="5" t="s">
        <v>22</v>
      </c>
      <c r="D289" s="5" t="s">
        <v>34</v>
      </c>
      <c r="E289" s="5" t="s">
        <v>35</v>
      </c>
      <c r="F289" s="5">
        <v>20</v>
      </c>
      <c r="G289" s="5">
        <v>3172</v>
      </c>
      <c r="H289" s="5">
        <v>5</v>
      </c>
      <c r="I289" s="6">
        <v>46155</v>
      </c>
      <c r="J289" s="6">
        <v>46159</v>
      </c>
      <c r="K289" s="10" t="s">
        <v>20</v>
      </c>
      <c r="L289" s="17" t="str">
        <f t="shared" si="4"/>
        <v>Not Eligible</v>
      </c>
    </row>
    <row r="290" spans="1:12" ht="15" thickBot="1" x14ac:dyDescent="0.4">
      <c r="A290" s="5">
        <v>1027</v>
      </c>
      <c r="B290" s="5" t="s">
        <v>29</v>
      </c>
      <c r="C290" s="5" t="s">
        <v>43</v>
      </c>
      <c r="D290" s="5" t="s">
        <v>13</v>
      </c>
      <c r="E290" s="5" t="s">
        <v>50</v>
      </c>
      <c r="F290" s="5">
        <v>4</v>
      </c>
      <c r="G290" s="5">
        <v>264</v>
      </c>
      <c r="H290" s="5">
        <v>0</v>
      </c>
      <c r="I290" s="6">
        <v>46155</v>
      </c>
      <c r="J290" s="6">
        <v>46161</v>
      </c>
      <c r="K290" s="10" t="s">
        <v>51</v>
      </c>
      <c r="L290" s="17" t="str">
        <f t="shared" si="4"/>
        <v>Not Eligible</v>
      </c>
    </row>
    <row r="291" spans="1:12" ht="15" thickBot="1" x14ac:dyDescent="0.4">
      <c r="A291" s="5">
        <v>1344</v>
      </c>
      <c r="B291" s="5" t="s">
        <v>30</v>
      </c>
      <c r="C291" s="5" t="s">
        <v>17</v>
      </c>
      <c r="D291" s="5" t="s">
        <v>13</v>
      </c>
      <c r="E291" s="5" t="s">
        <v>53</v>
      </c>
      <c r="F291" s="5">
        <v>18</v>
      </c>
      <c r="G291" s="5">
        <v>240</v>
      </c>
      <c r="H291" s="5">
        <v>10</v>
      </c>
      <c r="I291" s="6">
        <v>46155</v>
      </c>
      <c r="J291" s="6">
        <v>46156</v>
      </c>
      <c r="K291" s="10" t="s">
        <v>24</v>
      </c>
      <c r="L291" s="17" t="str">
        <f t="shared" si="4"/>
        <v>Not Eligible</v>
      </c>
    </row>
    <row r="292" spans="1:12" ht="15" thickBot="1" x14ac:dyDescent="0.4">
      <c r="A292" s="5">
        <v>1171</v>
      </c>
      <c r="B292" s="5" t="s">
        <v>57</v>
      </c>
      <c r="C292" s="5" t="s">
        <v>25</v>
      </c>
      <c r="D292" s="5" t="s">
        <v>13</v>
      </c>
      <c r="E292" s="5" t="s">
        <v>50</v>
      </c>
      <c r="F292" s="5">
        <v>17</v>
      </c>
      <c r="G292" s="5">
        <v>147</v>
      </c>
      <c r="H292" s="5">
        <v>12</v>
      </c>
      <c r="I292" s="6">
        <v>46155</v>
      </c>
      <c r="J292" s="6">
        <v>46160</v>
      </c>
      <c r="K292" s="10" t="s">
        <v>20</v>
      </c>
      <c r="L292" s="17" t="str">
        <f t="shared" si="4"/>
        <v>Not Eligible</v>
      </c>
    </row>
    <row r="293" spans="1:12" ht="15" thickBot="1" x14ac:dyDescent="0.4">
      <c r="A293" s="5">
        <v>1295</v>
      </c>
      <c r="B293" s="5" t="s">
        <v>52</v>
      </c>
      <c r="C293" s="5" t="s">
        <v>38</v>
      </c>
      <c r="D293" s="5" t="s">
        <v>18</v>
      </c>
      <c r="E293" s="5" t="s">
        <v>28</v>
      </c>
      <c r="F293" s="5">
        <v>16</v>
      </c>
      <c r="G293" s="5">
        <v>11935</v>
      </c>
      <c r="H293" s="5">
        <v>12</v>
      </c>
      <c r="I293" s="6">
        <v>46157</v>
      </c>
      <c r="J293" s="6">
        <v>46162</v>
      </c>
      <c r="K293" s="10" t="s">
        <v>15</v>
      </c>
      <c r="L293" s="17" t="str">
        <f t="shared" si="4"/>
        <v>Not Eligible</v>
      </c>
    </row>
    <row r="294" spans="1:12" ht="15" thickBot="1" x14ac:dyDescent="0.4">
      <c r="A294" s="5">
        <v>1367</v>
      </c>
      <c r="B294" s="5" t="s">
        <v>54</v>
      </c>
      <c r="C294" s="5" t="s">
        <v>25</v>
      </c>
      <c r="D294" s="5" t="s">
        <v>13</v>
      </c>
      <c r="E294" s="5" t="s">
        <v>53</v>
      </c>
      <c r="F294" s="5">
        <v>1</v>
      </c>
      <c r="G294" s="5">
        <v>371</v>
      </c>
      <c r="H294" s="5">
        <v>5</v>
      </c>
      <c r="I294" s="6">
        <v>46158</v>
      </c>
      <c r="J294" s="6">
        <v>46168</v>
      </c>
      <c r="K294" s="10" t="s">
        <v>29</v>
      </c>
      <c r="L294" s="17" t="str">
        <f t="shared" si="4"/>
        <v>Not Eligible</v>
      </c>
    </row>
    <row r="295" spans="1:12" ht="15" thickBot="1" x14ac:dyDescent="0.4">
      <c r="A295" s="5">
        <v>1317</v>
      </c>
      <c r="B295" s="5" t="s">
        <v>59</v>
      </c>
      <c r="C295" s="5" t="s">
        <v>33</v>
      </c>
      <c r="D295" s="5" t="s">
        <v>34</v>
      </c>
      <c r="E295" s="5" t="s">
        <v>41</v>
      </c>
      <c r="F295" s="5">
        <v>7</v>
      </c>
      <c r="G295" s="5">
        <v>67339</v>
      </c>
      <c r="H295" s="5">
        <v>5</v>
      </c>
      <c r="I295" s="6">
        <v>46159</v>
      </c>
      <c r="J295" s="6">
        <v>46169</v>
      </c>
      <c r="K295" s="10" t="s">
        <v>51</v>
      </c>
      <c r="L295" s="17" t="str">
        <f t="shared" si="4"/>
        <v>Not Eligible</v>
      </c>
    </row>
    <row r="296" spans="1:12" ht="15" thickBot="1" x14ac:dyDescent="0.4">
      <c r="A296" s="5">
        <v>1052</v>
      </c>
      <c r="B296" s="5" t="s">
        <v>55</v>
      </c>
      <c r="C296" s="5" t="s">
        <v>12</v>
      </c>
      <c r="D296" s="5" t="s">
        <v>13</v>
      </c>
      <c r="E296" s="5" t="s">
        <v>14</v>
      </c>
      <c r="F296" s="5">
        <v>17</v>
      </c>
      <c r="G296" s="5">
        <v>172</v>
      </c>
      <c r="H296" s="5">
        <v>10</v>
      </c>
      <c r="I296" s="6">
        <v>46159</v>
      </c>
      <c r="J296" s="6">
        <v>46165</v>
      </c>
      <c r="K296" s="10" t="s">
        <v>20</v>
      </c>
      <c r="L296" s="17" t="str">
        <f t="shared" si="4"/>
        <v>Not Eligible</v>
      </c>
    </row>
    <row r="297" spans="1:12" ht="15" thickBot="1" x14ac:dyDescent="0.4">
      <c r="A297" s="5">
        <v>1143</v>
      </c>
      <c r="B297" s="5" t="s">
        <v>29</v>
      </c>
      <c r="C297" s="5" t="s">
        <v>17</v>
      </c>
      <c r="D297" s="5" t="s">
        <v>13</v>
      </c>
      <c r="E297" s="5" t="s">
        <v>37</v>
      </c>
      <c r="F297" s="5">
        <v>13</v>
      </c>
      <c r="G297" s="5">
        <v>456</v>
      </c>
      <c r="H297" s="5">
        <v>2</v>
      </c>
      <c r="I297" s="6">
        <v>46160</v>
      </c>
      <c r="J297" s="6">
        <v>46167</v>
      </c>
      <c r="K297" s="10" t="s">
        <v>24</v>
      </c>
      <c r="L297" s="17" t="str">
        <f t="shared" si="4"/>
        <v>Not Eligible</v>
      </c>
    </row>
    <row r="298" spans="1:12" ht="15" thickBot="1" x14ac:dyDescent="0.4">
      <c r="A298" s="5">
        <v>1167</v>
      </c>
      <c r="B298" s="5" t="s">
        <v>48</v>
      </c>
      <c r="C298" s="5" t="s">
        <v>17</v>
      </c>
      <c r="D298" s="5" t="s">
        <v>13</v>
      </c>
      <c r="E298" s="5" t="s">
        <v>37</v>
      </c>
      <c r="F298" s="5">
        <v>20</v>
      </c>
      <c r="G298" s="5">
        <v>251</v>
      </c>
      <c r="H298" s="5">
        <v>5</v>
      </c>
      <c r="I298" s="6">
        <v>46160</v>
      </c>
      <c r="J298" s="6">
        <v>46170</v>
      </c>
      <c r="K298" s="10" t="s">
        <v>29</v>
      </c>
      <c r="L298" s="17" t="str">
        <f t="shared" si="4"/>
        <v>Not Eligible</v>
      </c>
    </row>
    <row r="299" spans="1:12" ht="15" thickBot="1" x14ac:dyDescent="0.4">
      <c r="A299" s="5">
        <v>1129</v>
      </c>
      <c r="B299" s="5" t="s">
        <v>58</v>
      </c>
      <c r="C299" s="5" t="s">
        <v>17</v>
      </c>
      <c r="D299" s="5" t="s">
        <v>13</v>
      </c>
      <c r="E299" s="5" t="s">
        <v>50</v>
      </c>
      <c r="F299" s="5">
        <v>15</v>
      </c>
      <c r="G299" s="5">
        <v>75</v>
      </c>
      <c r="H299" s="5">
        <v>7</v>
      </c>
      <c r="I299" s="6">
        <v>46160</v>
      </c>
      <c r="J299" s="6">
        <v>46164</v>
      </c>
      <c r="K299" s="10" t="s">
        <v>29</v>
      </c>
      <c r="L299" s="17" t="str">
        <f t="shared" si="4"/>
        <v>Not Eligible</v>
      </c>
    </row>
    <row r="300" spans="1:12" ht="15" thickBot="1" x14ac:dyDescent="0.4">
      <c r="A300" s="5">
        <v>1257</v>
      </c>
      <c r="B300" s="5" t="s">
        <v>54</v>
      </c>
      <c r="C300" s="5" t="s">
        <v>25</v>
      </c>
      <c r="D300" s="5" t="s">
        <v>34</v>
      </c>
      <c r="E300" s="5" t="s">
        <v>61</v>
      </c>
      <c r="F300" s="5">
        <v>7</v>
      </c>
      <c r="G300" s="5">
        <v>53243</v>
      </c>
      <c r="H300" s="5">
        <v>12</v>
      </c>
      <c r="I300" s="6">
        <v>46161</v>
      </c>
      <c r="J300" s="6">
        <v>46171</v>
      </c>
      <c r="K300" s="10" t="s">
        <v>15</v>
      </c>
      <c r="L300" s="17" t="str">
        <f t="shared" si="4"/>
        <v>Eligible</v>
      </c>
    </row>
    <row r="301" spans="1:12" ht="15" thickBot="1" x14ac:dyDescent="0.4">
      <c r="A301" s="5">
        <v>1372</v>
      </c>
      <c r="B301" s="5" t="s">
        <v>48</v>
      </c>
      <c r="C301" s="5" t="s">
        <v>17</v>
      </c>
      <c r="D301" s="5" t="s">
        <v>34</v>
      </c>
      <c r="E301" s="5" t="s">
        <v>39</v>
      </c>
      <c r="F301" s="5">
        <v>9</v>
      </c>
      <c r="G301" s="5">
        <v>9551</v>
      </c>
      <c r="H301" s="5">
        <v>10</v>
      </c>
      <c r="I301" s="6">
        <v>46161</v>
      </c>
      <c r="J301" s="6">
        <v>46168</v>
      </c>
      <c r="K301" s="10" t="s">
        <v>15</v>
      </c>
      <c r="L301" s="17" t="str">
        <f t="shared" si="4"/>
        <v>Eligible</v>
      </c>
    </row>
    <row r="302" spans="1:12" ht="15" thickBot="1" x14ac:dyDescent="0.4">
      <c r="A302" s="5">
        <v>1024</v>
      </c>
      <c r="B302" s="5" t="s">
        <v>32</v>
      </c>
      <c r="C302" s="5" t="s">
        <v>38</v>
      </c>
      <c r="D302" s="5" t="s">
        <v>34</v>
      </c>
      <c r="E302" s="5" t="s">
        <v>41</v>
      </c>
      <c r="F302" s="5">
        <v>12</v>
      </c>
      <c r="G302" s="5">
        <v>1682</v>
      </c>
      <c r="H302" s="5">
        <v>5</v>
      </c>
      <c r="I302" s="6">
        <v>46161</v>
      </c>
      <c r="J302" s="6">
        <v>46165</v>
      </c>
      <c r="K302" s="10" t="s">
        <v>15</v>
      </c>
      <c r="L302" s="17" t="str">
        <f t="shared" si="4"/>
        <v>Not Eligible</v>
      </c>
    </row>
    <row r="303" spans="1:12" ht="15" thickBot="1" x14ac:dyDescent="0.4">
      <c r="A303" s="5">
        <v>1248</v>
      </c>
      <c r="B303" s="5" t="s">
        <v>27</v>
      </c>
      <c r="C303" s="5" t="s">
        <v>43</v>
      </c>
      <c r="D303" s="5" t="s">
        <v>13</v>
      </c>
      <c r="E303" s="5" t="s">
        <v>37</v>
      </c>
      <c r="F303" s="5">
        <v>5</v>
      </c>
      <c r="G303" s="5">
        <v>398</v>
      </c>
      <c r="H303" s="5">
        <v>7</v>
      </c>
      <c r="I303" s="6">
        <v>46161</v>
      </c>
      <c r="J303" s="6">
        <v>46171</v>
      </c>
      <c r="K303" s="10" t="s">
        <v>29</v>
      </c>
      <c r="L303" s="17" t="str">
        <f t="shared" si="4"/>
        <v>Not Eligible</v>
      </c>
    </row>
    <row r="304" spans="1:12" ht="15" thickBot="1" x14ac:dyDescent="0.4">
      <c r="A304" s="5">
        <v>1011</v>
      </c>
      <c r="B304" s="5" t="s">
        <v>11</v>
      </c>
      <c r="C304" s="5" t="s">
        <v>17</v>
      </c>
      <c r="D304" s="5" t="s">
        <v>13</v>
      </c>
      <c r="E304" s="5" t="s">
        <v>37</v>
      </c>
      <c r="F304" s="5">
        <v>14</v>
      </c>
      <c r="G304" s="5">
        <v>88</v>
      </c>
      <c r="H304" s="5">
        <v>12</v>
      </c>
      <c r="I304" s="6">
        <v>46161</v>
      </c>
      <c r="J304" s="6">
        <v>46163</v>
      </c>
      <c r="K304" s="10" t="s">
        <v>15</v>
      </c>
      <c r="L304" s="17" t="str">
        <f t="shared" si="4"/>
        <v>Not Eligible</v>
      </c>
    </row>
    <row r="305" spans="1:12" ht="15" thickBot="1" x14ac:dyDescent="0.4">
      <c r="A305" s="5">
        <v>1386</v>
      </c>
      <c r="B305" s="5" t="s">
        <v>27</v>
      </c>
      <c r="C305" s="5" t="s">
        <v>31</v>
      </c>
      <c r="D305" s="5" t="s">
        <v>18</v>
      </c>
      <c r="E305" s="5" t="s">
        <v>28</v>
      </c>
      <c r="F305" s="5">
        <v>9</v>
      </c>
      <c r="G305" s="5">
        <v>7509</v>
      </c>
      <c r="H305" s="5">
        <v>5</v>
      </c>
      <c r="I305" s="6">
        <v>46162</v>
      </c>
      <c r="J305" s="6">
        <v>46171</v>
      </c>
      <c r="K305" s="10" t="s">
        <v>51</v>
      </c>
      <c r="L305" s="17" t="str">
        <f t="shared" si="4"/>
        <v>Not Eligible</v>
      </c>
    </row>
    <row r="306" spans="1:12" ht="15" thickBot="1" x14ac:dyDescent="0.4">
      <c r="A306" s="5">
        <v>1007</v>
      </c>
      <c r="B306" s="5" t="s">
        <v>21</v>
      </c>
      <c r="C306" s="5" t="s">
        <v>22</v>
      </c>
      <c r="D306" s="5" t="s">
        <v>13</v>
      </c>
      <c r="E306" s="5" t="s">
        <v>14</v>
      </c>
      <c r="F306" s="5">
        <v>19</v>
      </c>
      <c r="G306" s="5">
        <v>149</v>
      </c>
      <c r="H306" s="5">
        <v>7</v>
      </c>
      <c r="I306" s="6">
        <v>46162</v>
      </c>
      <c r="J306" s="6">
        <v>46168</v>
      </c>
      <c r="K306" s="10" t="s">
        <v>24</v>
      </c>
      <c r="L306" s="17" t="str">
        <f t="shared" si="4"/>
        <v>Not Eligible</v>
      </c>
    </row>
    <row r="307" spans="1:12" ht="15" thickBot="1" x14ac:dyDescent="0.4">
      <c r="A307" s="5">
        <v>1032</v>
      </c>
      <c r="B307" s="5" t="s">
        <v>54</v>
      </c>
      <c r="C307" s="5" t="s">
        <v>43</v>
      </c>
      <c r="D307" s="5" t="s">
        <v>34</v>
      </c>
      <c r="E307" s="5" t="s">
        <v>39</v>
      </c>
      <c r="F307" s="5">
        <v>20</v>
      </c>
      <c r="G307" s="5">
        <v>11305</v>
      </c>
      <c r="H307" s="5">
        <v>2</v>
      </c>
      <c r="I307" s="6">
        <v>46163</v>
      </c>
      <c r="J307" s="6">
        <v>46165</v>
      </c>
      <c r="K307" s="10" t="s">
        <v>29</v>
      </c>
      <c r="L307" s="17" t="str">
        <f t="shared" si="4"/>
        <v>Not Eligible</v>
      </c>
    </row>
    <row r="308" spans="1:12" ht="15" thickBot="1" x14ac:dyDescent="0.4">
      <c r="A308" s="5">
        <v>1302</v>
      </c>
      <c r="B308" s="5" t="s">
        <v>57</v>
      </c>
      <c r="C308" s="5" t="s">
        <v>12</v>
      </c>
      <c r="D308" s="5" t="s">
        <v>34</v>
      </c>
      <c r="E308" s="5" t="s">
        <v>35</v>
      </c>
      <c r="F308" s="5">
        <v>9</v>
      </c>
      <c r="G308" s="5">
        <v>8500</v>
      </c>
      <c r="H308" s="5">
        <v>15</v>
      </c>
      <c r="I308" s="6">
        <v>46163</v>
      </c>
      <c r="J308" s="6">
        <v>46172</v>
      </c>
      <c r="K308" s="10" t="s">
        <v>24</v>
      </c>
      <c r="L308" s="17" t="str">
        <f t="shared" si="4"/>
        <v>Eligible</v>
      </c>
    </row>
    <row r="309" spans="1:12" ht="15" thickBot="1" x14ac:dyDescent="0.4">
      <c r="A309" s="5">
        <v>1249</v>
      </c>
      <c r="B309" s="5" t="s">
        <v>16</v>
      </c>
      <c r="C309" s="5" t="s">
        <v>25</v>
      </c>
      <c r="D309" s="5" t="s">
        <v>34</v>
      </c>
      <c r="E309" s="5" t="s">
        <v>41</v>
      </c>
      <c r="F309" s="5">
        <v>18</v>
      </c>
      <c r="G309" s="5">
        <v>6360</v>
      </c>
      <c r="H309" s="5">
        <v>12</v>
      </c>
      <c r="I309" s="6">
        <v>46163</v>
      </c>
      <c r="J309" s="6">
        <v>46165</v>
      </c>
      <c r="K309" s="10" t="s">
        <v>20</v>
      </c>
      <c r="L309" s="17" t="str">
        <f t="shared" si="4"/>
        <v>Eligible</v>
      </c>
    </row>
    <row r="310" spans="1:12" ht="15" thickBot="1" x14ac:dyDescent="0.4">
      <c r="A310" s="5">
        <v>1207</v>
      </c>
      <c r="B310" s="5" t="s">
        <v>55</v>
      </c>
      <c r="C310" s="5" t="s">
        <v>25</v>
      </c>
      <c r="D310" s="5" t="s">
        <v>13</v>
      </c>
      <c r="E310" s="5" t="s">
        <v>53</v>
      </c>
      <c r="F310" s="5">
        <v>7</v>
      </c>
      <c r="G310" s="5">
        <v>244</v>
      </c>
      <c r="H310" s="5">
        <v>2</v>
      </c>
      <c r="I310" s="6">
        <v>46164</v>
      </c>
      <c r="J310" s="6">
        <v>46173</v>
      </c>
      <c r="K310" s="10" t="s">
        <v>24</v>
      </c>
      <c r="L310" s="17" t="str">
        <f t="shared" si="4"/>
        <v>Not Eligible</v>
      </c>
    </row>
    <row r="311" spans="1:12" ht="15" thickBot="1" x14ac:dyDescent="0.4">
      <c r="A311" s="5">
        <v>1236</v>
      </c>
      <c r="B311" s="5" t="s">
        <v>54</v>
      </c>
      <c r="C311" s="5" t="s">
        <v>43</v>
      </c>
      <c r="D311" s="5" t="s">
        <v>13</v>
      </c>
      <c r="E311" s="5" t="s">
        <v>37</v>
      </c>
      <c r="F311" s="5">
        <v>12</v>
      </c>
      <c r="G311" s="5">
        <v>189</v>
      </c>
      <c r="H311" s="5">
        <v>7</v>
      </c>
      <c r="I311" s="6">
        <v>46164</v>
      </c>
      <c r="J311" s="6">
        <v>46169</v>
      </c>
      <c r="K311" s="10" t="s">
        <v>29</v>
      </c>
      <c r="L311" s="17" t="str">
        <f t="shared" si="4"/>
        <v>Not Eligible</v>
      </c>
    </row>
    <row r="312" spans="1:12" ht="15" thickBot="1" x14ac:dyDescent="0.4">
      <c r="A312" s="5">
        <v>1326</v>
      </c>
      <c r="B312" s="5" t="s">
        <v>26</v>
      </c>
      <c r="C312" s="5" t="s">
        <v>17</v>
      </c>
      <c r="D312" s="5" t="s">
        <v>18</v>
      </c>
      <c r="E312" s="5" t="s">
        <v>44</v>
      </c>
      <c r="F312" s="5">
        <v>18</v>
      </c>
      <c r="G312" s="5">
        <v>1830</v>
      </c>
      <c r="H312" s="5">
        <v>10</v>
      </c>
      <c r="I312" s="6">
        <v>46165</v>
      </c>
      <c r="J312" s="6">
        <v>46172</v>
      </c>
      <c r="K312" s="10" t="s">
        <v>15</v>
      </c>
      <c r="L312" s="17" t="str">
        <f t="shared" si="4"/>
        <v>Not Eligible</v>
      </c>
    </row>
    <row r="313" spans="1:12" ht="15" thickBot="1" x14ac:dyDescent="0.4">
      <c r="A313" s="5">
        <v>1252</v>
      </c>
      <c r="B313" s="5" t="s">
        <v>47</v>
      </c>
      <c r="C313" s="5" t="s">
        <v>25</v>
      </c>
      <c r="D313" s="5" t="s">
        <v>13</v>
      </c>
      <c r="E313" s="5" t="s">
        <v>36</v>
      </c>
      <c r="F313" s="5">
        <v>15</v>
      </c>
      <c r="G313" s="5">
        <v>257</v>
      </c>
      <c r="H313" s="5">
        <v>5</v>
      </c>
      <c r="I313" s="6">
        <v>46166</v>
      </c>
      <c r="J313" s="6">
        <v>46173</v>
      </c>
      <c r="K313" s="10" t="s">
        <v>20</v>
      </c>
      <c r="L313" s="17" t="str">
        <f t="shared" si="4"/>
        <v>Not Eligible</v>
      </c>
    </row>
    <row r="314" spans="1:12" ht="15" thickBot="1" x14ac:dyDescent="0.4">
      <c r="A314" s="5">
        <v>1206</v>
      </c>
      <c r="B314" s="5" t="s">
        <v>55</v>
      </c>
      <c r="C314" s="5" t="s">
        <v>33</v>
      </c>
      <c r="D314" s="5" t="s">
        <v>13</v>
      </c>
      <c r="E314" s="5" t="s">
        <v>14</v>
      </c>
      <c r="F314" s="5">
        <v>9</v>
      </c>
      <c r="G314" s="5">
        <v>60</v>
      </c>
      <c r="H314" s="5">
        <v>0</v>
      </c>
      <c r="I314" s="6">
        <v>46166</v>
      </c>
      <c r="J314" s="6">
        <v>46174</v>
      </c>
      <c r="K314" s="10" t="s">
        <v>15</v>
      </c>
      <c r="L314" s="17" t="str">
        <f t="shared" si="4"/>
        <v>Not Eligible</v>
      </c>
    </row>
    <row r="315" spans="1:12" ht="15" thickBot="1" x14ac:dyDescent="0.4">
      <c r="A315" s="5">
        <v>1095</v>
      </c>
      <c r="B315" s="5" t="s">
        <v>47</v>
      </c>
      <c r="C315" s="5" t="s">
        <v>25</v>
      </c>
      <c r="D315" s="5" t="s">
        <v>34</v>
      </c>
      <c r="E315" s="5" t="s">
        <v>41</v>
      </c>
      <c r="F315" s="5">
        <v>18</v>
      </c>
      <c r="G315" s="5">
        <v>587</v>
      </c>
      <c r="H315" s="5">
        <v>2</v>
      </c>
      <c r="I315" s="6">
        <v>46167</v>
      </c>
      <c r="J315" s="6">
        <v>46171</v>
      </c>
      <c r="K315" s="10" t="s">
        <v>20</v>
      </c>
      <c r="L315" s="17" t="str">
        <f t="shared" si="4"/>
        <v>Not Eligible</v>
      </c>
    </row>
    <row r="316" spans="1:12" ht="15" thickBot="1" x14ac:dyDescent="0.4">
      <c r="A316" s="5">
        <v>1131</v>
      </c>
      <c r="B316" s="5" t="s">
        <v>21</v>
      </c>
      <c r="C316" s="5" t="s">
        <v>31</v>
      </c>
      <c r="D316" s="5" t="s">
        <v>18</v>
      </c>
      <c r="E316" s="5" t="s">
        <v>23</v>
      </c>
      <c r="F316" s="5">
        <v>13</v>
      </c>
      <c r="G316" s="5">
        <v>3083</v>
      </c>
      <c r="H316" s="5">
        <v>7</v>
      </c>
      <c r="I316" s="6">
        <v>46168</v>
      </c>
      <c r="J316" s="6">
        <v>46173</v>
      </c>
      <c r="K316" s="10" t="s">
        <v>51</v>
      </c>
      <c r="L316" s="17" t="str">
        <f t="shared" si="4"/>
        <v>Not Eligible</v>
      </c>
    </row>
    <row r="317" spans="1:12" ht="15" thickBot="1" x14ac:dyDescent="0.4">
      <c r="A317" s="5">
        <v>1335</v>
      </c>
      <c r="B317" s="5" t="s">
        <v>47</v>
      </c>
      <c r="C317" s="5" t="s">
        <v>17</v>
      </c>
      <c r="D317" s="5" t="s">
        <v>18</v>
      </c>
      <c r="E317" s="5" t="s">
        <v>19</v>
      </c>
      <c r="F317" s="5">
        <v>9</v>
      </c>
      <c r="G317" s="5">
        <v>1495</v>
      </c>
      <c r="H317" s="5">
        <v>12</v>
      </c>
      <c r="I317" s="6">
        <v>46168</v>
      </c>
      <c r="J317" s="6">
        <v>46173</v>
      </c>
      <c r="K317" s="10" t="s">
        <v>15</v>
      </c>
      <c r="L317" s="17" t="str">
        <f t="shared" si="4"/>
        <v>Not Eligible</v>
      </c>
    </row>
    <row r="318" spans="1:12" ht="15" thickBot="1" x14ac:dyDescent="0.4">
      <c r="A318" s="5">
        <v>1286</v>
      </c>
      <c r="B318" s="5" t="s">
        <v>46</v>
      </c>
      <c r="C318" s="5" t="s">
        <v>17</v>
      </c>
      <c r="D318" s="5" t="s">
        <v>18</v>
      </c>
      <c r="E318" s="5" t="s">
        <v>56</v>
      </c>
      <c r="F318" s="5">
        <v>9</v>
      </c>
      <c r="G318" s="5">
        <v>1340</v>
      </c>
      <c r="H318" s="5">
        <v>2</v>
      </c>
      <c r="I318" s="6">
        <v>46168</v>
      </c>
      <c r="J318" s="6">
        <v>46173</v>
      </c>
      <c r="K318" s="10" t="s">
        <v>15</v>
      </c>
      <c r="L318" s="17" t="str">
        <f t="shared" si="4"/>
        <v>Not Eligible</v>
      </c>
    </row>
    <row r="319" spans="1:12" ht="15" thickBot="1" x14ac:dyDescent="0.4">
      <c r="A319" s="5">
        <v>1177</v>
      </c>
      <c r="B319" s="5" t="s">
        <v>29</v>
      </c>
      <c r="C319" s="5" t="s">
        <v>22</v>
      </c>
      <c r="D319" s="5" t="s">
        <v>18</v>
      </c>
      <c r="E319" s="5" t="s">
        <v>19</v>
      </c>
      <c r="F319" s="5">
        <v>14</v>
      </c>
      <c r="G319" s="5">
        <v>7501</v>
      </c>
      <c r="H319" s="5">
        <v>7</v>
      </c>
      <c r="I319" s="6">
        <v>46169</v>
      </c>
      <c r="J319" s="6">
        <v>46179</v>
      </c>
      <c r="K319" s="10" t="s">
        <v>20</v>
      </c>
      <c r="L319" s="17" t="str">
        <f t="shared" si="4"/>
        <v>Not Eligible</v>
      </c>
    </row>
    <row r="320" spans="1:12" ht="15" thickBot="1" x14ac:dyDescent="0.4">
      <c r="A320" s="5">
        <v>1318</v>
      </c>
      <c r="B320" s="5" t="s">
        <v>11</v>
      </c>
      <c r="C320" s="5" t="s">
        <v>43</v>
      </c>
      <c r="D320" s="5" t="s">
        <v>13</v>
      </c>
      <c r="E320" s="5" t="s">
        <v>50</v>
      </c>
      <c r="F320" s="5">
        <v>4</v>
      </c>
      <c r="G320" s="5">
        <v>38</v>
      </c>
      <c r="H320" s="5">
        <v>12</v>
      </c>
      <c r="I320" s="6">
        <v>46169</v>
      </c>
      <c r="J320" s="6">
        <v>46175</v>
      </c>
      <c r="K320" s="10" t="s">
        <v>29</v>
      </c>
      <c r="L320" s="17" t="str">
        <f t="shared" si="4"/>
        <v>Not Eligible</v>
      </c>
    </row>
    <row r="321" spans="1:12" ht="15" thickBot="1" x14ac:dyDescent="0.4">
      <c r="A321" s="5">
        <v>1079</v>
      </c>
      <c r="B321" s="5" t="s">
        <v>26</v>
      </c>
      <c r="C321" s="5" t="s">
        <v>38</v>
      </c>
      <c r="D321" s="5" t="s">
        <v>34</v>
      </c>
      <c r="E321" s="5" t="s">
        <v>41</v>
      </c>
      <c r="F321" s="5">
        <v>19</v>
      </c>
      <c r="G321" s="5">
        <v>48956</v>
      </c>
      <c r="H321" s="5">
        <v>12</v>
      </c>
      <c r="I321" s="6">
        <v>46170</v>
      </c>
      <c r="J321" s="6">
        <v>46177</v>
      </c>
      <c r="K321" s="10" t="s">
        <v>51</v>
      </c>
      <c r="L321" s="17" t="str">
        <f t="shared" si="4"/>
        <v>Eligible</v>
      </c>
    </row>
    <row r="322" spans="1:12" ht="15" thickBot="1" x14ac:dyDescent="0.4">
      <c r="A322" s="5">
        <v>1127</v>
      </c>
      <c r="B322" s="5" t="s">
        <v>26</v>
      </c>
      <c r="C322" s="5" t="s">
        <v>33</v>
      </c>
      <c r="D322" s="5" t="s">
        <v>18</v>
      </c>
      <c r="E322" s="5" t="s">
        <v>28</v>
      </c>
      <c r="F322" s="5">
        <v>15</v>
      </c>
      <c r="G322" s="5">
        <v>11694</v>
      </c>
      <c r="H322" s="5">
        <v>12</v>
      </c>
      <c r="I322" s="6">
        <v>46170</v>
      </c>
      <c r="J322" s="6">
        <v>46179</v>
      </c>
      <c r="K322" s="10" t="s">
        <v>29</v>
      </c>
      <c r="L322" s="17" t="str">
        <f t="shared" si="4"/>
        <v>Not Eligible</v>
      </c>
    </row>
    <row r="323" spans="1:12" ht="15" thickBot="1" x14ac:dyDescent="0.4">
      <c r="A323" s="5">
        <v>1398</v>
      </c>
      <c r="B323" s="5" t="s">
        <v>58</v>
      </c>
      <c r="C323" s="5" t="s">
        <v>43</v>
      </c>
      <c r="D323" s="5" t="s">
        <v>34</v>
      </c>
      <c r="E323" s="5" t="s">
        <v>39</v>
      </c>
      <c r="F323" s="5">
        <v>12</v>
      </c>
      <c r="G323" s="5">
        <v>10668</v>
      </c>
      <c r="H323" s="5">
        <v>0</v>
      </c>
      <c r="I323" s="6">
        <v>46170</v>
      </c>
      <c r="J323" s="6">
        <v>46176</v>
      </c>
      <c r="K323" s="10" t="s">
        <v>15</v>
      </c>
      <c r="L323" s="17" t="str">
        <f t="shared" ref="L323:L386" si="5">IF(AND(D323="Electronics",H323&gt;=10),"Eligible","Not Eligible")</f>
        <v>Not Eligible</v>
      </c>
    </row>
    <row r="324" spans="1:12" ht="15" thickBot="1" x14ac:dyDescent="0.4">
      <c r="A324" s="5">
        <v>1220</v>
      </c>
      <c r="B324" s="5" t="s">
        <v>11</v>
      </c>
      <c r="C324" s="5" t="s">
        <v>25</v>
      </c>
      <c r="D324" s="5" t="s">
        <v>18</v>
      </c>
      <c r="E324" s="5" t="s">
        <v>56</v>
      </c>
      <c r="F324" s="5">
        <v>2</v>
      </c>
      <c r="G324" s="5">
        <v>8861</v>
      </c>
      <c r="H324" s="5">
        <v>2</v>
      </c>
      <c r="I324" s="6">
        <v>46170</v>
      </c>
      <c r="J324" s="6">
        <v>46174</v>
      </c>
      <c r="K324" s="10" t="s">
        <v>24</v>
      </c>
      <c r="L324" s="17" t="str">
        <f t="shared" si="5"/>
        <v>Not Eligible</v>
      </c>
    </row>
    <row r="325" spans="1:12" ht="15" thickBot="1" x14ac:dyDescent="0.4">
      <c r="A325" s="5">
        <v>1040</v>
      </c>
      <c r="B325" s="5" t="s">
        <v>49</v>
      </c>
      <c r="C325" s="5" t="s">
        <v>38</v>
      </c>
      <c r="D325" s="5" t="s">
        <v>18</v>
      </c>
      <c r="E325" s="5" t="s">
        <v>28</v>
      </c>
      <c r="F325" s="5">
        <v>10</v>
      </c>
      <c r="G325" s="5">
        <v>7531</v>
      </c>
      <c r="H325" s="5">
        <v>2</v>
      </c>
      <c r="I325" s="6">
        <v>46171</v>
      </c>
      <c r="J325" s="6">
        <v>46178</v>
      </c>
      <c r="K325" s="10" t="s">
        <v>24</v>
      </c>
      <c r="L325" s="17" t="str">
        <f t="shared" si="5"/>
        <v>Not Eligible</v>
      </c>
    </row>
    <row r="326" spans="1:12" ht="15" thickBot="1" x14ac:dyDescent="0.4">
      <c r="A326" s="5">
        <v>1087</v>
      </c>
      <c r="B326" s="5" t="s">
        <v>11</v>
      </c>
      <c r="C326" s="5" t="s">
        <v>31</v>
      </c>
      <c r="D326" s="5" t="s">
        <v>13</v>
      </c>
      <c r="E326" s="5" t="s">
        <v>37</v>
      </c>
      <c r="F326" s="5">
        <v>13</v>
      </c>
      <c r="G326" s="5">
        <v>387</v>
      </c>
      <c r="H326" s="5">
        <v>7</v>
      </c>
      <c r="I326" s="6">
        <v>46171</v>
      </c>
      <c r="J326" s="6">
        <v>46176</v>
      </c>
      <c r="K326" s="10" t="s">
        <v>24</v>
      </c>
      <c r="L326" s="17" t="str">
        <f t="shared" si="5"/>
        <v>Not Eligible</v>
      </c>
    </row>
    <row r="327" spans="1:12" ht="15" thickBot="1" x14ac:dyDescent="0.4">
      <c r="A327" s="5">
        <v>1005</v>
      </c>
      <c r="B327" s="5" t="s">
        <v>26</v>
      </c>
      <c r="C327" s="5" t="s">
        <v>17</v>
      </c>
      <c r="D327" s="5" t="s">
        <v>13</v>
      </c>
      <c r="E327" s="5" t="s">
        <v>14</v>
      </c>
      <c r="F327" s="5">
        <v>18</v>
      </c>
      <c r="G327" s="5">
        <v>70</v>
      </c>
      <c r="H327" s="5">
        <v>0</v>
      </c>
      <c r="I327" s="6">
        <v>46171</v>
      </c>
      <c r="J327" s="6">
        <v>46179</v>
      </c>
      <c r="K327" s="10" t="s">
        <v>24</v>
      </c>
      <c r="L327" s="17" t="str">
        <f t="shared" si="5"/>
        <v>Not Eligible</v>
      </c>
    </row>
    <row r="328" spans="1:12" ht="15" thickBot="1" x14ac:dyDescent="0.4">
      <c r="A328" s="5">
        <v>1217</v>
      </c>
      <c r="B328" s="5" t="s">
        <v>30</v>
      </c>
      <c r="C328" s="5" t="s">
        <v>22</v>
      </c>
      <c r="D328" s="5" t="s">
        <v>13</v>
      </c>
      <c r="E328" s="5" t="s">
        <v>50</v>
      </c>
      <c r="F328" s="5">
        <v>18</v>
      </c>
      <c r="G328" s="5">
        <v>60</v>
      </c>
      <c r="H328" s="5">
        <v>0</v>
      </c>
      <c r="I328" s="6">
        <v>46171</v>
      </c>
      <c r="J328" s="6">
        <v>46172</v>
      </c>
      <c r="K328" s="10" t="s">
        <v>29</v>
      </c>
      <c r="L328" s="17" t="str">
        <f t="shared" si="5"/>
        <v>Not Eligible</v>
      </c>
    </row>
    <row r="329" spans="1:12" ht="15" thickBot="1" x14ac:dyDescent="0.4">
      <c r="A329" s="5">
        <v>1259</v>
      </c>
      <c r="B329" s="5" t="s">
        <v>42</v>
      </c>
      <c r="C329" s="5" t="s">
        <v>22</v>
      </c>
      <c r="D329" s="5" t="s">
        <v>34</v>
      </c>
      <c r="E329" s="5" t="s">
        <v>45</v>
      </c>
      <c r="F329" s="5">
        <v>10</v>
      </c>
      <c r="G329" s="5">
        <v>38771</v>
      </c>
      <c r="H329" s="5">
        <v>15</v>
      </c>
      <c r="I329" s="6">
        <v>46172</v>
      </c>
      <c r="J329" s="6">
        <v>46182</v>
      </c>
      <c r="K329" s="10" t="s">
        <v>15</v>
      </c>
      <c r="L329" s="17" t="str">
        <f t="shared" si="5"/>
        <v>Eligible</v>
      </c>
    </row>
    <row r="330" spans="1:12" ht="15" thickBot="1" x14ac:dyDescent="0.4">
      <c r="A330" s="5">
        <v>1273</v>
      </c>
      <c r="B330" s="5" t="s">
        <v>46</v>
      </c>
      <c r="C330" s="5" t="s">
        <v>25</v>
      </c>
      <c r="D330" s="5" t="s">
        <v>34</v>
      </c>
      <c r="E330" s="5" t="s">
        <v>39</v>
      </c>
      <c r="F330" s="5">
        <v>12</v>
      </c>
      <c r="G330" s="5">
        <v>20618</v>
      </c>
      <c r="H330" s="5">
        <v>12</v>
      </c>
      <c r="I330" s="6">
        <v>46172</v>
      </c>
      <c r="J330" s="6">
        <v>46174</v>
      </c>
      <c r="K330" s="10" t="s">
        <v>20</v>
      </c>
      <c r="L330" s="17" t="str">
        <f t="shared" si="5"/>
        <v>Eligible</v>
      </c>
    </row>
    <row r="331" spans="1:12" ht="15" thickBot="1" x14ac:dyDescent="0.4">
      <c r="A331" s="5">
        <v>1235</v>
      </c>
      <c r="B331" s="5" t="s">
        <v>57</v>
      </c>
      <c r="C331" s="5" t="s">
        <v>25</v>
      </c>
      <c r="D331" s="5" t="s">
        <v>13</v>
      </c>
      <c r="E331" s="5" t="s">
        <v>50</v>
      </c>
      <c r="F331" s="5">
        <v>15</v>
      </c>
      <c r="G331" s="5">
        <v>267</v>
      </c>
      <c r="H331" s="5">
        <v>15</v>
      </c>
      <c r="I331" s="6">
        <v>46172</v>
      </c>
      <c r="J331" s="6">
        <v>46177</v>
      </c>
      <c r="K331" s="10" t="s">
        <v>29</v>
      </c>
      <c r="L331" s="17" t="str">
        <f t="shared" si="5"/>
        <v>Not Eligible</v>
      </c>
    </row>
    <row r="332" spans="1:12" ht="15" thickBot="1" x14ac:dyDescent="0.4">
      <c r="A332" s="5">
        <v>1044</v>
      </c>
      <c r="B332" s="5" t="s">
        <v>48</v>
      </c>
      <c r="C332" s="5" t="s">
        <v>38</v>
      </c>
      <c r="D332" s="5" t="s">
        <v>18</v>
      </c>
      <c r="E332" s="5" t="s">
        <v>19</v>
      </c>
      <c r="F332" s="5">
        <v>4</v>
      </c>
      <c r="G332" s="5">
        <v>14731</v>
      </c>
      <c r="H332" s="5">
        <v>2</v>
      </c>
      <c r="I332" s="6">
        <v>46173</v>
      </c>
      <c r="J332" s="6">
        <v>46176</v>
      </c>
      <c r="K332" s="10" t="s">
        <v>20</v>
      </c>
      <c r="L332" s="17" t="str">
        <f t="shared" si="5"/>
        <v>Not Eligible</v>
      </c>
    </row>
    <row r="333" spans="1:12" ht="15" thickBot="1" x14ac:dyDescent="0.4">
      <c r="A333" s="5">
        <v>1247</v>
      </c>
      <c r="B333" s="5" t="s">
        <v>26</v>
      </c>
      <c r="C333" s="5" t="s">
        <v>12</v>
      </c>
      <c r="D333" s="5" t="s">
        <v>13</v>
      </c>
      <c r="E333" s="5" t="s">
        <v>50</v>
      </c>
      <c r="F333" s="5">
        <v>10</v>
      </c>
      <c r="G333" s="5">
        <v>336</v>
      </c>
      <c r="H333" s="5">
        <v>7</v>
      </c>
      <c r="I333" s="6">
        <v>46173</v>
      </c>
      <c r="J333" s="6">
        <v>46175</v>
      </c>
      <c r="K333" s="10" t="s">
        <v>20</v>
      </c>
      <c r="L333" s="17" t="str">
        <f t="shared" si="5"/>
        <v>Not Eligible</v>
      </c>
    </row>
    <row r="334" spans="1:12" ht="15" thickBot="1" x14ac:dyDescent="0.4">
      <c r="A334" s="5">
        <v>1311</v>
      </c>
      <c r="B334" s="5" t="s">
        <v>55</v>
      </c>
      <c r="C334" s="5" t="s">
        <v>12</v>
      </c>
      <c r="D334" s="5" t="s">
        <v>13</v>
      </c>
      <c r="E334" s="5" t="s">
        <v>14</v>
      </c>
      <c r="F334" s="5">
        <v>2</v>
      </c>
      <c r="G334" s="5">
        <v>209</v>
      </c>
      <c r="H334" s="5">
        <v>0</v>
      </c>
      <c r="I334" s="6">
        <v>46173</v>
      </c>
      <c r="J334" s="6">
        <v>46176</v>
      </c>
      <c r="K334" s="10" t="s">
        <v>20</v>
      </c>
      <c r="L334" s="17" t="str">
        <f t="shared" si="5"/>
        <v>Not Eligible</v>
      </c>
    </row>
    <row r="335" spans="1:12" ht="15" thickBot="1" x14ac:dyDescent="0.4">
      <c r="A335" s="5">
        <v>1343</v>
      </c>
      <c r="B335" s="5" t="s">
        <v>59</v>
      </c>
      <c r="C335" s="5" t="s">
        <v>31</v>
      </c>
      <c r="D335" s="5" t="s">
        <v>34</v>
      </c>
      <c r="E335" s="5" t="s">
        <v>39</v>
      </c>
      <c r="F335" s="5">
        <v>14</v>
      </c>
      <c r="G335" s="5">
        <v>32719</v>
      </c>
      <c r="H335" s="5">
        <v>15</v>
      </c>
      <c r="I335" s="6">
        <v>46174</v>
      </c>
      <c r="J335" s="6">
        <v>46179</v>
      </c>
      <c r="K335" s="10" t="s">
        <v>15</v>
      </c>
      <c r="L335" s="17" t="str">
        <f t="shared" si="5"/>
        <v>Eligible</v>
      </c>
    </row>
    <row r="336" spans="1:12" ht="15" thickBot="1" x14ac:dyDescent="0.4">
      <c r="A336" s="5">
        <v>1002</v>
      </c>
      <c r="B336" s="5" t="s">
        <v>16</v>
      </c>
      <c r="C336" s="5" t="s">
        <v>17</v>
      </c>
      <c r="D336" s="5" t="s">
        <v>18</v>
      </c>
      <c r="E336" s="5" t="s">
        <v>19</v>
      </c>
      <c r="F336" s="5">
        <v>7</v>
      </c>
      <c r="G336" s="5">
        <v>8448</v>
      </c>
      <c r="H336" s="5">
        <v>12</v>
      </c>
      <c r="I336" s="6">
        <v>46174</v>
      </c>
      <c r="J336" s="6">
        <v>46179</v>
      </c>
      <c r="K336" s="10" t="s">
        <v>20</v>
      </c>
      <c r="L336" s="17" t="str">
        <f t="shared" si="5"/>
        <v>Not Eligible</v>
      </c>
    </row>
    <row r="337" spans="1:12" ht="15" thickBot="1" x14ac:dyDescent="0.4">
      <c r="A337" s="5">
        <v>1262</v>
      </c>
      <c r="B337" s="5" t="s">
        <v>16</v>
      </c>
      <c r="C337" s="5" t="s">
        <v>22</v>
      </c>
      <c r="D337" s="5" t="s">
        <v>18</v>
      </c>
      <c r="E337" s="5" t="s">
        <v>28</v>
      </c>
      <c r="F337" s="5">
        <v>9</v>
      </c>
      <c r="G337" s="5">
        <v>2231</v>
      </c>
      <c r="H337" s="5">
        <v>15</v>
      </c>
      <c r="I337" s="6">
        <v>46174</v>
      </c>
      <c r="J337" s="6">
        <v>46183</v>
      </c>
      <c r="K337" s="10" t="s">
        <v>15</v>
      </c>
      <c r="L337" s="17" t="str">
        <f t="shared" si="5"/>
        <v>Not Eligible</v>
      </c>
    </row>
    <row r="338" spans="1:12" ht="15" thickBot="1" x14ac:dyDescent="0.4">
      <c r="A338" s="5">
        <v>1015</v>
      </c>
      <c r="B338" s="5" t="s">
        <v>42</v>
      </c>
      <c r="C338" s="5" t="s">
        <v>43</v>
      </c>
      <c r="D338" s="5" t="s">
        <v>18</v>
      </c>
      <c r="E338" s="5" t="s">
        <v>44</v>
      </c>
      <c r="F338" s="5">
        <v>11</v>
      </c>
      <c r="G338" s="5">
        <v>14511</v>
      </c>
      <c r="H338" s="5">
        <v>2</v>
      </c>
      <c r="I338" s="6">
        <v>46175</v>
      </c>
      <c r="J338" s="6">
        <v>46185</v>
      </c>
      <c r="K338" s="10" t="s">
        <v>20</v>
      </c>
      <c r="L338" s="17" t="str">
        <f t="shared" si="5"/>
        <v>Not Eligible</v>
      </c>
    </row>
    <row r="339" spans="1:12" ht="15" thickBot="1" x14ac:dyDescent="0.4">
      <c r="A339" s="5">
        <v>1093</v>
      </c>
      <c r="B339" s="5" t="s">
        <v>47</v>
      </c>
      <c r="C339" s="5" t="s">
        <v>25</v>
      </c>
      <c r="D339" s="5" t="s">
        <v>18</v>
      </c>
      <c r="E339" s="5" t="s">
        <v>23</v>
      </c>
      <c r="F339" s="5">
        <v>6</v>
      </c>
      <c r="G339" s="5">
        <v>8224</v>
      </c>
      <c r="H339" s="5">
        <v>15</v>
      </c>
      <c r="I339" s="6">
        <v>46175</v>
      </c>
      <c r="J339" s="6">
        <v>46185</v>
      </c>
      <c r="K339" s="10" t="s">
        <v>51</v>
      </c>
      <c r="L339" s="17" t="str">
        <f t="shared" si="5"/>
        <v>Not Eligible</v>
      </c>
    </row>
    <row r="340" spans="1:12" ht="15" thickBot="1" x14ac:dyDescent="0.4">
      <c r="A340" s="5">
        <v>1025</v>
      </c>
      <c r="B340" s="5" t="s">
        <v>21</v>
      </c>
      <c r="C340" s="5" t="s">
        <v>12</v>
      </c>
      <c r="D340" s="5" t="s">
        <v>18</v>
      </c>
      <c r="E340" s="5" t="s">
        <v>19</v>
      </c>
      <c r="F340" s="5">
        <v>18</v>
      </c>
      <c r="G340" s="5">
        <v>7924</v>
      </c>
      <c r="H340" s="5">
        <v>0</v>
      </c>
      <c r="I340" s="6">
        <v>46175</v>
      </c>
      <c r="J340" s="6">
        <v>46181</v>
      </c>
      <c r="K340" s="10" t="s">
        <v>15</v>
      </c>
      <c r="L340" s="17" t="str">
        <f t="shared" si="5"/>
        <v>Not Eligible</v>
      </c>
    </row>
    <row r="341" spans="1:12" ht="15" thickBot="1" x14ac:dyDescent="0.4">
      <c r="A341" s="5">
        <v>1211</v>
      </c>
      <c r="B341" s="5" t="s">
        <v>48</v>
      </c>
      <c r="C341" s="5" t="s">
        <v>17</v>
      </c>
      <c r="D341" s="5" t="s">
        <v>34</v>
      </c>
      <c r="E341" s="5" t="s">
        <v>35</v>
      </c>
      <c r="F341" s="5">
        <v>3</v>
      </c>
      <c r="G341" s="5">
        <v>5962</v>
      </c>
      <c r="H341" s="5">
        <v>7</v>
      </c>
      <c r="I341" s="6">
        <v>46175</v>
      </c>
      <c r="J341" s="6">
        <v>46183</v>
      </c>
      <c r="K341" s="10" t="s">
        <v>15</v>
      </c>
      <c r="L341" s="17" t="str">
        <f t="shared" si="5"/>
        <v>Not Eligible</v>
      </c>
    </row>
    <row r="342" spans="1:12" ht="15" thickBot="1" x14ac:dyDescent="0.4">
      <c r="A342" s="5">
        <v>1245</v>
      </c>
      <c r="B342" s="5" t="s">
        <v>55</v>
      </c>
      <c r="C342" s="5" t="s">
        <v>43</v>
      </c>
      <c r="D342" s="5" t="s">
        <v>34</v>
      </c>
      <c r="E342" s="5" t="s">
        <v>41</v>
      </c>
      <c r="F342" s="5">
        <v>19</v>
      </c>
      <c r="G342" s="5">
        <v>69029</v>
      </c>
      <c r="H342" s="5">
        <v>7</v>
      </c>
      <c r="I342" s="6">
        <v>46176</v>
      </c>
      <c r="J342" s="6">
        <v>46179</v>
      </c>
      <c r="K342" s="10" t="s">
        <v>29</v>
      </c>
      <c r="L342" s="17" t="str">
        <f t="shared" si="5"/>
        <v>Not Eligible</v>
      </c>
    </row>
    <row r="343" spans="1:12" ht="15" thickBot="1" x14ac:dyDescent="0.4">
      <c r="A343" s="5">
        <v>1282</v>
      </c>
      <c r="B343" s="5" t="s">
        <v>57</v>
      </c>
      <c r="C343" s="5" t="s">
        <v>43</v>
      </c>
      <c r="D343" s="5" t="s">
        <v>18</v>
      </c>
      <c r="E343" s="5" t="s">
        <v>44</v>
      </c>
      <c r="F343" s="5">
        <v>12</v>
      </c>
      <c r="G343" s="5">
        <v>3178</v>
      </c>
      <c r="H343" s="5">
        <v>10</v>
      </c>
      <c r="I343" s="6">
        <v>46176</v>
      </c>
      <c r="J343" s="6">
        <v>46177</v>
      </c>
      <c r="K343" s="10" t="s">
        <v>29</v>
      </c>
      <c r="L343" s="17" t="str">
        <f t="shared" si="5"/>
        <v>Not Eligible</v>
      </c>
    </row>
    <row r="344" spans="1:12" ht="15" thickBot="1" x14ac:dyDescent="0.4">
      <c r="A344" s="5">
        <v>1338</v>
      </c>
      <c r="B344" s="5" t="s">
        <v>59</v>
      </c>
      <c r="C344" s="5" t="s">
        <v>25</v>
      </c>
      <c r="D344" s="5" t="s">
        <v>34</v>
      </c>
      <c r="E344" s="5" t="s">
        <v>60</v>
      </c>
      <c r="F344" s="5">
        <v>10</v>
      </c>
      <c r="G344" s="5">
        <v>16719</v>
      </c>
      <c r="H344" s="5">
        <v>5</v>
      </c>
      <c r="I344" s="6">
        <v>46177</v>
      </c>
      <c r="J344" s="6">
        <v>46179</v>
      </c>
      <c r="K344" s="10" t="s">
        <v>15</v>
      </c>
      <c r="L344" s="17" t="str">
        <f t="shared" si="5"/>
        <v>Not Eligible</v>
      </c>
    </row>
    <row r="345" spans="1:12" ht="15" thickBot="1" x14ac:dyDescent="0.4">
      <c r="A345" s="5">
        <v>1187</v>
      </c>
      <c r="B345" s="5" t="s">
        <v>54</v>
      </c>
      <c r="C345" s="5" t="s">
        <v>22</v>
      </c>
      <c r="D345" s="5" t="s">
        <v>34</v>
      </c>
      <c r="E345" s="5" t="s">
        <v>45</v>
      </c>
      <c r="F345" s="5">
        <v>18</v>
      </c>
      <c r="G345" s="5">
        <v>68527</v>
      </c>
      <c r="H345" s="5">
        <v>12</v>
      </c>
      <c r="I345" s="6">
        <v>46178</v>
      </c>
      <c r="J345" s="6">
        <v>46184</v>
      </c>
      <c r="K345" s="10" t="s">
        <v>51</v>
      </c>
      <c r="L345" s="17" t="str">
        <f t="shared" si="5"/>
        <v>Eligible</v>
      </c>
    </row>
    <row r="346" spans="1:12" ht="15" thickBot="1" x14ac:dyDescent="0.4">
      <c r="A346" s="5">
        <v>1297</v>
      </c>
      <c r="B346" s="5" t="s">
        <v>54</v>
      </c>
      <c r="C346" s="5" t="s">
        <v>25</v>
      </c>
      <c r="D346" s="5" t="s">
        <v>34</v>
      </c>
      <c r="E346" s="5" t="s">
        <v>35</v>
      </c>
      <c r="F346" s="5">
        <v>14</v>
      </c>
      <c r="G346" s="5">
        <v>24524</v>
      </c>
      <c r="H346" s="5">
        <v>10</v>
      </c>
      <c r="I346" s="6">
        <v>46178</v>
      </c>
      <c r="J346" s="6">
        <v>46187</v>
      </c>
      <c r="K346" s="10" t="s">
        <v>29</v>
      </c>
      <c r="L346" s="17" t="str">
        <f t="shared" si="5"/>
        <v>Eligible</v>
      </c>
    </row>
    <row r="347" spans="1:12" ht="15" thickBot="1" x14ac:dyDescent="0.4">
      <c r="A347" s="5">
        <v>1231</v>
      </c>
      <c r="B347" s="5" t="s">
        <v>48</v>
      </c>
      <c r="C347" s="5" t="s">
        <v>38</v>
      </c>
      <c r="D347" s="5" t="s">
        <v>18</v>
      </c>
      <c r="E347" s="5" t="s">
        <v>19</v>
      </c>
      <c r="F347" s="5">
        <v>13</v>
      </c>
      <c r="G347" s="5">
        <v>10297</v>
      </c>
      <c r="H347" s="5">
        <v>12</v>
      </c>
      <c r="I347" s="6">
        <v>46178</v>
      </c>
      <c r="J347" s="6">
        <v>46186</v>
      </c>
      <c r="K347" s="10" t="s">
        <v>20</v>
      </c>
      <c r="L347" s="17" t="str">
        <f t="shared" si="5"/>
        <v>Not Eligible</v>
      </c>
    </row>
    <row r="348" spans="1:12" ht="15" thickBot="1" x14ac:dyDescent="0.4">
      <c r="A348" s="5">
        <v>1118</v>
      </c>
      <c r="B348" s="5" t="s">
        <v>21</v>
      </c>
      <c r="C348" s="5" t="s">
        <v>22</v>
      </c>
      <c r="D348" s="5" t="s">
        <v>18</v>
      </c>
      <c r="E348" s="5" t="s">
        <v>23</v>
      </c>
      <c r="F348" s="5">
        <v>18</v>
      </c>
      <c r="G348" s="5">
        <v>9118</v>
      </c>
      <c r="H348" s="5">
        <v>5</v>
      </c>
      <c r="I348" s="6">
        <v>46178</v>
      </c>
      <c r="J348" s="6">
        <v>46187</v>
      </c>
      <c r="K348" s="10" t="s">
        <v>29</v>
      </c>
      <c r="L348" s="17" t="str">
        <f t="shared" si="5"/>
        <v>Not Eligible</v>
      </c>
    </row>
    <row r="349" spans="1:12" ht="15" thickBot="1" x14ac:dyDescent="0.4">
      <c r="A349" s="5">
        <v>1154</v>
      </c>
      <c r="B349" s="5" t="s">
        <v>32</v>
      </c>
      <c r="C349" s="5" t="s">
        <v>17</v>
      </c>
      <c r="D349" s="5" t="s">
        <v>18</v>
      </c>
      <c r="E349" s="5" t="s">
        <v>56</v>
      </c>
      <c r="F349" s="5">
        <v>15</v>
      </c>
      <c r="G349" s="5">
        <v>6101</v>
      </c>
      <c r="H349" s="5">
        <v>0</v>
      </c>
      <c r="I349" s="6">
        <v>46178</v>
      </c>
      <c r="J349" s="6">
        <v>46183</v>
      </c>
      <c r="K349" s="10" t="s">
        <v>51</v>
      </c>
      <c r="L349" s="17" t="str">
        <f t="shared" si="5"/>
        <v>Not Eligible</v>
      </c>
    </row>
    <row r="350" spans="1:12" ht="15" thickBot="1" x14ac:dyDescent="0.4">
      <c r="A350" s="5">
        <v>1199</v>
      </c>
      <c r="B350" s="5" t="s">
        <v>11</v>
      </c>
      <c r="C350" s="5" t="s">
        <v>25</v>
      </c>
      <c r="D350" s="5" t="s">
        <v>34</v>
      </c>
      <c r="E350" s="5" t="s">
        <v>45</v>
      </c>
      <c r="F350" s="5">
        <v>2</v>
      </c>
      <c r="G350" s="5">
        <v>4375</v>
      </c>
      <c r="H350" s="5">
        <v>7</v>
      </c>
      <c r="I350" s="6">
        <v>46178</v>
      </c>
      <c r="J350" s="6">
        <v>46180</v>
      </c>
      <c r="K350" s="10" t="s">
        <v>24</v>
      </c>
      <c r="L350" s="17" t="str">
        <f t="shared" si="5"/>
        <v>Not Eligible</v>
      </c>
    </row>
    <row r="351" spans="1:12" ht="15" thickBot="1" x14ac:dyDescent="0.4">
      <c r="A351" s="5">
        <v>1376</v>
      </c>
      <c r="B351" s="5" t="s">
        <v>52</v>
      </c>
      <c r="C351" s="5" t="s">
        <v>31</v>
      </c>
      <c r="D351" s="5" t="s">
        <v>13</v>
      </c>
      <c r="E351" s="5" t="s">
        <v>50</v>
      </c>
      <c r="F351" s="5">
        <v>20</v>
      </c>
      <c r="G351" s="5">
        <v>429</v>
      </c>
      <c r="H351" s="5">
        <v>5</v>
      </c>
      <c r="I351" s="6">
        <v>46178</v>
      </c>
      <c r="J351" s="6">
        <v>46184</v>
      </c>
      <c r="K351" s="10" t="s">
        <v>20</v>
      </c>
      <c r="L351" s="17" t="str">
        <f t="shared" si="5"/>
        <v>Not Eligible</v>
      </c>
    </row>
    <row r="352" spans="1:12" ht="15" thickBot="1" x14ac:dyDescent="0.4">
      <c r="A352" s="5">
        <v>1274</v>
      </c>
      <c r="B352" s="5" t="s">
        <v>26</v>
      </c>
      <c r="C352" s="5" t="s">
        <v>25</v>
      </c>
      <c r="D352" s="5" t="s">
        <v>34</v>
      </c>
      <c r="E352" s="5" t="s">
        <v>41</v>
      </c>
      <c r="F352" s="5">
        <v>13</v>
      </c>
      <c r="G352" s="5">
        <v>36652</v>
      </c>
      <c r="H352" s="5">
        <v>12</v>
      </c>
      <c r="I352" s="6">
        <v>46179</v>
      </c>
      <c r="J352" s="6">
        <v>46186</v>
      </c>
      <c r="K352" s="10" t="s">
        <v>20</v>
      </c>
      <c r="L352" s="17" t="str">
        <f t="shared" si="5"/>
        <v>Eligible</v>
      </c>
    </row>
    <row r="353" spans="1:12" ht="15" thickBot="1" x14ac:dyDescent="0.4">
      <c r="A353" s="5">
        <v>1288</v>
      </c>
      <c r="B353" s="5" t="s">
        <v>54</v>
      </c>
      <c r="C353" s="5" t="s">
        <v>22</v>
      </c>
      <c r="D353" s="5" t="s">
        <v>34</v>
      </c>
      <c r="E353" s="5" t="s">
        <v>60</v>
      </c>
      <c r="F353" s="5">
        <v>14</v>
      </c>
      <c r="G353" s="5">
        <v>35601</v>
      </c>
      <c r="H353" s="5">
        <v>10</v>
      </c>
      <c r="I353" s="6">
        <v>46179</v>
      </c>
      <c r="J353" s="6">
        <v>46187</v>
      </c>
      <c r="K353" s="10" t="s">
        <v>29</v>
      </c>
      <c r="L353" s="17" t="str">
        <f t="shared" si="5"/>
        <v>Eligible</v>
      </c>
    </row>
    <row r="354" spans="1:12" ht="15" thickBot="1" x14ac:dyDescent="0.4">
      <c r="A354" s="5">
        <v>1278</v>
      </c>
      <c r="B354" s="5" t="s">
        <v>47</v>
      </c>
      <c r="C354" s="5" t="s">
        <v>22</v>
      </c>
      <c r="D354" s="5" t="s">
        <v>34</v>
      </c>
      <c r="E354" s="5" t="s">
        <v>61</v>
      </c>
      <c r="F354" s="5">
        <v>4</v>
      </c>
      <c r="G354" s="5">
        <v>20639</v>
      </c>
      <c r="H354" s="5">
        <v>7</v>
      </c>
      <c r="I354" s="6">
        <v>46180</v>
      </c>
      <c r="J354" s="6">
        <v>46186</v>
      </c>
      <c r="K354" s="10" t="s">
        <v>20</v>
      </c>
      <c r="L354" s="17" t="str">
        <f t="shared" si="5"/>
        <v>Not Eligible</v>
      </c>
    </row>
    <row r="355" spans="1:12" ht="15" thickBot="1" x14ac:dyDescent="0.4">
      <c r="A355" s="5">
        <v>1048</v>
      </c>
      <c r="B355" s="5" t="s">
        <v>59</v>
      </c>
      <c r="C355" s="5" t="s">
        <v>25</v>
      </c>
      <c r="D355" s="5" t="s">
        <v>34</v>
      </c>
      <c r="E355" s="5" t="s">
        <v>60</v>
      </c>
      <c r="F355" s="5">
        <v>14</v>
      </c>
      <c r="G355" s="5">
        <v>11762</v>
      </c>
      <c r="H355" s="5">
        <v>7</v>
      </c>
      <c r="I355" s="6">
        <v>46180</v>
      </c>
      <c r="J355" s="6">
        <v>46186</v>
      </c>
      <c r="K355" s="10" t="s">
        <v>24</v>
      </c>
      <c r="L355" s="17" t="str">
        <f t="shared" si="5"/>
        <v>Not Eligible</v>
      </c>
    </row>
    <row r="356" spans="1:12" ht="15" thickBot="1" x14ac:dyDescent="0.4">
      <c r="A356" s="5">
        <v>1294</v>
      </c>
      <c r="B356" s="5" t="s">
        <v>21</v>
      </c>
      <c r="C356" s="5" t="s">
        <v>12</v>
      </c>
      <c r="D356" s="5" t="s">
        <v>18</v>
      </c>
      <c r="E356" s="5" t="s">
        <v>19</v>
      </c>
      <c r="F356" s="5">
        <v>8</v>
      </c>
      <c r="G356" s="5">
        <v>14448</v>
      </c>
      <c r="H356" s="5">
        <v>10</v>
      </c>
      <c r="I356" s="6">
        <v>46181</v>
      </c>
      <c r="J356" s="6">
        <v>46189</v>
      </c>
      <c r="K356" s="10" t="s">
        <v>15</v>
      </c>
      <c r="L356" s="17" t="str">
        <f t="shared" si="5"/>
        <v>Not Eligible</v>
      </c>
    </row>
    <row r="357" spans="1:12" ht="15" thickBot="1" x14ac:dyDescent="0.4">
      <c r="A357" s="5">
        <v>1310</v>
      </c>
      <c r="B357" s="5" t="s">
        <v>49</v>
      </c>
      <c r="C357" s="5" t="s">
        <v>17</v>
      </c>
      <c r="D357" s="5" t="s">
        <v>18</v>
      </c>
      <c r="E357" s="5" t="s">
        <v>56</v>
      </c>
      <c r="F357" s="5">
        <v>19</v>
      </c>
      <c r="G357" s="5">
        <v>12691</v>
      </c>
      <c r="H357" s="5">
        <v>0</v>
      </c>
      <c r="I357" s="6">
        <v>46181</v>
      </c>
      <c r="J357" s="6">
        <v>46189</v>
      </c>
      <c r="K357" s="10" t="s">
        <v>29</v>
      </c>
      <c r="L357" s="17" t="str">
        <f t="shared" si="5"/>
        <v>Not Eligible</v>
      </c>
    </row>
    <row r="358" spans="1:12" ht="15" thickBot="1" x14ac:dyDescent="0.4">
      <c r="A358" s="5">
        <v>1124</v>
      </c>
      <c r="B358" s="5" t="s">
        <v>27</v>
      </c>
      <c r="C358" s="5" t="s">
        <v>38</v>
      </c>
      <c r="D358" s="5" t="s">
        <v>18</v>
      </c>
      <c r="E358" s="5" t="s">
        <v>56</v>
      </c>
      <c r="F358" s="5">
        <v>4</v>
      </c>
      <c r="G358" s="5">
        <v>14195</v>
      </c>
      <c r="H358" s="5">
        <v>15</v>
      </c>
      <c r="I358" s="6">
        <v>46182</v>
      </c>
      <c r="J358" s="6">
        <v>46189</v>
      </c>
      <c r="K358" s="10" t="s">
        <v>51</v>
      </c>
      <c r="L358" s="17" t="str">
        <f t="shared" si="5"/>
        <v>Not Eligible</v>
      </c>
    </row>
    <row r="359" spans="1:12" ht="15" thickBot="1" x14ac:dyDescent="0.4">
      <c r="A359" s="5">
        <v>1009</v>
      </c>
      <c r="B359" s="5" t="s">
        <v>32</v>
      </c>
      <c r="C359" s="5" t="s">
        <v>33</v>
      </c>
      <c r="D359" s="5" t="s">
        <v>34</v>
      </c>
      <c r="E359" s="5" t="s">
        <v>35</v>
      </c>
      <c r="F359" s="5">
        <v>10</v>
      </c>
      <c r="G359" s="5">
        <v>40671</v>
      </c>
      <c r="H359" s="5">
        <v>12</v>
      </c>
      <c r="I359" s="6">
        <v>46183</v>
      </c>
      <c r="J359" s="6">
        <v>46193</v>
      </c>
      <c r="K359" s="10" t="s">
        <v>24</v>
      </c>
      <c r="L359" s="17" t="str">
        <f t="shared" si="5"/>
        <v>Eligible</v>
      </c>
    </row>
    <row r="360" spans="1:12" ht="15" thickBot="1" x14ac:dyDescent="0.4">
      <c r="A360" s="5">
        <v>1003</v>
      </c>
      <c r="B360" s="5" t="s">
        <v>21</v>
      </c>
      <c r="C360" s="5" t="s">
        <v>22</v>
      </c>
      <c r="D360" s="5" t="s">
        <v>18</v>
      </c>
      <c r="E360" s="5" t="s">
        <v>23</v>
      </c>
      <c r="F360" s="5">
        <v>20</v>
      </c>
      <c r="G360" s="5">
        <v>2123</v>
      </c>
      <c r="H360" s="5">
        <v>15</v>
      </c>
      <c r="I360" s="6">
        <v>46183</v>
      </c>
      <c r="J360" s="6">
        <v>46192</v>
      </c>
      <c r="K360" s="10" t="s">
        <v>24</v>
      </c>
      <c r="L360" s="17" t="str">
        <f t="shared" si="5"/>
        <v>Not Eligible</v>
      </c>
    </row>
    <row r="361" spans="1:12" ht="15" thickBot="1" x14ac:dyDescent="0.4">
      <c r="A361" s="5">
        <v>1320</v>
      </c>
      <c r="B361" s="5" t="s">
        <v>47</v>
      </c>
      <c r="C361" s="5" t="s">
        <v>38</v>
      </c>
      <c r="D361" s="5" t="s">
        <v>13</v>
      </c>
      <c r="E361" s="5" t="s">
        <v>36</v>
      </c>
      <c r="F361" s="5">
        <v>20</v>
      </c>
      <c r="G361" s="5">
        <v>55</v>
      </c>
      <c r="H361" s="5">
        <v>7</v>
      </c>
      <c r="I361" s="6">
        <v>46183</v>
      </c>
      <c r="J361" s="6">
        <v>46186</v>
      </c>
      <c r="K361" s="10" t="s">
        <v>20</v>
      </c>
      <c r="L361" s="17" t="str">
        <f t="shared" si="5"/>
        <v>Not Eligible</v>
      </c>
    </row>
    <row r="362" spans="1:12" ht="15" thickBot="1" x14ac:dyDescent="0.4">
      <c r="A362" s="5">
        <v>1159</v>
      </c>
      <c r="B362" s="5" t="s">
        <v>32</v>
      </c>
      <c r="C362" s="5" t="s">
        <v>43</v>
      </c>
      <c r="D362" s="5" t="s">
        <v>18</v>
      </c>
      <c r="E362" s="5" t="s">
        <v>28</v>
      </c>
      <c r="F362" s="5">
        <v>20</v>
      </c>
      <c r="G362" s="5">
        <v>14000</v>
      </c>
      <c r="H362" s="5">
        <v>15</v>
      </c>
      <c r="I362" s="6">
        <v>46184</v>
      </c>
      <c r="J362" s="6">
        <v>46187</v>
      </c>
      <c r="K362" s="10" t="s">
        <v>15</v>
      </c>
      <c r="L362" s="17" t="str">
        <f t="shared" si="5"/>
        <v>Not Eligible</v>
      </c>
    </row>
    <row r="363" spans="1:12" ht="15" thickBot="1" x14ac:dyDescent="0.4">
      <c r="A363" s="5">
        <v>1189</v>
      </c>
      <c r="B363" s="5" t="s">
        <v>49</v>
      </c>
      <c r="C363" s="5" t="s">
        <v>31</v>
      </c>
      <c r="D363" s="5" t="s">
        <v>18</v>
      </c>
      <c r="E363" s="5" t="s">
        <v>56</v>
      </c>
      <c r="F363" s="5">
        <v>12</v>
      </c>
      <c r="G363" s="5">
        <v>8327</v>
      </c>
      <c r="H363" s="5">
        <v>10</v>
      </c>
      <c r="I363" s="6">
        <v>46184</v>
      </c>
      <c r="J363" s="6">
        <v>46185</v>
      </c>
      <c r="K363" s="10" t="s">
        <v>29</v>
      </c>
      <c r="L363" s="17" t="str">
        <f t="shared" si="5"/>
        <v>Not Eligible</v>
      </c>
    </row>
    <row r="364" spans="1:12" ht="15" thickBot="1" x14ac:dyDescent="0.4">
      <c r="A364" s="5">
        <v>1119</v>
      </c>
      <c r="B364" s="5" t="s">
        <v>30</v>
      </c>
      <c r="C364" s="5" t="s">
        <v>43</v>
      </c>
      <c r="D364" s="5" t="s">
        <v>18</v>
      </c>
      <c r="E364" s="5" t="s">
        <v>28</v>
      </c>
      <c r="F364" s="5">
        <v>2</v>
      </c>
      <c r="G364" s="5">
        <v>3706</v>
      </c>
      <c r="H364" s="5">
        <v>5</v>
      </c>
      <c r="I364" s="6">
        <v>46184</v>
      </c>
      <c r="J364" s="6">
        <v>46192</v>
      </c>
      <c r="K364" s="10" t="s">
        <v>51</v>
      </c>
      <c r="L364" s="17" t="str">
        <f t="shared" si="5"/>
        <v>Not Eligible</v>
      </c>
    </row>
    <row r="365" spans="1:12" ht="15" thickBot="1" x14ac:dyDescent="0.4">
      <c r="A365" s="5">
        <v>1370</v>
      </c>
      <c r="B365" s="5" t="s">
        <v>59</v>
      </c>
      <c r="C365" s="5" t="s">
        <v>38</v>
      </c>
      <c r="D365" s="5" t="s">
        <v>13</v>
      </c>
      <c r="E365" s="5" t="s">
        <v>53</v>
      </c>
      <c r="F365" s="5">
        <v>13</v>
      </c>
      <c r="G365" s="5">
        <v>337</v>
      </c>
      <c r="H365" s="5">
        <v>7</v>
      </c>
      <c r="I365" s="6">
        <v>46184</v>
      </c>
      <c r="J365" s="6">
        <v>46188</v>
      </c>
      <c r="K365" s="10" t="s">
        <v>15</v>
      </c>
      <c r="L365" s="17" t="str">
        <f t="shared" si="5"/>
        <v>Not Eligible</v>
      </c>
    </row>
    <row r="366" spans="1:12" ht="15" thickBot="1" x14ac:dyDescent="0.4">
      <c r="A366" s="5">
        <v>1137</v>
      </c>
      <c r="B366" s="5" t="s">
        <v>52</v>
      </c>
      <c r="C366" s="5" t="s">
        <v>12</v>
      </c>
      <c r="D366" s="5" t="s">
        <v>13</v>
      </c>
      <c r="E366" s="5" t="s">
        <v>37</v>
      </c>
      <c r="F366" s="5">
        <v>16</v>
      </c>
      <c r="G366" s="5">
        <v>270</v>
      </c>
      <c r="H366" s="5">
        <v>10</v>
      </c>
      <c r="I366" s="6">
        <v>46184</v>
      </c>
      <c r="J366" s="6">
        <v>46190</v>
      </c>
      <c r="K366" s="10" t="s">
        <v>29</v>
      </c>
      <c r="L366" s="17" t="str">
        <f t="shared" si="5"/>
        <v>Not Eligible</v>
      </c>
    </row>
    <row r="367" spans="1:12" ht="15" thickBot="1" x14ac:dyDescent="0.4">
      <c r="A367" s="5">
        <v>1075</v>
      </c>
      <c r="B367" s="5" t="s">
        <v>42</v>
      </c>
      <c r="C367" s="5" t="s">
        <v>43</v>
      </c>
      <c r="D367" s="5" t="s">
        <v>34</v>
      </c>
      <c r="E367" s="5" t="s">
        <v>61</v>
      </c>
      <c r="F367" s="5">
        <v>4</v>
      </c>
      <c r="G367" s="5">
        <v>64773</v>
      </c>
      <c r="H367" s="5">
        <v>10</v>
      </c>
      <c r="I367" s="6">
        <v>46185</v>
      </c>
      <c r="J367" s="6">
        <v>46186</v>
      </c>
      <c r="K367" s="10" t="s">
        <v>51</v>
      </c>
      <c r="L367" s="17" t="str">
        <f t="shared" si="5"/>
        <v>Eligible</v>
      </c>
    </row>
    <row r="368" spans="1:12" ht="15" thickBot="1" x14ac:dyDescent="0.4">
      <c r="A368" s="5">
        <v>1350</v>
      </c>
      <c r="B368" s="5" t="s">
        <v>26</v>
      </c>
      <c r="C368" s="5" t="s">
        <v>43</v>
      </c>
      <c r="D368" s="5" t="s">
        <v>18</v>
      </c>
      <c r="E368" s="5" t="s">
        <v>28</v>
      </c>
      <c r="F368" s="5">
        <v>16</v>
      </c>
      <c r="G368" s="5">
        <v>11790</v>
      </c>
      <c r="H368" s="5">
        <v>12</v>
      </c>
      <c r="I368" s="6">
        <v>46185</v>
      </c>
      <c r="J368" s="6">
        <v>46190</v>
      </c>
      <c r="K368" s="10" t="s">
        <v>29</v>
      </c>
      <c r="L368" s="17" t="str">
        <f t="shared" si="5"/>
        <v>Not Eligible</v>
      </c>
    </row>
    <row r="369" spans="1:12" ht="15" thickBot="1" x14ac:dyDescent="0.4">
      <c r="A369" s="5">
        <v>1083</v>
      </c>
      <c r="B369" s="5" t="s">
        <v>55</v>
      </c>
      <c r="C369" s="5" t="s">
        <v>33</v>
      </c>
      <c r="D369" s="5" t="s">
        <v>13</v>
      </c>
      <c r="E369" s="5" t="s">
        <v>53</v>
      </c>
      <c r="F369" s="5">
        <v>4</v>
      </c>
      <c r="G369" s="5">
        <v>397</v>
      </c>
      <c r="H369" s="5">
        <v>7</v>
      </c>
      <c r="I369" s="6">
        <v>46185</v>
      </c>
      <c r="J369" s="6">
        <v>46193</v>
      </c>
      <c r="K369" s="10" t="s">
        <v>15</v>
      </c>
      <c r="L369" s="17" t="str">
        <f t="shared" si="5"/>
        <v>Not Eligible</v>
      </c>
    </row>
    <row r="370" spans="1:12" ht="15" thickBot="1" x14ac:dyDescent="0.4">
      <c r="A370" s="5">
        <v>1064</v>
      </c>
      <c r="B370" s="5" t="s">
        <v>26</v>
      </c>
      <c r="C370" s="5" t="s">
        <v>17</v>
      </c>
      <c r="D370" s="5" t="s">
        <v>13</v>
      </c>
      <c r="E370" s="5" t="s">
        <v>50</v>
      </c>
      <c r="F370" s="5">
        <v>20</v>
      </c>
      <c r="G370" s="5">
        <v>191</v>
      </c>
      <c r="H370" s="5">
        <v>7</v>
      </c>
      <c r="I370" s="6">
        <v>46185</v>
      </c>
      <c r="J370" s="6">
        <v>46195</v>
      </c>
      <c r="K370" s="10" t="s">
        <v>29</v>
      </c>
      <c r="L370" s="17" t="str">
        <f t="shared" si="5"/>
        <v>Not Eligible</v>
      </c>
    </row>
    <row r="371" spans="1:12" ht="15" thickBot="1" x14ac:dyDescent="0.4">
      <c r="A371" s="5">
        <v>1041</v>
      </c>
      <c r="B371" s="5" t="s">
        <v>54</v>
      </c>
      <c r="C371" s="5" t="s">
        <v>38</v>
      </c>
      <c r="D371" s="5" t="s">
        <v>13</v>
      </c>
      <c r="E371" s="5" t="s">
        <v>50</v>
      </c>
      <c r="F371" s="5">
        <v>9</v>
      </c>
      <c r="G371" s="5">
        <v>71</v>
      </c>
      <c r="H371" s="5">
        <v>7</v>
      </c>
      <c r="I371" s="6">
        <v>46185</v>
      </c>
      <c r="J371" s="6">
        <v>46188</v>
      </c>
      <c r="K371" s="10" t="s">
        <v>15</v>
      </c>
      <c r="L371" s="17" t="str">
        <f t="shared" si="5"/>
        <v>Not Eligible</v>
      </c>
    </row>
    <row r="372" spans="1:12" ht="15" thickBot="1" x14ac:dyDescent="0.4">
      <c r="A372" s="5">
        <v>1315</v>
      </c>
      <c r="B372" s="5" t="s">
        <v>49</v>
      </c>
      <c r="C372" s="5" t="s">
        <v>31</v>
      </c>
      <c r="D372" s="5" t="s">
        <v>34</v>
      </c>
      <c r="E372" s="5" t="s">
        <v>41</v>
      </c>
      <c r="F372" s="5">
        <v>14</v>
      </c>
      <c r="G372" s="5">
        <v>57670</v>
      </c>
      <c r="H372" s="5">
        <v>2</v>
      </c>
      <c r="I372" s="6">
        <v>46186</v>
      </c>
      <c r="J372" s="6">
        <v>46196</v>
      </c>
      <c r="K372" s="10" t="s">
        <v>15</v>
      </c>
      <c r="L372" s="17" t="str">
        <f t="shared" si="5"/>
        <v>Not Eligible</v>
      </c>
    </row>
    <row r="373" spans="1:12" ht="15" thickBot="1" x14ac:dyDescent="0.4">
      <c r="A373" s="5">
        <v>1292</v>
      </c>
      <c r="B373" s="5" t="s">
        <v>54</v>
      </c>
      <c r="C373" s="5" t="s">
        <v>33</v>
      </c>
      <c r="D373" s="5" t="s">
        <v>34</v>
      </c>
      <c r="E373" s="5" t="s">
        <v>61</v>
      </c>
      <c r="F373" s="5">
        <v>11</v>
      </c>
      <c r="G373" s="5">
        <v>25158</v>
      </c>
      <c r="H373" s="5">
        <v>5</v>
      </c>
      <c r="I373" s="6">
        <v>46186</v>
      </c>
      <c r="J373" s="6">
        <v>46193</v>
      </c>
      <c r="K373" s="10" t="s">
        <v>20</v>
      </c>
      <c r="L373" s="17" t="str">
        <f t="shared" si="5"/>
        <v>Not Eligible</v>
      </c>
    </row>
    <row r="374" spans="1:12" ht="15" thickBot="1" x14ac:dyDescent="0.4">
      <c r="A374" s="5">
        <v>1186</v>
      </c>
      <c r="B374" s="5" t="s">
        <v>16</v>
      </c>
      <c r="C374" s="5" t="s">
        <v>25</v>
      </c>
      <c r="D374" s="5" t="s">
        <v>18</v>
      </c>
      <c r="E374" s="5" t="s">
        <v>44</v>
      </c>
      <c r="F374" s="5">
        <v>10</v>
      </c>
      <c r="G374" s="5">
        <v>14951</v>
      </c>
      <c r="H374" s="5">
        <v>2</v>
      </c>
      <c r="I374" s="6">
        <v>46188</v>
      </c>
      <c r="J374" s="6">
        <v>46196</v>
      </c>
      <c r="K374" s="10" t="s">
        <v>24</v>
      </c>
      <c r="L374" s="17" t="str">
        <f t="shared" si="5"/>
        <v>Not Eligible</v>
      </c>
    </row>
    <row r="375" spans="1:12" ht="15" thickBot="1" x14ac:dyDescent="0.4">
      <c r="A375" s="5">
        <v>1146</v>
      </c>
      <c r="B375" s="5" t="s">
        <v>16</v>
      </c>
      <c r="C375" s="5" t="s">
        <v>43</v>
      </c>
      <c r="D375" s="5" t="s">
        <v>34</v>
      </c>
      <c r="E375" s="5" t="s">
        <v>45</v>
      </c>
      <c r="F375" s="5">
        <v>7</v>
      </c>
      <c r="G375" s="5">
        <v>68217</v>
      </c>
      <c r="H375" s="5">
        <v>0</v>
      </c>
      <c r="I375" s="6">
        <v>46190</v>
      </c>
      <c r="J375" s="6">
        <v>46197</v>
      </c>
      <c r="K375" s="10" t="s">
        <v>29</v>
      </c>
      <c r="L375" s="17" t="str">
        <f t="shared" si="5"/>
        <v>Not Eligible</v>
      </c>
    </row>
    <row r="376" spans="1:12" ht="15" thickBot="1" x14ac:dyDescent="0.4">
      <c r="A376" s="5">
        <v>1331</v>
      </c>
      <c r="B376" s="5" t="s">
        <v>21</v>
      </c>
      <c r="C376" s="5" t="s">
        <v>25</v>
      </c>
      <c r="D376" s="5" t="s">
        <v>34</v>
      </c>
      <c r="E376" s="5" t="s">
        <v>61</v>
      </c>
      <c r="F376" s="5">
        <v>2</v>
      </c>
      <c r="G376" s="5">
        <v>43557</v>
      </c>
      <c r="H376" s="5">
        <v>2</v>
      </c>
      <c r="I376" s="6">
        <v>46190</v>
      </c>
      <c r="J376" s="6">
        <v>46200</v>
      </c>
      <c r="K376" s="10" t="s">
        <v>15</v>
      </c>
      <c r="L376" s="17" t="str">
        <f t="shared" si="5"/>
        <v>Not Eligible</v>
      </c>
    </row>
    <row r="377" spans="1:12" ht="15" thickBot="1" x14ac:dyDescent="0.4">
      <c r="A377" s="5">
        <v>1062</v>
      </c>
      <c r="B377" s="5" t="s">
        <v>40</v>
      </c>
      <c r="C377" s="5" t="s">
        <v>43</v>
      </c>
      <c r="D377" s="5" t="s">
        <v>18</v>
      </c>
      <c r="E377" s="5" t="s">
        <v>23</v>
      </c>
      <c r="F377" s="5">
        <v>8</v>
      </c>
      <c r="G377" s="5">
        <v>8360</v>
      </c>
      <c r="H377" s="5">
        <v>2</v>
      </c>
      <c r="I377" s="6">
        <v>46190</v>
      </c>
      <c r="J377" s="6">
        <v>46200</v>
      </c>
      <c r="K377" s="10" t="s">
        <v>51</v>
      </c>
      <c r="L377" s="17" t="str">
        <f t="shared" si="5"/>
        <v>Not Eligible</v>
      </c>
    </row>
    <row r="378" spans="1:12" ht="15" thickBot="1" x14ac:dyDescent="0.4">
      <c r="A378" s="5">
        <v>1373</v>
      </c>
      <c r="B378" s="5" t="s">
        <v>54</v>
      </c>
      <c r="C378" s="5" t="s">
        <v>25</v>
      </c>
      <c r="D378" s="5" t="s">
        <v>34</v>
      </c>
      <c r="E378" s="5" t="s">
        <v>60</v>
      </c>
      <c r="F378" s="5">
        <v>11</v>
      </c>
      <c r="G378" s="5">
        <v>47930</v>
      </c>
      <c r="H378" s="5">
        <v>12</v>
      </c>
      <c r="I378" s="6">
        <v>46191</v>
      </c>
      <c r="J378" s="6">
        <v>46201</v>
      </c>
      <c r="K378" s="10" t="s">
        <v>20</v>
      </c>
      <c r="L378" s="17" t="str">
        <f t="shared" si="5"/>
        <v>Eligible</v>
      </c>
    </row>
    <row r="379" spans="1:12" ht="15" thickBot="1" x14ac:dyDescent="0.4">
      <c r="A379" s="5">
        <v>1306</v>
      </c>
      <c r="B379" s="5" t="s">
        <v>54</v>
      </c>
      <c r="C379" s="5" t="s">
        <v>43</v>
      </c>
      <c r="D379" s="5" t="s">
        <v>13</v>
      </c>
      <c r="E379" s="5" t="s">
        <v>36</v>
      </c>
      <c r="F379" s="5">
        <v>1</v>
      </c>
      <c r="G379" s="5">
        <v>332</v>
      </c>
      <c r="H379" s="5">
        <v>0</v>
      </c>
      <c r="I379" s="6">
        <v>46191</v>
      </c>
      <c r="J379" s="6">
        <v>46194</v>
      </c>
      <c r="K379" s="10" t="s">
        <v>20</v>
      </c>
      <c r="L379" s="17" t="str">
        <f t="shared" si="5"/>
        <v>Not Eligible</v>
      </c>
    </row>
    <row r="380" spans="1:12" ht="15" thickBot="1" x14ac:dyDescent="0.4">
      <c r="A380" s="5">
        <v>1242</v>
      </c>
      <c r="B380" s="5" t="s">
        <v>54</v>
      </c>
      <c r="C380" s="5" t="s">
        <v>38</v>
      </c>
      <c r="D380" s="5" t="s">
        <v>13</v>
      </c>
      <c r="E380" s="5" t="s">
        <v>50</v>
      </c>
      <c r="F380" s="5">
        <v>7</v>
      </c>
      <c r="G380" s="5">
        <v>168</v>
      </c>
      <c r="H380" s="5">
        <v>10</v>
      </c>
      <c r="I380" s="6">
        <v>46191</v>
      </c>
      <c r="J380" s="6">
        <v>46196</v>
      </c>
      <c r="K380" s="10" t="s">
        <v>51</v>
      </c>
      <c r="L380" s="17" t="str">
        <f t="shared" si="5"/>
        <v>Not Eligible</v>
      </c>
    </row>
    <row r="381" spans="1:12" ht="15" thickBot="1" x14ac:dyDescent="0.4">
      <c r="A381" s="5">
        <v>1065</v>
      </c>
      <c r="B381" s="5" t="s">
        <v>42</v>
      </c>
      <c r="C381" s="5" t="s">
        <v>43</v>
      </c>
      <c r="D381" s="5" t="s">
        <v>18</v>
      </c>
      <c r="E381" s="5" t="s">
        <v>44</v>
      </c>
      <c r="F381" s="5">
        <v>1</v>
      </c>
      <c r="G381" s="5">
        <v>7730</v>
      </c>
      <c r="H381" s="5">
        <v>5</v>
      </c>
      <c r="I381" s="6">
        <v>46192</v>
      </c>
      <c r="J381" s="6">
        <v>46195</v>
      </c>
      <c r="K381" s="10" t="s">
        <v>51</v>
      </c>
      <c r="L381" s="17" t="str">
        <f t="shared" si="5"/>
        <v>Not Eligible</v>
      </c>
    </row>
    <row r="382" spans="1:12" ht="15" thickBot="1" x14ac:dyDescent="0.4">
      <c r="A382" s="5">
        <v>1023</v>
      </c>
      <c r="B382" s="5" t="s">
        <v>40</v>
      </c>
      <c r="C382" s="5" t="s">
        <v>12</v>
      </c>
      <c r="D382" s="5" t="s">
        <v>18</v>
      </c>
      <c r="E382" s="5" t="s">
        <v>44</v>
      </c>
      <c r="F382" s="5">
        <v>15</v>
      </c>
      <c r="G382" s="5">
        <v>3506</v>
      </c>
      <c r="H382" s="5">
        <v>2</v>
      </c>
      <c r="I382" s="6">
        <v>46193</v>
      </c>
      <c r="J382" s="6">
        <v>46194</v>
      </c>
      <c r="K382" s="10" t="s">
        <v>29</v>
      </c>
      <c r="L382" s="17" t="str">
        <f t="shared" si="5"/>
        <v>Not Eligible</v>
      </c>
    </row>
    <row r="383" spans="1:12" ht="15" thickBot="1" x14ac:dyDescent="0.4">
      <c r="A383" s="5">
        <v>1212</v>
      </c>
      <c r="B383" s="5" t="s">
        <v>59</v>
      </c>
      <c r="C383" s="5" t="s">
        <v>25</v>
      </c>
      <c r="D383" s="5" t="s">
        <v>34</v>
      </c>
      <c r="E383" s="5" t="s">
        <v>60</v>
      </c>
      <c r="F383" s="5">
        <v>10</v>
      </c>
      <c r="G383" s="5">
        <v>34380</v>
      </c>
      <c r="H383" s="5">
        <v>7</v>
      </c>
      <c r="I383" s="6">
        <v>46194</v>
      </c>
      <c r="J383" s="6">
        <v>46195</v>
      </c>
      <c r="K383" s="10" t="s">
        <v>29</v>
      </c>
      <c r="L383" s="17" t="str">
        <f t="shared" si="5"/>
        <v>Not Eligible</v>
      </c>
    </row>
    <row r="384" spans="1:12" ht="15" thickBot="1" x14ac:dyDescent="0.4">
      <c r="A384" s="5">
        <v>1397</v>
      </c>
      <c r="B384" s="5" t="s">
        <v>21</v>
      </c>
      <c r="C384" s="5" t="s">
        <v>33</v>
      </c>
      <c r="D384" s="5" t="s">
        <v>18</v>
      </c>
      <c r="E384" s="5" t="s">
        <v>23</v>
      </c>
      <c r="F384" s="5">
        <v>1</v>
      </c>
      <c r="G384" s="5">
        <v>8948</v>
      </c>
      <c r="H384" s="5">
        <v>5</v>
      </c>
      <c r="I384" s="6">
        <v>46194</v>
      </c>
      <c r="J384" s="6">
        <v>46201</v>
      </c>
      <c r="K384" s="10" t="s">
        <v>51</v>
      </c>
      <c r="L384" s="17" t="str">
        <f t="shared" si="5"/>
        <v>Not Eligible</v>
      </c>
    </row>
    <row r="385" spans="1:12" ht="15" thickBot="1" x14ac:dyDescent="0.4">
      <c r="A385" s="5">
        <v>1353</v>
      </c>
      <c r="B385" s="5" t="s">
        <v>47</v>
      </c>
      <c r="C385" s="5" t="s">
        <v>43</v>
      </c>
      <c r="D385" s="5" t="s">
        <v>13</v>
      </c>
      <c r="E385" s="5" t="s">
        <v>14</v>
      </c>
      <c r="F385" s="5">
        <v>6</v>
      </c>
      <c r="G385" s="5">
        <v>495</v>
      </c>
      <c r="H385" s="5">
        <v>2</v>
      </c>
      <c r="I385" s="6">
        <v>46194</v>
      </c>
      <c r="J385" s="6">
        <v>46200</v>
      </c>
      <c r="K385" s="10" t="s">
        <v>24</v>
      </c>
      <c r="L385" s="17" t="str">
        <f t="shared" si="5"/>
        <v>Not Eligible</v>
      </c>
    </row>
    <row r="386" spans="1:12" ht="15" thickBot="1" x14ac:dyDescent="0.4">
      <c r="A386" s="5">
        <v>1164</v>
      </c>
      <c r="B386" s="5" t="s">
        <v>40</v>
      </c>
      <c r="C386" s="5" t="s">
        <v>43</v>
      </c>
      <c r="D386" s="5" t="s">
        <v>34</v>
      </c>
      <c r="E386" s="5" t="s">
        <v>61</v>
      </c>
      <c r="F386" s="5">
        <v>7</v>
      </c>
      <c r="G386" s="5">
        <v>24615</v>
      </c>
      <c r="H386" s="5">
        <v>12</v>
      </c>
      <c r="I386" s="6">
        <v>46196</v>
      </c>
      <c r="J386" s="6">
        <v>46203</v>
      </c>
      <c r="K386" s="10" t="s">
        <v>51</v>
      </c>
      <c r="L386" s="17" t="str">
        <f t="shared" si="5"/>
        <v>Eligible</v>
      </c>
    </row>
    <row r="387" spans="1:12" ht="15" thickBot="1" x14ac:dyDescent="0.4">
      <c r="A387" s="5">
        <v>1068</v>
      </c>
      <c r="B387" s="5" t="s">
        <v>52</v>
      </c>
      <c r="C387" s="5" t="s">
        <v>43</v>
      </c>
      <c r="D387" s="5" t="s">
        <v>34</v>
      </c>
      <c r="E387" s="5" t="s">
        <v>60</v>
      </c>
      <c r="F387" s="5">
        <v>15</v>
      </c>
      <c r="G387" s="5">
        <v>14534</v>
      </c>
      <c r="H387" s="5">
        <v>5</v>
      </c>
      <c r="I387" s="6">
        <v>46196</v>
      </c>
      <c r="J387" s="6">
        <v>46199</v>
      </c>
      <c r="K387" s="10" t="s">
        <v>29</v>
      </c>
      <c r="L387" s="17" t="str">
        <f t="shared" ref="L387:L401" si="6">IF(AND(D387="Electronics",H387&gt;=10),"Eligible","Not Eligible")</f>
        <v>Not Eligible</v>
      </c>
    </row>
    <row r="388" spans="1:12" ht="15" thickBot="1" x14ac:dyDescent="0.4">
      <c r="A388" s="5">
        <v>1314</v>
      </c>
      <c r="B388" s="5" t="s">
        <v>52</v>
      </c>
      <c r="C388" s="5" t="s">
        <v>33</v>
      </c>
      <c r="D388" s="5" t="s">
        <v>18</v>
      </c>
      <c r="E388" s="5" t="s">
        <v>19</v>
      </c>
      <c r="F388" s="5">
        <v>10</v>
      </c>
      <c r="G388" s="5">
        <v>6328</v>
      </c>
      <c r="H388" s="5">
        <v>2</v>
      </c>
      <c r="I388" s="6">
        <v>46196</v>
      </c>
      <c r="J388" s="6">
        <v>46197</v>
      </c>
      <c r="K388" s="10" t="s">
        <v>29</v>
      </c>
      <c r="L388" s="17" t="str">
        <f t="shared" si="6"/>
        <v>Not Eligible</v>
      </c>
    </row>
    <row r="389" spans="1:12" ht="15" thickBot="1" x14ac:dyDescent="0.4">
      <c r="A389" s="5">
        <v>1340</v>
      </c>
      <c r="B389" s="5" t="s">
        <v>48</v>
      </c>
      <c r="C389" s="5" t="s">
        <v>17</v>
      </c>
      <c r="D389" s="5" t="s">
        <v>18</v>
      </c>
      <c r="E389" s="5" t="s">
        <v>19</v>
      </c>
      <c r="F389" s="5">
        <v>12</v>
      </c>
      <c r="G389" s="5">
        <v>3857</v>
      </c>
      <c r="H389" s="5">
        <v>12</v>
      </c>
      <c r="I389" s="6">
        <v>46196</v>
      </c>
      <c r="J389" s="6">
        <v>46198</v>
      </c>
      <c r="K389" s="10" t="s">
        <v>51</v>
      </c>
      <c r="L389" s="17" t="str">
        <f t="shared" si="6"/>
        <v>Not Eligible</v>
      </c>
    </row>
    <row r="390" spans="1:12" ht="15" thickBot="1" x14ac:dyDescent="0.4">
      <c r="A390" s="5">
        <v>1383</v>
      </c>
      <c r="B390" s="5" t="s">
        <v>32</v>
      </c>
      <c r="C390" s="5" t="s">
        <v>12</v>
      </c>
      <c r="D390" s="5" t="s">
        <v>13</v>
      </c>
      <c r="E390" s="5" t="s">
        <v>53</v>
      </c>
      <c r="F390" s="5">
        <v>14</v>
      </c>
      <c r="G390" s="5">
        <v>334</v>
      </c>
      <c r="H390" s="5">
        <v>10</v>
      </c>
      <c r="I390" s="6">
        <v>46196</v>
      </c>
      <c r="J390" s="6">
        <v>46203</v>
      </c>
      <c r="K390" s="10" t="s">
        <v>15</v>
      </c>
      <c r="L390" s="17" t="str">
        <f t="shared" si="6"/>
        <v>Not Eligible</v>
      </c>
    </row>
    <row r="391" spans="1:12" ht="15" thickBot="1" x14ac:dyDescent="0.4">
      <c r="A391" s="5">
        <v>1309</v>
      </c>
      <c r="B391" s="5" t="s">
        <v>29</v>
      </c>
      <c r="C391" s="5" t="s">
        <v>31</v>
      </c>
      <c r="D391" s="5" t="s">
        <v>13</v>
      </c>
      <c r="E391" s="5" t="s">
        <v>50</v>
      </c>
      <c r="F391" s="5">
        <v>2</v>
      </c>
      <c r="G391" s="5">
        <v>35</v>
      </c>
      <c r="H391" s="5">
        <v>5</v>
      </c>
      <c r="I391" s="6">
        <v>46197</v>
      </c>
      <c r="J391" s="6">
        <v>46198</v>
      </c>
      <c r="K391" s="10" t="s">
        <v>24</v>
      </c>
      <c r="L391" s="17" t="str">
        <f t="shared" si="6"/>
        <v>Not Eligible</v>
      </c>
    </row>
    <row r="392" spans="1:12" ht="15" thickBot="1" x14ac:dyDescent="0.4">
      <c r="A392" s="5">
        <v>1233</v>
      </c>
      <c r="B392" s="5" t="s">
        <v>58</v>
      </c>
      <c r="C392" s="5" t="s">
        <v>22</v>
      </c>
      <c r="D392" s="5" t="s">
        <v>18</v>
      </c>
      <c r="E392" s="5" t="s">
        <v>19</v>
      </c>
      <c r="F392" s="5">
        <v>20</v>
      </c>
      <c r="G392" s="5">
        <v>13941</v>
      </c>
      <c r="H392" s="5">
        <v>15</v>
      </c>
      <c r="I392" s="6">
        <v>46198</v>
      </c>
      <c r="J392" s="6">
        <v>46202</v>
      </c>
      <c r="K392" s="10" t="s">
        <v>24</v>
      </c>
      <c r="L392" s="17" t="str">
        <f t="shared" si="6"/>
        <v>Not Eligible</v>
      </c>
    </row>
    <row r="393" spans="1:12" ht="15" thickBot="1" x14ac:dyDescent="0.4">
      <c r="A393" s="5">
        <v>1195</v>
      </c>
      <c r="B393" s="5" t="s">
        <v>59</v>
      </c>
      <c r="C393" s="5" t="s">
        <v>17</v>
      </c>
      <c r="D393" s="5" t="s">
        <v>13</v>
      </c>
      <c r="E393" s="5" t="s">
        <v>50</v>
      </c>
      <c r="F393" s="5">
        <v>19</v>
      </c>
      <c r="G393" s="5">
        <v>313</v>
      </c>
      <c r="H393" s="5">
        <v>2</v>
      </c>
      <c r="I393" s="6">
        <v>46198</v>
      </c>
      <c r="J393" s="6">
        <v>46206</v>
      </c>
      <c r="K393" s="10" t="s">
        <v>51</v>
      </c>
      <c r="L393" s="17" t="str">
        <f t="shared" si="6"/>
        <v>Not Eligible</v>
      </c>
    </row>
    <row r="394" spans="1:12" ht="15" thickBot="1" x14ac:dyDescent="0.4">
      <c r="A394" s="5">
        <v>1268</v>
      </c>
      <c r="B394" s="5" t="s">
        <v>42</v>
      </c>
      <c r="C394" s="5" t="s">
        <v>38</v>
      </c>
      <c r="D394" s="5" t="s">
        <v>34</v>
      </c>
      <c r="E394" s="5" t="s">
        <v>45</v>
      </c>
      <c r="F394" s="5">
        <v>10</v>
      </c>
      <c r="G394" s="5">
        <v>46291</v>
      </c>
      <c r="H394" s="5">
        <v>12</v>
      </c>
      <c r="I394" s="6">
        <v>46199</v>
      </c>
      <c r="J394" s="6">
        <v>46202</v>
      </c>
      <c r="K394" s="10" t="s">
        <v>20</v>
      </c>
      <c r="L394" s="17" t="str">
        <f t="shared" si="6"/>
        <v>Eligible</v>
      </c>
    </row>
    <row r="395" spans="1:12" ht="15" thickBot="1" x14ac:dyDescent="0.4">
      <c r="A395" s="5">
        <v>1047</v>
      </c>
      <c r="B395" s="5" t="s">
        <v>58</v>
      </c>
      <c r="C395" s="5" t="s">
        <v>38</v>
      </c>
      <c r="D395" s="5" t="s">
        <v>18</v>
      </c>
      <c r="E395" s="5" t="s">
        <v>56</v>
      </c>
      <c r="F395" s="5">
        <v>11</v>
      </c>
      <c r="G395" s="5">
        <v>9976</v>
      </c>
      <c r="H395" s="5">
        <v>12</v>
      </c>
      <c r="I395" s="6">
        <v>46200</v>
      </c>
      <c r="J395" s="6">
        <v>46209</v>
      </c>
      <c r="K395" s="10" t="s">
        <v>15</v>
      </c>
      <c r="L395" s="17" t="str">
        <f t="shared" si="6"/>
        <v>Not Eligible</v>
      </c>
    </row>
    <row r="396" spans="1:12" ht="15" thickBot="1" x14ac:dyDescent="0.4">
      <c r="A396" s="5">
        <v>1054</v>
      </c>
      <c r="B396" s="5" t="s">
        <v>26</v>
      </c>
      <c r="C396" s="5" t="s">
        <v>25</v>
      </c>
      <c r="D396" s="5" t="s">
        <v>18</v>
      </c>
      <c r="E396" s="5" t="s">
        <v>23</v>
      </c>
      <c r="F396" s="5">
        <v>8</v>
      </c>
      <c r="G396" s="5">
        <v>9798</v>
      </c>
      <c r="H396" s="5">
        <v>12</v>
      </c>
      <c r="I396" s="6">
        <v>46200</v>
      </c>
      <c r="J396" s="6">
        <v>46201</v>
      </c>
      <c r="K396" s="10" t="s">
        <v>51</v>
      </c>
      <c r="L396" s="17" t="str">
        <f t="shared" si="6"/>
        <v>Not Eligible</v>
      </c>
    </row>
    <row r="397" spans="1:12" ht="15" thickBot="1" x14ac:dyDescent="0.4">
      <c r="A397" s="5">
        <v>1264</v>
      </c>
      <c r="B397" s="5" t="s">
        <v>11</v>
      </c>
      <c r="C397" s="5" t="s">
        <v>22</v>
      </c>
      <c r="D397" s="5" t="s">
        <v>18</v>
      </c>
      <c r="E397" s="5" t="s">
        <v>28</v>
      </c>
      <c r="F397" s="5">
        <v>15</v>
      </c>
      <c r="G397" s="5">
        <v>6365</v>
      </c>
      <c r="H397" s="5">
        <v>10</v>
      </c>
      <c r="I397" s="6">
        <v>46200</v>
      </c>
      <c r="J397" s="6">
        <v>46206</v>
      </c>
      <c r="K397" s="10" t="s">
        <v>20</v>
      </c>
      <c r="L397" s="17" t="str">
        <f t="shared" si="6"/>
        <v>Not Eligible</v>
      </c>
    </row>
    <row r="398" spans="1:12" ht="15" thickBot="1" x14ac:dyDescent="0.4">
      <c r="A398" s="5">
        <v>1244</v>
      </c>
      <c r="B398" s="5" t="s">
        <v>57</v>
      </c>
      <c r="C398" s="5" t="s">
        <v>38</v>
      </c>
      <c r="D398" s="5" t="s">
        <v>18</v>
      </c>
      <c r="E398" s="5" t="s">
        <v>28</v>
      </c>
      <c r="F398" s="5">
        <v>10</v>
      </c>
      <c r="G398" s="5">
        <v>6339</v>
      </c>
      <c r="H398" s="5">
        <v>12</v>
      </c>
      <c r="I398" s="6">
        <v>46200</v>
      </c>
      <c r="J398" s="6">
        <v>46205</v>
      </c>
      <c r="K398" s="10" t="s">
        <v>15</v>
      </c>
      <c r="L398" s="17" t="str">
        <f t="shared" si="6"/>
        <v>Not Eligible</v>
      </c>
    </row>
    <row r="399" spans="1:12" ht="15" thickBot="1" x14ac:dyDescent="0.4">
      <c r="A399" s="5">
        <v>1356</v>
      </c>
      <c r="B399" s="5" t="s">
        <v>26</v>
      </c>
      <c r="C399" s="5" t="s">
        <v>38</v>
      </c>
      <c r="D399" s="5" t="s">
        <v>34</v>
      </c>
      <c r="E399" s="5" t="s">
        <v>60</v>
      </c>
      <c r="F399" s="5">
        <v>16</v>
      </c>
      <c r="G399" s="5">
        <v>53457</v>
      </c>
      <c r="H399" s="5">
        <v>10</v>
      </c>
      <c r="I399" s="6">
        <v>46201</v>
      </c>
      <c r="J399" s="6">
        <v>46204</v>
      </c>
      <c r="K399" s="10" t="s">
        <v>15</v>
      </c>
      <c r="L399" s="17" t="str">
        <f t="shared" si="6"/>
        <v>Eligible</v>
      </c>
    </row>
    <row r="400" spans="1:12" ht="15" thickBot="1" x14ac:dyDescent="0.4">
      <c r="A400" s="5">
        <v>1126</v>
      </c>
      <c r="B400" s="5" t="s">
        <v>46</v>
      </c>
      <c r="C400" s="5" t="s">
        <v>22</v>
      </c>
      <c r="D400" s="5" t="s">
        <v>34</v>
      </c>
      <c r="E400" s="5" t="s">
        <v>39</v>
      </c>
      <c r="F400" s="5">
        <v>17</v>
      </c>
      <c r="G400" s="5">
        <v>19390</v>
      </c>
      <c r="H400" s="5">
        <v>12</v>
      </c>
      <c r="I400" s="6">
        <v>46201</v>
      </c>
      <c r="J400" s="6">
        <v>46206</v>
      </c>
      <c r="K400" s="10" t="s">
        <v>29</v>
      </c>
      <c r="L400" s="17" t="str">
        <f t="shared" si="6"/>
        <v>Eligible</v>
      </c>
    </row>
    <row r="401" spans="1:12" ht="15" thickBot="1" x14ac:dyDescent="0.4">
      <c r="A401" s="5">
        <v>1219</v>
      </c>
      <c r="B401" s="5" t="s">
        <v>46</v>
      </c>
      <c r="C401" s="5" t="s">
        <v>22</v>
      </c>
      <c r="D401" s="5" t="s">
        <v>13</v>
      </c>
      <c r="E401" s="5" t="s">
        <v>14</v>
      </c>
      <c r="F401" s="5">
        <v>4</v>
      </c>
      <c r="G401" s="5">
        <v>117</v>
      </c>
      <c r="H401" s="5">
        <v>15</v>
      </c>
      <c r="I401" s="6">
        <v>46202</v>
      </c>
      <c r="J401" s="6">
        <v>46206</v>
      </c>
      <c r="K401" s="10" t="s">
        <v>29</v>
      </c>
      <c r="L401" s="17" t="str">
        <f t="shared" si="6"/>
        <v>Not Eligible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02663E-44C8-4913-9F6B-029A99994372}">
  <dimension ref="A1:L401"/>
  <sheetViews>
    <sheetView workbookViewId="0">
      <selection sqref="A1:L1"/>
    </sheetView>
  </sheetViews>
  <sheetFormatPr defaultRowHeight="14.5" x14ac:dyDescent="0.35"/>
  <cols>
    <col min="1" max="1" width="8.54296875" bestFit="1" customWidth="1"/>
    <col min="2" max="2" width="9" bestFit="1" customWidth="1"/>
    <col min="3" max="3" width="11" bestFit="1" customWidth="1"/>
    <col min="4" max="4" width="9.7265625" bestFit="1" customWidth="1"/>
    <col min="5" max="5" width="9" bestFit="1" customWidth="1"/>
    <col min="6" max="6" width="8.1796875" bestFit="1" customWidth="1"/>
    <col min="7" max="7" width="9.453125" bestFit="1" customWidth="1"/>
    <col min="8" max="8" width="10.6328125" bestFit="1" customWidth="1"/>
    <col min="9" max="9" width="10.7265625" bestFit="1" customWidth="1"/>
    <col min="10" max="10" width="12.54296875" bestFit="1" customWidth="1"/>
    <col min="11" max="11" width="10.81640625" bestFit="1" customWidth="1"/>
    <col min="12" max="12" width="13.6328125" customWidth="1"/>
  </cols>
  <sheetData>
    <row r="1" spans="1:12" ht="15.5" customHeight="1" thickBot="1" x14ac:dyDescent="0.4">
      <c r="A1" s="31" t="s">
        <v>0</v>
      </c>
      <c r="B1" s="31" t="s">
        <v>1</v>
      </c>
      <c r="C1" s="31" t="s">
        <v>2</v>
      </c>
      <c r="D1" s="31" t="s">
        <v>3</v>
      </c>
      <c r="E1" s="31" t="s">
        <v>4</v>
      </c>
      <c r="F1" s="31" t="s">
        <v>5</v>
      </c>
      <c r="G1" s="31" t="s">
        <v>6</v>
      </c>
      <c r="H1" s="31" t="s">
        <v>7</v>
      </c>
      <c r="I1" s="31" t="s">
        <v>8</v>
      </c>
      <c r="J1" s="31" t="s">
        <v>9</v>
      </c>
      <c r="K1" s="35" t="s">
        <v>10</v>
      </c>
      <c r="L1" s="36" t="s">
        <v>69</v>
      </c>
    </row>
    <row r="2" spans="1:12" ht="15" thickBot="1" x14ac:dyDescent="0.4">
      <c r="A2" s="5">
        <v>1019</v>
      </c>
      <c r="B2" s="5" t="s">
        <v>11</v>
      </c>
      <c r="C2" s="5" t="s">
        <v>43</v>
      </c>
      <c r="D2" s="5" t="s">
        <v>34</v>
      </c>
      <c r="E2" s="5" t="s">
        <v>41</v>
      </c>
      <c r="F2" s="5">
        <v>18</v>
      </c>
      <c r="G2" s="5">
        <v>45652</v>
      </c>
      <c r="H2" s="5">
        <v>10</v>
      </c>
      <c r="I2" s="6">
        <v>46023</v>
      </c>
      <c r="J2" s="6">
        <v>46030</v>
      </c>
      <c r="K2" s="10" t="s">
        <v>20</v>
      </c>
      <c r="L2" s="16" t="str">
        <f>IF(OR(C2="Mumbai",F2&gt;=15),"Priority","Normal")</f>
        <v>Priority</v>
      </c>
    </row>
    <row r="3" spans="1:12" ht="15" thickBot="1" x14ac:dyDescent="0.4">
      <c r="A3" s="5">
        <v>1355</v>
      </c>
      <c r="B3" s="5" t="s">
        <v>27</v>
      </c>
      <c r="C3" s="5" t="s">
        <v>12</v>
      </c>
      <c r="D3" s="5" t="s">
        <v>34</v>
      </c>
      <c r="E3" s="5" t="s">
        <v>60</v>
      </c>
      <c r="F3" s="5">
        <v>18</v>
      </c>
      <c r="G3" s="5">
        <v>35997</v>
      </c>
      <c r="H3" s="5">
        <v>2</v>
      </c>
      <c r="I3" s="6">
        <v>46024</v>
      </c>
      <c r="J3" s="6">
        <v>46031</v>
      </c>
      <c r="K3" s="10" t="s">
        <v>51</v>
      </c>
      <c r="L3" s="16" t="str">
        <f t="shared" ref="L3:L66" si="0">IF(OR(C3="Mumbai",F3&gt;=15),"Priority","Normal")</f>
        <v>Priority</v>
      </c>
    </row>
    <row r="4" spans="1:12" ht="15" thickBot="1" x14ac:dyDescent="0.4">
      <c r="A4" s="5">
        <v>1060</v>
      </c>
      <c r="B4" s="5" t="s">
        <v>49</v>
      </c>
      <c r="C4" s="5" t="s">
        <v>12</v>
      </c>
      <c r="D4" s="5" t="s">
        <v>18</v>
      </c>
      <c r="E4" s="5" t="s">
        <v>44</v>
      </c>
      <c r="F4" s="5">
        <v>9</v>
      </c>
      <c r="G4" s="5">
        <v>9727</v>
      </c>
      <c r="H4" s="5">
        <v>2</v>
      </c>
      <c r="I4" s="6">
        <v>46024</v>
      </c>
      <c r="J4" s="6">
        <v>46030</v>
      </c>
      <c r="K4" s="10" t="s">
        <v>20</v>
      </c>
      <c r="L4" s="16" t="str">
        <f t="shared" si="0"/>
        <v>Normal</v>
      </c>
    </row>
    <row r="5" spans="1:12" ht="15" thickBot="1" x14ac:dyDescent="0.4">
      <c r="A5" s="5">
        <v>1151</v>
      </c>
      <c r="B5" s="5" t="s">
        <v>46</v>
      </c>
      <c r="C5" s="5" t="s">
        <v>43</v>
      </c>
      <c r="D5" s="5" t="s">
        <v>13</v>
      </c>
      <c r="E5" s="5" t="s">
        <v>50</v>
      </c>
      <c r="F5" s="5">
        <v>20</v>
      </c>
      <c r="G5" s="5">
        <v>272</v>
      </c>
      <c r="H5" s="5">
        <v>15</v>
      </c>
      <c r="I5" s="6">
        <v>46024</v>
      </c>
      <c r="J5" s="6">
        <v>46029</v>
      </c>
      <c r="K5" s="10" t="s">
        <v>51</v>
      </c>
      <c r="L5" s="16" t="str">
        <f t="shared" si="0"/>
        <v>Priority</v>
      </c>
    </row>
    <row r="6" spans="1:12" ht="15" thickBot="1" x14ac:dyDescent="0.4">
      <c r="A6" s="5">
        <v>1132</v>
      </c>
      <c r="B6" s="5" t="s">
        <v>11</v>
      </c>
      <c r="C6" s="5" t="s">
        <v>31</v>
      </c>
      <c r="D6" s="5" t="s">
        <v>13</v>
      </c>
      <c r="E6" s="5" t="s">
        <v>50</v>
      </c>
      <c r="F6" s="5">
        <v>10</v>
      </c>
      <c r="G6" s="5">
        <v>270</v>
      </c>
      <c r="H6" s="5">
        <v>7</v>
      </c>
      <c r="I6" s="6">
        <v>46024</v>
      </c>
      <c r="J6" s="6">
        <v>46034</v>
      </c>
      <c r="K6" s="10" t="s">
        <v>24</v>
      </c>
      <c r="L6" s="16" t="str">
        <f>IF(OR(C6="Mumbai",F6&gt;=15),"Priority","Normal")</f>
        <v>Normal</v>
      </c>
    </row>
    <row r="7" spans="1:12" ht="15" thickBot="1" x14ac:dyDescent="0.4">
      <c r="A7" s="5">
        <v>1352</v>
      </c>
      <c r="B7" s="5" t="s">
        <v>54</v>
      </c>
      <c r="C7" s="5" t="s">
        <v>22</v>
      </c>
      <c r="D7" s="5" t="s">
        <v>13</v>
      </c>
      <c r="E7" s="5" t="s">
        <v>14</v>
      </c>
      <c r="F7" s="5">
        <v>12</v>
      </c>
      <c r="G7" s="5">
        <v>203</v>
      </c>
      <c r="H7" s="5">
        <v>5</v>
      </c>
      <c r="I7" s="6">
        <v>46024</v>
      </c>
      <c r="J7" s="6">
        <v>46033</v>
      </c>
      <c r="K7" s="10" t="s">
        <v>15</v>
      </c>
      <c r="L7" s="16" t="str">
        <f t="shared" si="0"/>
        <v>Normal</v>
      </c>
    </row>
    <row r="8" spans="1:12" ht="15" thickBot="1" x14ac:dyDescent="0.4">
      <c r="A8" s="5">
        <v>1156</v>
      </c>
      <c r="B8" s="5" t="s">
        <v>54</v>
      </c>
      <c r="C8" s="5" t="s">
        <v>38</v>
      </c>
      <c r="D8" s="5" t="s">
        <v>13</v>
      </c>
      <c r="E8" s="5" t="s">
        <v>36</v>
      </c>
      <c r="F8" s="5">
        <v>5</v>
      </c>
      <c r="G8" s="5">
        <v>466</v>
      </c>
      <c r="H8" s="5">
        <v>15</v>
      </c>
      <c r="I8" s="6">
        <v>46025</v>
      </c>
      <c r="J8" s="6">
        <v>46029</v>
      </c>
      <c r="K8" s="10" t="s">
        <v>15</v>
      </c>
      <c r="L8" s="16" t="str">
        <f t="shared" si="0"/>
        <v>Priority</v>
      </c>
    </row>
    <row r="9" spans="1:12" ht="15" thickBot="1" x14ac:dyDescent="0.4">
      <c r="A9" s="5">
        <v>1341</v>
      </c>
      <c r="B9" s="5" t="s">
        <v>57</v>
      </c>
      <c r="C9" s="5" t="s">
        <v>38</v>
      </c>
      <c r="D9" s="5" t="s">
        <v>18</v>
      </c>
      <c r="E9" s="5" t="s">
        <v>19</v>
      </c>
      <c r="F9" s="5">
        <v>19</v>
      </c>
      <c r="G9" s="5">
        <v>6488</v>
      </c>
      <c r="H9" s="5">
        <v>15</v>
      </c>
      <c r="I9" s="6">
        <v>46026</v>
      </c>
      <c r="J9" s="6">
        <v>46030</v>
      </c>
      <c r="K9" s="10" t="s">
        <v>20</v>
      </c>
      <c r="L9" s="16" t="str">
        <f t="shared" si="0"/>
        <v>Priority</v>
      </c>
    </row>
    <row r="10" spans="1:12" ht="15" thickBot="1" x14ac:dyDescent="0.4">
      <c r="A10" s="5">
        <v>1351</v>
      </c>
      <c r="B10" s="5" t="s">
        <v>42</v>
      </c>
      <c r="C10" s="5" t="s">
        <v>33</v>
      </c>
      <c r="D10" s="5" t="s">
        <v>34</v>
      </c>
      <c r="E10" s="5" t="s">
        <v>45</v>
      </c>
      <c r="F10" s="5">
        <v>12</v>
      </c>
      <c r="G10" s="5">
        <v>1272</v>
      </c>
      <c r="H10" s="5">
        <v>0</v>
      </c>
      <c r="I10" s="6">
        <v>46026</v>
      </c>
      <c r="J10" s="6">
        <v>46029</v>
      </c>
      <c r="K10" s="10" t="s">
        <v>15</v>
      </c>
      <c r="L10" s="16" t="str">
        <f t="shared" si="0"/>
        <v>Normal</v>
      </c>
    </row>
    <row r="11" spans="1:12" ht="15" thickBot="1" x14ac:dyDescent="0.4">
      <c r="A11" s="5">
        <v>1229</v>
      </c>
      <c r="B11" s="5" t="s">
        <v>57</v>
      </c>
      <c r="C11" s="5" t="s">
        <v>12</v>
      </c>
      <c r="D11" s="5" t="s">
        <v>18</v>
      </c>
      <c r="E11" s="5" t="s">
        <v>56</v>
      </c>
      <c r="F11" s="5">
        <v>14</v>
      </c>
      <c r="G11" s="5">
        <v>5859</v>
      </c>
      <c r="H11" s="5">
        <v>12</v>
      </c>
      <c r="I11" s="6">
        <v>46027</v>
      </c>
      <c r="J11" s="6">
        <v>46036</v>
      </c>
      <c r="K11" s="10" t="s">
        <v>20</v>
      </c>
      <c r="L11" s="16" t="str">
        <f t="shared" si="0"/>
        <v>Normal</v>
      </c>
    </row>
    <row r="12" spans="1:12" ht="15" thickBot="1" x14ac:dyDescent="0.4">
      <c r="A12" s="5">
        <v>1100</v>
      </c>
      <c r="B12" s="5" t="s">
        <v>11</v>
      </c>
      <c r="C12" s="5" t="s">
        <v>31</v>
      </c>
      <c r="D12" s="5" t="s">
        <v>13</v>
      </c>
      <c r="E12" s="5" t="s">
        <v>14</v>
      </c>
      <c r="F12" s="5">
        <v>11</v>
      </c>
      <c r="G12" s="5">
        <v>296</v>
      </c>
      <c r="H12" s="5">
        <v>10</v>
      </c>
      <c r="I12" s="6">
        <v>46027</v>
      </c>
      <c r="J12" s="6">
        <v>46031</v>
      </c>
      <c r="K12" s="10" t="s">
        <v>51</v>
      </c>
      <c r="L12" s="16" t="str">
        <f t="shared" si="0"/>
        <v>Normal</v>
      </c>
    </row>
    <row r="13" spans="1:12" ht="15" thickBot="1" x14ac:dyDescent="0.4">
      <c r="A13" s="5">
        <v>1301</v>
      </c>
      <c r="B13" s="5" t="s">
        <v>54</v>
      </c>
      <c r="C13" s="5" t="s">
        <v>17</v>
      </c>
      <c r="D13" s="5" t="s">
        <v>18</v>
      </c>
      <c r="E13" s="5" t="s">
        <v>28</v>
      </c>
      <c r="F13" s="5">
        <v>3</v>
      </c>
      <c r="G13" s="5">
        <v>7020</v>
      </c>
      <c r="H13" s="5">
        <v>10</v>
      </c>
      <c r="I13" s="6">
        <v>46028</v>
      </c>
      <c r="J13" s="6">
        <v>46038</v>
      </c>
      <c r="K13" s="10" t="s">
        <v>24</v>
      </c>
      <c r="L13" s="16" t="str">
        <f t="shared" si="0"/>
        <v>Normal</v>
      </c>
    </row>
    <row r="14" spans="1:12" ht="15" thickBot="1" x14ac:dyDescent="0.4">
      <c r="A14" s="5">
        <v>1148</v>
      </c>
      <c r="B14" s="5" t="s">
        <v>59</v>
      </c>
      <c r="C14" s="5" t="s">
        <v>33</v>
      </c>
      <c r="D14" s="5" t="s">
        <v>18</v>
      </c>
      <c r="E14" s="5" t="s">
        <v>28</v>
      </c>
      <c r="F14" s="5">
        <v>11</v>
      </c>
      <c r="G14" s="5">
        <v>3023</v>
      </c>
      <c r="H14" s="5">
        <v>7</v>
      </c>
      <c r="I14" s="6">
        <v>46030</v>
      </c>
      <c r="J14" s="6">
        <v>46032</v>
      </c>
      <c r="K14" s="10" t="s">
        <v>24</v>
      </c>
      <c r="L14" s="16" t="str">
        <f t="shared" si="0"/>
        <v>Normal</v>
      </c>
    </row>
    <row r="15" spans="1:12" ht="15" thickBot="1" x14ac:dyDescent="0.4">
      <c r="A15" s="5">
        <v>1038</v>
      </c>
      <c r="B15" s="5" t="s">
        <v>55</v>
      </c>
      <c r="C15" s="5" t="s">
        <v>17</v>
      </c>
      <c r="D15" s="5" t="s">
        <v>13</v>
      </c>
      <c r="E15" s="5" t="s">
        <v>36</v>
      </c>
      <c r="F15" s="5">
        <v>17</v>
      </c>
      <c r="G15" s="5">
        <v>223</v>
      </c>
      <c r="H15" s="5">
        <v>7</v>
      </c>
      <c r="I15" s="6">
        <v>46030</v>
      </c>
      <c r="J15" s="6">
        <v>46031</v>
      </c>
      <c r="K15" s="10" t="s">
        <v>51</v>
      </c>
      <c r="L15" s="16" t="str">
        <f t="shared" si="0"/>
        <v>Priority</v>
      </c>
    </row>
    <row r="16" spans="1:12" ht="15" thickBot="1" x14ac:dyDescent="0.4">
      <c r="A16" s="5">
        <v>1035</v>
      </c>
      <c r="B16" s="5" t="s">
        <v>49</v>
      </c>
      <c r="C16" s="5" t="s">
        <v>43</v>
      </c>
      <c r="D16" s="5" t="s">
        <v>18</v>
      </c>
      <c r="E16" s="5" t="s">
        <v>56</v>
      </c>
      <c r="F16" s="5">
        <v>3</v>
      </c>
      <c r="G16" s="5">
        <v>9149</v>
      </c>
      <c r="H16" s="5">
        <v>0</v>
      </c>
      <c r="I16" s="6">
        <v>46031</v>
      </c>
      <c r="J16" s="6">
        <v>46034</v>
      </c>
      <c r="K16" s="10" t="s">
        <v>24</v>
      </c>
      <c r="L16" s="16" t="str">
        <f t="shared" si="0"/>
        <v>Normal</v>
      </c>
    </row>
    <row r="17" spans="1:12" ht="15" thickBot="1" x14ac:dyDescent="0.4">
      <c r="A17" s="5">
        <v>1364</v>
      </c>
      <c r="B17" s="5" t="s">
        <v>30</v>
      </c>
      <c r="C17" s="5" t="s">
        <v>22</v>
      </c>
      <c r="D17" s="5" t="s">
        <v>18</v>
      </c>
      <c r="E17" s="5" t="s">
        <v>56</v>
      </c>
      <c r="F17" s="5">
        <v>16</v>
      </c>
      <c r="G17" s="5">
        <v>1744</v>
      </c>
      <c r="H17" s="5">
        <v>15</v>
      </c>
      <c r="I17" s="6">
        <v>46031</v>
      </c>
      <c r="J17" s="6">
        <v>46033</v>
      </c>
      <c r="K17" s="10" t="s">
        <v>51</v>
      </c>
      <c r="L17" s="16" t="str">
        <f t="shared" si="0"/>
        <v>Priority</v>
      </c>
    </row>
    <row r="18" spans="1:12" ht="15" thickBot="1" x14ac:dyDescent="0.4">
      <c r="A18" s="5">
        <v>1396</v>
      </c>
      <c r="B18" s="5" t="s">
        <v>21</v>
      </c>
      <c r="C18" s="5" t="s">
        <v>38</v>
      </c>
      <c r="D18" s="5" t="s">
        <v>13</v>
      </c>
      <c r="E18" s="5" t="s">
        <v>53</v>
      </c>
      <c r="F18" s="5">
        <v>8</v>
      </c>
      <c r="G18" s="5">
        <v>54</v>
      </c>
      <c r="H18" s="5">
        <v>15</v>
      </c>
      <c r="I18" s="6">
        <v>46031</v>
      </c>
      <c r="J18" s="6">
        <v>46035</v>
      </c>
      <c r="K18" s="10" t="s">
        <v>15</v>
      </c>
      <c r="L18" s="16" t="str">
        <f t="shared" si="0"/>
        <v>Priority</v>
      </c>
    </row>
    <row r="19" spans="1:12" ht="15" thickBot="1" x14ac:dyDescent="0.4">
      <c r="A19" s="5">
        <v>1330</v>
      </c>
      <c r="B19" s="5" t="s">
        <v>49</v>
      </c>
      <c r="C19" s="5" t="s">
        <v>17</v>
      </c>
      <c r="D19" s="5" t="s">
        <v>18</v>
      </c>
      <c r="E19" s="5" t="s">
        <v>19</v>
      </c>
      <c r="F19" s="5">
        <v>13</v>
      </c>
      <c r="G19" s="5">
        <v>12071</v>
      </c>
      <c r="H19" s="5">
        <v>0</v>
      </c>
      <c r="I19" s="6">
        <v>46032</v>
      </c>
      <c r="J19" s="6">
        <v>46036</v>
      </c>
      <c r="K19" s="10" t="s">
        <v>51</v>
      </c>
      <c r="L19" s="16" t="str">
        <f t="shared" si="0"/>
        <v>Normal</v>
      </c>
    </row>
    <row r="20" spans="1:12" ht="15" thickBot="1" x14ac:dyDescent="0.4">
      <c r="A20" s="5">
        <v>1037</v>
      </c>
      <c r="B20" s="5" t="s">
        <v>46</v>
      </c>
      <c r="C20" s="5" t="s">
        <v>43</v>
      </c>
      <c r="D20" s="5" t="s">
        <v>18</v>
      </c>
      <c r="E20" s="5" t="s">
        <v>56</v>
      </c>
      <c r="F20" s="5">
        <v>6</v>
      </c>
      <c r="G20" s="5">
        <v>14385</v>
      </c>
      <c r="H20" s="5">
        <v>12</v>
      </c>
      <c r="I20" s="6">
        <v>46033</v>
      </c>
      <c r="J20" s="6">
        <v>46043</v>
      </c>
      <c r="K20" s="10" t="s">
        <v>24</v>
      </c>
      <c r="L20" s="16" t="str">
        <f t="shared" si="0"/>
        <v>Normal</v>
      </c>
    </row>
    <row r="21" spans="1:12" ht="15" thickBot="1" x14ac:dyDescent="0.4">
      <c r="A21" s="5">
        <v>1109</v>
      </c>
      <c r="B21" s="5" t="s">
        <v>21</v>
      </c>
      <c r="C21" s="5" t="s">
        <v>31</v>
      </c>
      <c r="D21" s="5" t="s">
        <v>18</v>
      </c>
      <c r="E21" s="5" t="s">
        <v>44</v>
      </c>
      <c r="F21" s="5">
        <v>19</v>
      </c>
      <c r="G21" s="5">
        <v>6512</v>
      </c>
      <c r="H21" s="5">
        <v>10</v>
      </c>
      <c r="I21" s="6">
        <v>46033</v>
      </c>
      <c r="J21" s="6">
        <v>46037</v>
      </c>
      <c r="K21" s="10" t="s">
        <v>20</v>
      </c>
      <c r="L21" s="16" t="str">
        <f t="shared" si="0"/>
        <v>Priority</v>
      </c>
    </row>
    <row r="22" spans="1:12" ht="15" thickBot="1" x14ac:dyDescent="0.4">
      <c r="A22" s="5">
        <v>1008</v>
      </c>
      <c r="B22" s="5" t="s">
        <v>30</v>
      </c>
      <c r="C22" s="5" t="s">
        <v>31</v>
      </c>
      <c r="D22" s="5" t="s">
        <v>18</v>
      </c>
      <c r="E22" s="5" t="s">
        <v>28</v>
      </c>
      <c r="F22" s="5">
        <v>1</v>
      </c>
      <c r="G22" s="5">
        <v>1134</v>
      </c>
      <c r="H22" s="5">
        <v>0</v>
      </c>
      <c r="I22" s="6">
        <v>46033</v>
      </c>
      <c r="J22" s="6">
        <v>46041</v>
      </c>
      <c r="K22" s="10" t="s">
        <v>24</v>
      </c>
      <c r="L22" s="16" t="str">
        <f t="shared" si="0"/>
        <v>Normal</v>
      </c>
    </row>
    <row r="23" spans="1:12" ht="15" thickBot="1" x14ac:dyDescent="0.4">
      <c r="A23" s="5">
        <v>1181</v>
      </c>
      <c r="B23" s="5" t="s">
        <v>58</v>
      </c>
      <c r="C23" s="5" t="s">
        <v>33</v>
      </c>
      <c r="D23" s="5" t="s">
        <v>13</v>
      </c>
      <c r="E23" s="5" t="s">
        <v>36</v>
      </c>
      <c r="F23" s="5">
        <v>4</v>
      </c>
      <c r="G23" s="5">
        <v>357</v>
      </c>
      <c r="H23" s="5">
        <v>2</v>
      </c>
      <c r="I23" s="6">
        <v>46033</v>
      </c>
      <c r="J23" s="6">
        <v>46035</v>
      </c>
      <c r="K23" s="10" t="s">
        <v>15</v>
      </c>
      <c r="L23" s="16" t="str">
        <f t="shared" si="0"/>
        <v>Normal</v>
      </c>
    </row>
    <row r="24" spans="1:12" ht="15" thickBot="1" x14ac:dyDescent="0.4">
      <c r="A24" s="5">
        <v>1205</v>
      </c>
      <c r="B24" s="5" t="s">
        <v>21</v>
      </c>
      <c r="C24" s="5" t="s">
        <v>38</v>
      </c>
      <c r="D24" s="5" t="s">
        <v>13</v>
      </c>
      <c r="E24" s="5" t="s">
        <v>36</v>
      </c>
      <c r="F24" s="5">
        <v>1</v>
      </c>
      <c r="G24" s="5">
        <v>112</v>
      </c>
      <c r="H24" s="5">
        <v>7</v>
      </c>
      <c r="I24" s="6">
        <v>46033</v>
      </c>
      <c r="J24" s="6">
        <v>46040</v>
      </c>
      <c r="K24" s="10" t="s">
        <v>51</v>
      </c>
      <c r="L24" s="16" t="str">
        <f t="shared" si="0"/>
        <v>Priority</v>
      </c>
    </row>
    <row r="25" spans="1:12" ht="15" thickBot="1" x14ac:dyDescent="0.4">
      <c r="A25" s="5">
        <v>1004</v>
      </c>
      <c r="B25" s="5" t="s">
        <v>16</v>
      </c>
      <c r="C25" s="5" t="s">
        <v>25</v>
      </c>
      <c r="D25" s="5" t="s">
        <v>18</v>
      </c>
      <c r="E25" s="5" t="s">
        <v>23</v>
      </c>
      <c r="F25" s="5">
        <v>16</v>
      </c>
      <c r="G25" s="5">
        <v>11739</v>
      </c>
      <c r="H25" s="5">
        <v>12</v>
      </c>
      <c r="I25" s="6">
        <v>46034</v>
      </c>
      <c r="J25" s="6">
        <v>46040</v>
      </c>
      <c r="K25" s="10" t="s">
        <v>20</v>
      </c>
      <c r="L25" s="16" t="str">
        <f t="shared" si="0"/>
        <v>Priority</v>
      </c>
    </row>
    <row r="26" spans="1:12" ht="15" thickBot="1" x14ac:dyDescent="0.4">
      <c r="A26" s="5">
        <v>1072</v>
      </c>
      <c r="B26" s="5" t="s">
        <v>16</v>
      </c>
      <c r="C26" s="5" t="s">
        <v>25</v>
      </c>
      <c r="D26" s="5" t="s">
        <v>34</v>
      </c>
      <c r="E26" s="5" t="s">
        <v>61</v>
      </c>
      <c r="F26" s="5">
        <v>20</v>
      </c>
      <c r="G26" s="5">
        <v>58779</v>
      </c>
      <c r="H26" s="5">
        <v>0</v>
      </c>
      <c r="I26" s="6">
        <v>46035</v>
      </c>
      <c r="J26" s="6">
        <v>46036</v>
      </c>
      <c r="K26" s="10" t="s">
        <v>24</v>
      </c>
      <c r="L26" s="16" t="str">
        <f t="shared" si="0"/>
        <v>Priority</v>
      </c>
    </row>
    <row r="27" spans="1:12" ht="15" thickBot="1" x14ac:dyDescent="0.4">
      <c r="A27" s="5">
        <v>1368</v>
      </c>
      <c r="B27" s="5" t="s">
        <v>55</v>
      </c>
      <c r="C27" s="5" t="s">
        <v>38</v>
      </c>
      <c r="D27" s="5" t="s">
        <v>13</v>
      </c>
      <c r="E27" s="5" t="s">
        <v>36</v>
      </c>
      <c r="F27" s="5">
        <v>9</v>
      </c>
      <c r="G27" s="5">
        <v>115</v>
      </c>
      <c r="H27" s="5">
        <v>0</v>
      </c>
      <c r="I27" s="6">
        <v>46036</v>
      </c>
      <c r="J27" s="6">
        <v>46045</v>
      </c>
      <c r="K27" s="10" t="s">
        <v>24</v>
      </c>
      <c r="L27" s="16" t="str">
        <f t="shared" si="0"/>
        <v>Priority</v>
      </c>
    </row>
    <row r="28" spans="1:12" ht="15" thickBot="1" x14ac:dyDescent="0.4">
      <c r="A28" s="5">
        <v>1347</v>
      </c>
      <c r="B28" s="5" t="s">
        <v>29</v>
      </c>
      <c r="C28" s="5" t="s">
        <v>22</v>
      </c>
      <c r="D28" s="5" t="s">
        <v>34</v>
      </c>
      <c r="E28" s="5" t="s">
        <v>35</v>
      </c>
      <c r="F28" s="5">
        <v>16</v>
      </c>
      <c r="G28" s="5">
        <v>6034</v>
      </c>
      <c r="H28" s="5">
        <v>15</v>
      </c>
      <c r="I28" s="6">
        <v>46037</v>
      </c>
      <c r="J28" s="6">
        <v>46044</v>
      </c>
      <c r="K28" s="10" t="s">
        <v>24</v>
      </c>
      <c r="L28" s="16" t="str">
        <f t="shared" si="0"/>
        <v>Priority</v>
      </c>
    </row>
    <row r="29" spans="1:12" ht="15" thickBot="1" x14ac:dyDescent="0.4">
      <c r="A29" s="5">
        <v>1051</v>
      </c>
      <c r="B29" s="5" t="s">
        <v>58</v>
      </c>
      <c r="C29" s="5" t="s">
        <v>17</v>
      </c>
      <c r="D29" s="5" t="s">
        <v>13</v>
      </c>
      <c r="E29" s="5" t="s">
        <v>36</v>
      </c>
      <c r="F29" s="5">
        <v>12</v>
      </c>
      <c r="G29" s="5">
        <v>47</v>
      </c>
      <c r="H29" s="5">
        <v>2</v>
      </c>
      <c r="I29" s="6">
        <v>46037</v>
      </c>
      <c r="J29" s="6">
        <v>46045</v>
      </c>
      <c r="K29" s="10" t="s">
        <v>15</v>
      </c>
      <c r="L29" s="16" t="str">
        <f t="shared" si="0"/>
        <v>Normal</v>
      </c>
    </row>
    <row r="30" spans="1:12" ht="15" thickBot="1" x14ac:dyDescent="0.4">
      <c r="A30" s="5">
        <v>1045</v>
      </c>
      <c r="B30" s="5" t="s">
        <v>32</v>
      </c>
      <c r="C30" s="5" t="s">
        <v>38</v>
      </c>
      <c r="D30" s="5" t="s">
        <v>34</v>
      </c>
      <c r="E30" s="5" t="s">
        <v>35</v>
      </c>
      <c r="F30" s="5">
        <v>3</v>
      </c>
      <c r="G30" s="5">
        <v>62762</v>
      </c>
      <c r="H30" s="5">
        <v>7</v>
      </c>
      <c r="I30" s="6">
        <v>46038</v>
      </c>
      <c r="J30" s="6">
        <v>46039</v>
      </c>
      <c r="K30" s="10" t="s">
        <v>29</v>
      </c>
      <c r="L30" s="16" t="str">
        <f t="shared" si="0"/>
        <v>Priority</v>
      </c>
    </row>
    <row r="31" spans="1:12" ht="15" thickBot="1" x14ac:dyDescent="0.4">
      <c r="A31" s="5">
        <v>1334</v>
      </c>
      <c r="B31" s="5" t="s">
        <v>40</v>
      </c>
      <c r="C31" s="5" t="s">
        <v>12</v>
      </c>
      <c r="D31" s="5" t="s">
        <v>34</v>
      </c>
      <c r="E31" s="5" t="s">
        <v>41</v>
      </c>
      <c r="F31" s="5">
        <v>15</v>
      </c>
      <c r="G31" s="5">
        <v>39853</v>
      </c>
      <c r="H31" s="5">
        <v>7</v>
      </c>
      <c r="I31" s="6">
        <v>46038</v>
      </c>
      <c r="J31" s="6">
        <v>46047</v>
      </c>
      <c r="K31" s="10" t="s">
        <v>51</v>
      </c>
      <c r="L31" s="16" t="str">
        <f t="shared" si="0"/>
        <v>Priority</v>
      </c>
    </row>
    <row r="32" spans="1:12" ht="15" thickBot="1" x14ac:dyDescent="0.4">
      <c r="A32" s="5">
        <v>1069</v>
      </c>
      <c r="B32" s="5" t="s">
        <v>52</v>
      </c>
      <c r="C32" s="5" t="s">
        <v>31</v>
      </c>
      <c r="D32" s="5" t="s">
        <v>18</v>
      </c>
      <c r="E32" s="5" t="s">
        <v>28</v>
      </c>
      <c r="F32" s="5">
        <v>9</v>
      </c>
      <c r="G32" s="5">
        <v>4415</v>
      </c>
      <c r="H32" s="5">
        <v>5</v>
      </c>
      <c r="I32" s="6">
        <v>46039</v>
      </c>
      <c r="J32" s="6">
        <v>46046</v>
      </c>
      <c r="K32" s="10" t="s">
        <v>15</v>
      </c>
      <c r="L32" s="16" t="str">
        <f t="shared" si="0"/>
        <v>Normal</v>
      </c>
    </row>
    <row r="33" spans="1:12" ht="15" thickBot="1" x14ac:dyDescent="0.4">
      <c r="A33" s="5">
        <v>1246</v>
      </c>
      <c r="B33" s="5" t="s">
        <v>55</v>
      </c>
      <c r="C33" s="5" t="s">
        <v>22</v>
      </c>
      <c r="D33" s="5" t="s">
        <v>34</v>
      </c>
      <c r="E33" s="5" t="s">
        <v>35</v>
      </c>
      <c r="F33" s="5">
        <v>13</v>
      </c>
      <c r="G33" s="5">
        <v>1825</v>
      </c>
      <c r="H33" s="5">
        <v>2</v>
      </c>
      <c r="I33" s="6">
        <v>46039</v>
      </c>
      <c r="J33" s="6">
        <v>46045</v>
      </c>
      <c r="K33" s="10" t="s">
        <v>51</v>
      </c>
      <c r="L33" s="16" t="str">
        <f t="shared" si="0"/>
        <v>Normal</v>
      </c>
    </row>
    <row r="34" spans="1:12" ht="15" thickBot="1" x14ac:dyDescent="0.4">
      <c r="A34" s="5">
        <v>1026</v>
      </c>
      <c r="B34" s="5" t="s">
        <v>49</v>
      </c>
      <c r="C34" s="5" t="s">
        <v>31</v>
      </c>
      <c r="D34" s="5" t="s">
        <v>13</v>
      </c>
      <c r="E34" s="5" t="s">
        <v>50</v>
      </c>
      <c r="F34" s="5">
        <v>17</v>
      </c>
      <c r="G34" s="5">
        <v>323</v>
      </c>
      <c r="H34" s="5">
        <v>10</v>
      </c>
      <c r="I34" s="6">
        <v>46039</v>
      </c>
      <c r="J34" s="6">
        <v>46040</v>
      </c>
      <c r="K34" s="10" t="s">
        <v>29</v>
      </c>
      <c r="L34" s="16" t="str">
        <f t="shared" si="0"/>
        <v>Priority</v>
      </c>
    </row>
    <row r="35" spans="1:12" ht="15" thickBot="1" x14ac:dyDescent="0.4">
      <c r="A35" s="5">
        <v>1260</v>
      </c>
      <c r="B35" s="5" t="s">
        <v>54</v>
      </c>
      <c r="C35" s="5" t="s">
        <v>38</v>
      </c>
      <c r="D35" s="5" t="s">
        <v>34</v>
      </c>
      <c r="E35" s="5" t="s">
        <v>41</v>
      </c>
      <c r="F35" s="5">
        <v>19</v>
      </c>
      <c r="G35" s="5">
        <v>54981</v>
      </c>
      <c r="H35" s="5">
        <v>10</v>
      </c>
      <c r="I35" s="6">
        <v>46040</v>
      </c>
      <c r="J35" s="6">
        <v>46045</v>
      </c>
      <c r="K35" s="10" t="s">
        <v>29</v>
      </c>
      <c r="L35" s="16" t="str">
        <f t="shared" si="0"/>
        <v>Priority</v>
      </c>
    </row>
    <row r="36" spans="1:12" ht="15" thickBot="1" x14ac:dyDescent="0.4">
      <c r="A36" s="5">
        <v>1103</v>
      </c>
      <c r="B36" s="5" t="s">
        <v>16</v>
      </c>
      <c r="C36" s="5" t="s">
        <v>12</v>
      </c>
      <c r="D36" s="5" t="s">
        <v>18</v>
      </c>
      <c r="E36" s="5" t="s">
        <v>23</v>
      </c>
      <c r="F36" s="5">
        <v>7</v>
      </c>
      <c r="G36" s="5">
        <v>11925</v>
      </c>
      <c r="H36" s="5">
        <v>5</v>
      </c>
      <c r="I36" s="6">
        <v>46040</v>
      </c>
      <c r="J36" s="6">
        <v>46041</v>
      </c>
      <c r="K36" s="10" t="s">
        <v>29</v>
      </c>
      <c r="L36" s="16" t="str">
        <f t="shared" si="0"/>
        <v>Normal</v>
      </c>
    </row>
    <row r="37" spans="1:12" ht="15" thickBot="1" x14ac:dyDescent="0.4">
      <c r="A37" s="5">
        <v>1135</v>
      </c>
      <c r="B37" s="5" t="s">
        <v>49</v>
      </c>
      <c r="C37" s="5" t="s">
        <v>43</v>
      </c>
      <c r="D37" s="5" t="s">
        <v>34</v>
      </c>
      <c r="E37" s="5" t="s">
        <v>39</v>
      </c>
      <c r="F37" s="5">
        <v>14</v>
      </c>
      <c r="G37" s="5">
        <v>68534</v>
      </c>
      <c r="H37" s="5">
        <v>0</v>
      </c>
      <c r="I37" s="6">
        <v>46041</v>
      </c>
      <c r="J37" s="6">
        <v>46042</v>
      </c>
      <c r="K37" s="10" t="s">
        <v>15</v>
      </c>
      <c r="L37" s="16" t="str">
        <f t="shared" si="0"/>
        <v>Normal</v>
      </c>
    </row>
    <row r="38" spans="1:12" ht="15" thickBot="1" x14ac:dyDescent="0.4">
      <c r="A38" s="5">
        <v>1228</v>
      </c>
      <c r="B38" s="5" t="s">
        <v>29</v>
      </c>
      <c r="C38" s="5" t="s">
        <v>25</v>
      </c>
      <c r="D38" s="5" t="s">
        <v>34</v>
      </c>
      <c r="E38" s="5" t="s">
        <v>45</v>
      </c>
      <c r="F38" s="5">
        <v>16</v>
      </c>
      <c r="G38" s="5">
        <v>17477</v>
      </c>
      <c r="H38" s="5">
        <v>10</v>
      </c>
      <c r="I38" s="6">
        <v>46041</v>
      </c>
      <c r="J38" s="6">
        <v>46043</v>
      </c>
      <c r="K38" s="10" t="s">
        <v>24</v>
      </c>
      <c r="L38" s="16" t="str">
        <f t="shared" si="0"/>
        <v>Priority</v>
      </c>
    </row>
    <row r="39" spans="1:12" ht="15" thickBot="1" x14ac:dyDescent="0.4">
      <c r="A39" s="5">
        <v>1313</v>
      </c>
      <c r="B39" s="5" t="s">
        <v>59</v>
      </c>
      <c r="C39" s="5" t="s">
        <v>22</v>
      </c>
      <c r="D39" s="5" t="s">
        <v>18</v>
      </c>
      <c r="E39" s="5" t="s">
        <v>56</v>
      </c>
      <c r="F39" s="5">
        <v>6</v>
      </c>
      <c r="G39" s="5">
        <v>10864</v>
      </c>
      <c r="H39" s="5">
        <v>10</v>
      </c>
      <c r="I39" s="6">
        <v>46041</v>
      </c>
      <c r="J39" s="6">
        <v>46049</v>
      </c>
      <c r="K39" s="10" t="s">
        <v>15</v>
      </c>
      <c r="L39" s="16" t="str">
        <f t="shared" si="0"/>
        <v>Normal</v>
      </c>
    </row>
    <row r="40" spans="1:12" ht="15" thickBot="1" x14ac:dyDescent="0.4">
      <c r="A40" s="5">
        <v>1208</v>
      </c>
      <c r="B40" s="5" t="s">
        <v>54</v>
      </c>
      <c r="C40" s="5" t="s">
        <v>43</v>
      </c>
      <c r="D40" s="5" t="s">
        <v>18</v>
      </c>
      <c r="E40" s="5" t="s">
        <v>44</v>
      </c>
      <c r="F40" s="5">
        <v>6</v>
      </c>
      <c r="G40" s="5">
        <v>7627</v>
      </c>
      <c r="H40" s="5">
        <v>10</v>
      </c>
      <c r="I40" s="6">
        <v>46042</v>
      </c>
      <c r="J40" s="6">
        <v>46047</v>
      </c>
      <c r="K40" s="10" t="s">
        <v>20</v>
      </c>
      <c r="L40" s="16" t="str">
        <f t="shared" si="0"/>
        <v>Normal</v>
      </c>
    </row>
    <row r="41" spans="1:12" ht="15" thickBot="1" x14ac:dyDescent="0.4">
      <c r="A41" s="5">
        <v>1165</v>
      </c>
      <c r="B41" s="5" t="s">
        <v>48</v>
      </c>
      <c r="C41" s="5" t="s">
        <v>25</v>
      </c>
      <c r="D41" s="5" t="s">
        <v>13</v>
      </c>
      <c r="E41" s="5" t="s">
        <v>37</v>
      </c>
      <c r="F41" s="5">
        <v>1</v>
      </c>
      <c r="G41" s="5">
        <v>427</v>
      </c>
      <c r="H41" s="5">
        <v>0</v>
      </c>
      <c r="I41" s="6">
        <v>46042</v>
      </c>
      <c r="J41" s="6">
        <v>46050</v>
      </c>
      <c r="K41" s="10" t="s">
        <v>51</v>
      </c>
      <c r="L41" s="16" t="str">
        <f t="shared" si="0"/>
        <v>Normal</v>
      </c>
    </row>
    <row r="42" spans="1:12" ht="15" thickBot="1" x14ac:dyDescent="0.4">
      <c r="A42" s="5">
        <v>1304</v>
      </c>
      <c r="B42" s="5" t="s">
        <v>59</v>
      </c>
      <c r="C42" s="5" t="s">
        <v>25</v>
      </c>
      <c r="D42" s="5" t="s">
        <v>13</v>
      </c>
      <c r="E42" s="5" t="s">
        <v>36</v>
      </c>
      <c r="F42" s="5">
        <v>20</v>
      </c>
      <c r="G42" s="5">
        <v>368</v>
      </c>
      <c r="H42" s="5">
        <v>7</v>
      </c>
      <c r="I42" s="6">
        <v>46042</v>
      </c>
      <c r="J42" s="6">
        <v>46051</v>
      </c>
      <c r="K42" s="10" t="s">
        <v>51</v>
      </c>
      <c r="L42" s="16" t="str">
        <f t="shared" si="0"/>
        <v>Priority</v>
      </c>
    </row>
    <row r="43" spans="1:12" ht="15" thickBot="1" x14ac:dyDescent="0.4">
      <c r="A43" s="5">
        <v>1141</v>
      </c>
      <c r="B43" s="5" t="s">
        <v>11</v>
      </c>
      <c r="C43" s="5" t="s">
        <v>17</v>
      </c>
      <c r="D43" s="5" t="s">
        <v>18</v>
      </c>
      <c r="E43" s="5" t="s">
        <v>44</v>
      </c>
      <c r="F43" s="5">
        <v>20</v>
      </c>
      <c r="G43" s="5">
        <v>6835</v>
      </c>
      <c r="H43" s="5">
        <v>2</v>
      </c>
      <c r="I43" s="6">
        <v>46043</v>
      </c>
      <c r="J43" s="6">
        <v>46053</v>
      </c>
      <c r="K43" s="10" t="s">
        <v>15</v>
      </c>
      <c r="L43" s="16" t="str">
        <f t="shared" si="0"/>
        <v>Priority</v>
      </c>
    </row>
    <row r="44" spans="1:12" ht="15" thickBot="1" x14ac:dyDescent="0.4">
      <c r="A44" s="5">
        <v>1389</v>
      </c>
      <c r="B44" s="5" t="s">
        <v>32</v>
      </c>
      <c r="C44" s="5" t="s">
        <v>12</v>
      </c>
      <c r="D44" s="5" t="s">
        <v>34</v>
      </c>
      <c r="E44" s="5" t="s">
        <v>41</v>
      </c>
      <c r="F44" s="5">
        <v>3</v>
      </c>
      <c r="G44" s="5">
        <v>56380</v>
      </c>
      <c r="H44" s="5">
        <v>5</v>
      </c>
      <c r="I44" s="6">
        <v>46044</v>
      </c>
      <c r="J44" s="6">
        <v>46048</v>
      </c>
      <c r="K44" s="10" t="s">
        <v>51</v>
      </c>
      <c r="L44" s="16" t="str">
        <f t="shared" si="0"/>
        <v>Normal</v>
      </c>
    </row>
    <row r="45" spans="1:12" ht="15" thickBot="1" x14ac:dyDescent="0.4">
      <c r="A45" s="5">
        <v>1226</v>
      </c>
      <c r="B45" s="5" t="s">
        <v>29</v>
      </c>
      <c r="C45" s="5" t="s">
        <v>31</v>
      </c>
      <c r="D45" s="5" t="s">
        <v>34</v>
      </c>
      <c r="E45" s="5" t="s">
        <v>41</v>
      </c>
      <c r="F45" s="5">
        <v>13</v>
      </c>
      <c r="G45" s="5">
        <v>21332</v>
      </c>
      <c r="H45" s="5">
        <v>0</v>
      </c>
      <c r="I45" s="6">
        <v>46044</v>
      </c>
      <c r="J45" s="6">
        <v>46048</v>
      </c>
      <c r="K45" s="10" t="s">
        <v>29</v>
      </c>
      <c r="L45" s="16" t="str">
        <f t="shared" si="0"/>
        <v>Normal</v>
      </c>
    </row>
    <row r="46" spans="1:12" ht="15" thickBot="1" x14ac:dyDescent="0.4">
      <c r="A46" s="5">
        <v>1128</v>
      </c>
      <c r="B46" s="5" t="s">
        <v>30</v>
      </c>
      <c r="C46" s="5" t="s">
        <v>22</v>
      </c>
      <c r="D46" s="5" t="s">
        <v>34</v>
      </c>
      <c r="E46" s="5" t="s">
        <v>61</v>
      </c>
      <c r="F46" s="5">
        <v>6</v>
      </c>
      <c r="G46" s="5">
        <v>5001</v>
      </c>
      <c r="H46" s="5">
        <v>7</v>
      </c>
      <c r="I46" s="6">
        <v>46044</v>
      </c>
      <c r="J46" s="6">
        <v>46050</v>
      </c>
      <c r="K46" s="10" t="s">
        <v>29</v>
      </c>
      <c r="L46" s="16" t="str">
        <f t="shared" si="0"/>
        <v>Normal</v>
      </c>
    </row>
    <row r="47" spans="1:12" ht="15" thickBot="1" x14ac:dyDescent="0.4">
      <c r="A47" s="5">
        <v>1197</v>
      </c>
      <c r="B47" s="5" t="s">
        <v>52</v>
      </c>
      <c r="C47" s="5" t="s">
        <v>31</v>
      </c>
      <c r="D47" s="5" t="s">
        <v>34</v>
      </c>
      <c r="E47" s="5" t="s">
        <v>35</v>
      </c>
      <c r="F47" s="5">
        <v>5</v>
      </c>
      <c r="G47" s="5">
        <v>45352</v>
      </c>
      <c r="H47" s="5">
        <v>12</v>
      </c>
      <c r="I47" s="6">
        <v>46045</v>
      </c>
      <c r="J47" s="6">
        <v>46048</v>
      </c>
      <c r="K47" s="10" t="s">
        <v>15</v>
      </c>
      <c r="L47" s="16" t="str">
        <f t="shared" si="0"/>
        <v>Normal</v>
      </c>
    </row>
    <row r="48" spans="1:12" ht="15" thickBot="1" x14ac:dyDescent="0.4">
      <c r="A48" s="5">
        <v>1076</v>
      </c>
      <c r="B48" s="5" t="s">
        <v>29</v>
      </c>
      <c r="C48" s="5" t="s">
        <v>17</v>
      </c>
      <c r="D48" s="5" t="s">
        <v>34</v>
      </c>
      <c r="E48" s="5" t="s">
        <v>35</v>
      </c>
      <c r="F48" s="5">
        <v>19</v>
      </c>
      <c r="G48" s="5">
        <v>26714</v>
      </c>
      <c r="H48" s="5">
        <v>5</v>
      </c>
      <c r="I48" s="6">
        <v>46045</v>
      </c>
      <c r="J48" s="6">
        <v>46055</v>
      </c>
      <c r="K48" s="10" t="s">
        <v>29</v>
      </c>
      <c r="L48" s="16" t="str">
        <f t="shared" si="0"/>
        <v>Priority</v>
      </c>
    </row>
    <row r="49" spans="1:12" ht="15" thickBot="1" x14ac:dyDescent="0.4">
      <c r="A49" s="5">
        <v>1224</v>
      </c>
      <c r="B49" s="5" t="s">
        <v>30</v>
      </c>
      <c r="C49" s="5" t="s">
        <v>38</v>
      </c>
      <c r="D49" s="5" t="s">
        <v>34</v>
      </c>
      <c r="E49" s="5" t="s">
        <v>45</v>
      </c>
      <c r="F49" s="5">
        <v>16</v>
      </c>
      <c r="G49" s="5">
        <v>18378</v>
      </c>
      <c r="H49" s="5">
        <v>10</v>
      </c>
      <c r="I49" s="6">
        <v>46045</v>
      </c>
      <c r="J49" s="6">
        <v>46052</v>
      </c>
      <c r="K49" s="10" t="s">
        <v>24</v>
      </c>
      <c r="L49" s="16" t="str">
        <f t="shared" si="0"/>
        <v>Priority</v>
      </c>
    </row>
    <row r="50" spans="1:12" ht="15" thickBot="1" x14ac:dyDescent="0.4">
      <c r="A50" s="5">
        <v>1293</v>
      </c>
      <c r="B50" s="5" t="s">
        <v>49</v>
      </c>
      <c r="C50" s="5" t="s">
        <v>43</v>
      </c>
      <c r="D50" s="5" t="s">
        <v>18</v>
      </c>
      <c r="E50" s="5" t="s">
        <v>23</v>
      </c>
      <c r="F50" s="5">
        <v>7</v>
      </c>
      <c r="G50" s="5">
        <v>11481</v>
      </c>
      <c r="H50" s="5">
        <v>15</v>
      </c>
      <c r="I50" s="6">
        <v>46045</v>
      </c>
      <c r="J50" s="6">
        <v>46050</v>
      </c>
      <c r="K50" s="10" t="s">
        <v>20</v>
      </c>
      <c r="L50" s="16" t="str">
        <f t="shared" si="0"/>
        <v>Normal</v>
      </c>
    </row>
    <row r="51" spans="1:12" ht="15" thickBot="1" x14ac:dyDescent="0.4">
      <c r="A51" s="5">
        <v>1086</v>
      </c>
      <c r="B51" s="5" t="s">
        <v>32</v>
      </c>
      <c r="C51" s="5" t="s">
        <v>12</v>
      </c>
      <c r="D51" s="5" t="s">
        <v>13</v>
      </c>
      <c r="E51" s="5" t="s">
        <v>53</v>
      </c>
      <c r="F51" s="5">
        <v>15</v>
      </c>
      <c r="G51" s="5">
        <v>40</v>
      </c>
      <c r="H51" s="5">
        <v>10</v>
      </c>
      <c r="I51" s="6">
        <v>46045</v>
      </c>
      <c r="J51" s="6">
        <v>46049</v>
      </c>
      <c r="K51" s="10" t="s">
        <v>24</v>
      </c>
      <c r="L51" s="16" t="str">
        <f t="shared" si="0"/>
        <v>Priority</v>
      </c>
    </row>
    <row r="52" spans="1:12" ht="15" thickBot="1" x14ac:dyDescent="0.4">
      <c r="A52" s="5">
        <v>1029</v>
      </c>
      <c r="B52" s="5" t="s">
        <v>30</v>
      </c>
      <c r="C52" s="5" t="s">
        <v>25</v>
      </c>
      <c r="D52" s="5" t="s">
        <v>13</v>
      </c>
      <c r="E52" s="5" t="s">
        <v>36</v>
      </c>
      <c r="F52" s="5">
        <v>18</v>
      </c>
      <c r="G52" s="5">
        <v>443</v>
      </c>
      <c r="H52" s="5">
        <v>5</v>
      </c>
      <c r="I52" s="6">
        <v>46046</v>
      </c>
      <c r="J52" s="6">
        <v>46054</v>
      </c>
      <c r="K52" s="10" t="s">
        <v>24</v>
      </c>
      <c r="L52" s="16" t="str">
        <f t="shared" si="0"/>
        <v>Priority</v>
      </c>
    </row>
    <row r="53" spans="1:12" ht="15" thickBot="1" x14ac:dyDescent="0.4">
      <c r="A53" s="5">
        <v>1366</v>
      </c>
      <c r="B53" s="5" t="s">
        <v>26</v>
      </c>
      <c r="C53" s="5" t="s">
        <v>17</v>
      </c>
      <c r="D53" s="5" t="s">
        <v>34</v>
      </c>
      <c r="E53" s="5" t="s">
        <v>61</v>
      </c>
      <c r="F53" s="5">
        <v>20</v>
      </c>
      <c r="G53" s="5">
        <v>44312</v>
      </c>
      <c r="H53" s="5">
        <v>10</v>
      </c>
      <c r="I53" s="6">
        <v>46047</v>
      </c>
      <c r="J53" s="6">
        <v>46054</v>
      </c>
      <c r="K53" s="10" t="s">
        <v>29</v>
      </c>
      <c r="L53" s="16" t="str">
        <f t="shared" si="0"/>
        <v>Priority</v>
      </c>
    </row>
    <row r="54" spans="1:12" ht="15" thickBot="1" x14ac:dyDescent="0.4">
      <c r="A54" s="5">
        <v>1393</v>
      </c>
      <c r="B54" s="5" t="s">
        <v>30</v>
      </c>
      <c r="C54" s="5" t="s">
        <v>25</v>
      </c>
      <c r="D54" s="5" t="s">
        <v>34</v>
      </c>
      <c r="E54" s="5" t="s">
        <v>45</v>
      </c>
      <c r="F54" s="5">
        <v>17</v>
      </c>
      <c r="G54" s="5">
        <v>30351</v>
      </c>
      <c r="H54" s="5">
        <v>15</v>
      </c>
      <c r="I54" s="6">
        <v>46047</v>
      </c>
      <c r="J54" s="6">
        <v>46051</v>
      </c>
      <c r="K54" s="10" t="s">
        <v>51</v>
      </c>
      <c r="L54" s="16" t="str">
        <f t="shared" si="0"/>
        <v>Priority</v>
      </c>
    </row>
    <row r="55" spans="1:12" ht="15" thickBot="1" x14ac:dyDescent="0.4">
      <c r="A55" s="5">
        <v>1084</v>
      </c>
      <c r="B55" s="5" t="s">
        <v>49</v>
      </c>
      <c r="C55" s="5" t="s">
        <v>31</v>
      </c>
      <c r="D55" s="5" t="s">
        <v>18</v>
      </c>
      <c r="E55" s="5" t="s">
        <v>28</v>
      </c>
      <c r="F55" s="5">
        <v>4</v>
      </c>
      <c r="G55" s="5">
        <v>6901</v>
      </c>
      <c r="H55" s="5">
        <v>10</v>
      </c>
      <c r="I55" s="6">
        <v>46047</v>
      </c>
      <c r="J55" s="6">
        <v>46057</v>
      </c>
      <c r="K55" s="10" t="s">
        <v>20</v>
      </c>
      <c r="L55" s="16" t="str">
        <f t="shared" si="0"/>
        <v>Normal</v>
      </c>
    </row>
    <row r="56" spans="1:12" ht="15" thickBot="1" x14ac:dyDescent="0.4">
      <c r="A56" s="5">
        <v>1385</v>
      </c>
      <c r="B56" s="5" t="s">
        <v>26</v>
      </c>
      <c r="C56" s="5" t="s">
        <v>33</v>
      </c>
      <c r="D56" s="5" t="s">
        <v>34</v>
      </c>
      <c r="E56" s="5" t="s">
        <v>39</v>
      </c>
      <c r="F56" s="5">
        <v>12</v>
      </c>
      <c r="G56" s="5">
        <v>61360</v>
      </c>
      <c r="H56" s="5">
        <v>10</v>
      </c>
      <c r="I56" s="6">
        <v>46048</v>
      </c>
      <c r="J56" s="6">
        <v>46053</v>
      </c>
      <c r="K56" s="10" t="s">
        <v>51</v>
      </c>
      <c r="L56" s="16" t="str">
        <f t="shared" si="0"/>
        <v>Normal</v>
      </c>
    </row>
    <row r="57" spans="1:12" ht="15" thickBot="1" x14ac:dyDescent="0.4">
      <c r="A57" s="5">
        <v>1176</v>
      </c>
      <c r="B57" s="5" t="s">
        <v>58</v>
      </c>
      <c r="C57" s="5" t="s">
        <v>38</v>
      </c>
      <c r="D57" s="5" t="s">
        <v>34</v>
      </c>
      <c r="E57" s="5" t="s">
        <v>41</v>
      </c>
      <c r="F57" s="5">
        <v>17</v>
      </c>
      <c r="G57" s="5">
        <v>46937</v>
      </c>
      <c r="H57" s="5">
        <v>12</v>
      </c>
      <c r="I57" s="6">
        <v>46048</v>
      </c>
      <c r="J57" s="6">
        <v>46056</v>
      </c>
      <c r="K57" s="10" t="s">
        <v>29</v>
      </c>
      <c r="L57" s="16" t="str">
        <f t="shared" si="0"/>
        <v>Priority</v>
      </c>
    </row>
    <row r="58" spans="1:12" ht="15" thickBot="1" x14ac:dyDescent="0.4">
      <c r="A58" s="5">
        <v>1307</v>
      </c>
      <c r="B58" s="5" t="s">
        <v>57</v>
      </c>
      <c r="C58" s="5" t="s">
        <v>43</v>
      </c>
      <c r="D58" s="5" t="s">
        <v>34</v>
      </c>
      <c r="E58" s="5" t="s">
        <v>35</v>
      </c>
      <c r="F58" s="5">
        <v>18</v>
      </c>
      <c r="G58" s="5">
        <v>7541</v>
      </c>
      <c r="H58" s="5">
        <v>12</v>
      </c>
      <c r="I58" s="6">
        <v>46048</v>
      </c>
      <c r="J58" s="6">
        <v>46051</v>
      </c>
      <c r="K58" s="10" t="s">
        <v>51</v>
      </c>
      <c r="L58" s="16" t="str">
        <f t="shared" si="0"/>
        <v>Priority</v>
      </c>
    </row>
    <row r="59" spans="1:12" ht="15" thickBot="1" x14ac:dyDescent="0.4">
      <c r="A59" s="5">
        <v>1348</v>
      </c>
      <c r="B59" s="5" t="s">
        <v>11</v>
      </c>
      <c r="C59" s="5" t="s">
        <v>33</v>
      </c>
      <c r="D59" s="5" t="s">
        <v>13</v>
      </c>
      <c r="E59" s="5" t="s">
        <v>50</v>
      </c>
      <c r="F59" s="5">
        <v>12</v>
      </c>
      <c r="G59" s="5">
        <v>244</v>
      </c>
      <c r="H59" s="5">
        <v>7</v>
      </c>
      <c r="I59" s="6">
        <v>46048</v>
      </c>
      <c r="J59" s="6">
        <v>46053</v>
      </c>
      <c r="K59" s="10" t="s">
        <v>15</v>
      </c>
      <c r="L59" s="16" t="str">
        <f t="shared" si="0"/>
        <v>Normal</v>
      </c>
    </row>
    <row r="60" spans="1:12" ht="15" thickBot="1" x14ac:dyDescent="0.4">
      <c r="A60" s="5">
        <v>1092</v>
      </c>
      <c r="B60" s="5" t="s">
        <v>21</v>
      </c>
      <c r="C60" s="5" t="s">
        <v>22</v>
      </c>
      <c r="D60" s="5" t="s">
        <v>34</v>
      </c>
      <c r="E60" s="5" t="s">
        <v>41</v>
      </c>
      <c r="F60" s="5">
        <v>9</v>
      </c>
      <c r="G60" s="5">
        <v>23438</v>
      </c>
      <c r="H60" s="5">
        <v>2</v>
      </c>
      <c r="I60" s="6">
        <v>46049</v>
      </c>
      <c r="J60" s="6">
        <v>46055</v>
      </c>
      <c r="K60" s="10" t="s">
        <v>29</v>
      </c>
      <c r="L60" s="16" t="str">
        <f t="shared" si="0"/>
        <v>Normal</v>
      </c>
    </row>
    <row r="61" spans="1:12" ht="15" thickBot="1" x14ac:dyDescent="0.4">
      <c r="A61" s="5">
        <v>1116</v>
      </c>
      <c r="B61" s="5" t="s">
        <v>16</v>
      </c>
      <c r="C61" s="5" t="s">
        <v>25</v>
      </c>
      <c r="D61" s="5" t="s">
        <v>18</v>
      </c>
      <c r="E61" s="5" t="s">
        <v>56</v>
      </c>
      <c r="F61" s="5">
        <v>2</v>
      </c>
      <c r="G61" s="5">
        <v>12692</v>
      </c>
      <c r="H61" s="5">
        <v>15</v>
      </c>
      <c r="I61" s="6">
        <v>46049</v>
      </c>
      <c r="J61" s="6">
        <v>46051</v>
      </c>
      <c r="K61" s="10" t="s">
        <v>15</v>
      </c>
      <c r="L61" s="16" t="str">
        <f t="shared" si="0"/>
        <v>Normal</v>
      </c>
    </row>
    <row r="62" spans="1:12" ht="15" thickBot="1" x14ac:dyDescent="0.4">
      <c r="A62" s="5">
        <v>1230</v>
      </c>
      <c r="B62" s="5" t="s">
        <v>59</v>
      </c>
      <c r="C62" s="5" t="s">
        <v>33</v>
      </c>
      <c r="D62" s="5" t="s">
        <v>34</v>
      </c>
      <c r="E62" s="5" t="s">
        <v>60</v>
      </c>
      <c r="F62" s="5">
        <v>7</v>
      </c>
      <c r="G62" s="5">
        <v>2932</v>
      </c>
      <c r="H62" s="5">
        <v>7</v>
      </c>
      <c r="I62" s="6">
        <v>46050</v>
      </c>
      <c r="J62" s="6">
        <v>46059</v>
      </c>
      <c r="K62" s="10" t="s">
        <v>24</v>
      </c>
      <c r="L62" s="16" t="str">
        <f t="shared" si="0"/>
        <v>Normal</v>
      </c>
    </row>
    <row r="63" spans="1:12" ht="15" thickBot="1" x14ac:dyDescent="0.4">
      <c r="A63" s="5">
        <v>1173</v>
      </c>
      <c r="B63" s="5" t="s">
        <v>40</v>
      </c>
      <c r="C63" s="5" t="s">
        <v>17</v>
      </c>
      <c r="D63" s="5" t="s">
        <v>13</v>
      </c>
      <c r="E63" s="5" t="s">
        <v>37</v>
      </c>
      <c r="F63" s="5">
        <v>15</v>
      </c>
      <c r="G63" s="5">
        <v>214</v>
      </c>
      <c r="H63" s="5">
        <v>10</v>
      </c>
      <c r="I63" s="6">
        <v>46050</v>
      </c>
      <c r="J63" s="6">
        <v>46060</v>
      </c>
      <c r="K63" s="10" t="s">
        <v>51</v>
      </c>
      <c r="L63" s="16" t="str">
        <f t="shared" si="0"/>
        <v>Priority</v>
      </c>
    </row>
    <row r="64" spans="1:12" ht="15" thickBot="1" x14ac:dyDescent="0.4">
      <c r="A64" s="5">
        <v>1250</v>
      </c>
      <c r="B64" s="5" t="s">
        <v>11</v>
      </c>
      <c r="C64" s="5" t="s">
        <v>17</v>
      </c>
      <c r="D64" s="5" t="s">
        <v>34</v>
      </c>
      <c r="E64" s="5" t="s">
        <v>45</v>
      </c>
      <c r="F64" s="5">
        <v>2</v>
      </c>
      <c r="G64" s="5">
        <v>65953</v>
      </c>
      <c r="H64" s="5">
        <v>7</v>
      </c>
      <c r="I64" s="6">
        <v>46051</v>
      </c>
      <c r="J64" s="6">
        <v>46053</v>
      </c>
      <c r="K64" s="10" t="s">
        <v>29</v>
      </c>
      <c r="L64" s="16" t="str">
        <f t="shared" si="0"/>
        <v>Normal</v>
      </c>
    </row>
    <row r="65" spans="1:12" ht="15" thickBot="1" x14ac:dyDescent="0.4">
      <c r="A65" s="5">
        <v>1375</v>
      </c>
      <c r="B65" s="5" t="s">
        <v>46</v>
      </c>
      <c r="C65" s="5" t="s">
        <v>43</v>
      </c>
      <c r="D65" s="5" t="s">
        <v>34</v>
      </c>
      <c r="E65" s="5" t="s">
        <v>45</v>
      </c>
      <c r="F65" s="5">
        <v>20</v>
      </c>
      <c r="G65" s="5">
        <v>56766</v>
      </c>
      <c r="H65" s="5">
        <v>0</v>
      </c>
      <c r="I65" s="6">
        <v>46052</v>
      </c>
      <c r="J65" s="6">
        <v>46061</v>
      </c>
      <c r="K65" s="10" t="s">
        <v>24</v>
      </c>
      <c r="L65" s="16" t="str">
        <f t="shared" si="0"/>
        <v>Priority</v>
      </c>
    </row>
    <row r="66" spans="1:12" ht="15" thickBot="1" x14ac:dyDescent="0.4">
      <c r="A66" s="5">
        <v>1190</v>
      </c>
      <c r="B66" s="5" t="s">
        <v>57</v>
      </c>
      <c r="C66" s="5" t="s">
        <v>17</v>
      </c>
      <c r="D66" s="5" t="s">
        <v>18</v>
      </c>
      <c r="E66" s="5" t="s">
        <v>28</v>
      </c>
      <c r="F66" s="5">
        <v>4</v>
      </c>
      <c r="G66" s="5">
        <v>10154</v>
      </c>
      <c r="H66" s="5">
        <v>7</v>
      </c>
      <c r="I66" s="6">
        <v>46052</v>
      </c>
      <c r="J66" s="6">
        <v>46062</v>
      </c>
      <c r="K66" s="10" t="s">
        <v>20</v>
      </c>
      <c r="L66" s="16" t="str">
        <f t="shared" si="0"/>
        <v>Normal</v>
      </c>
    </row>
    <row r="67" spans="1:12" ht="15" thickBot="1" x14ac:dyDescent="0.4">
      <c r="A67" s="5">
        <v>1034</v>
      </c>
      <c r="B67" s="5" t="s">
        <v>55</v>
      </c>
      <c r="C67" s="5" t="s">
        <v>33</v>
      </c>
      <c r="D67" s="5" t="s">
        <v>18</v>
      </c>
      <c r="E67" s="5" t="s">
        <v>28</v>
      </c>
      <c r="F67" s="5">
        <v>17</v>
      </c>
      <c r="G67" s="5">
        <v>5104</v>
      </c>
      <c r="H67" s="5">
        <v>12</v>
      </c>
      <c r="I67" s="6">
        <v>46052</v>
      </c>
      <c r="J67" s="6">
        <v>46061</v>
      </c>
      <c r="K67" s="10" t="s">
        <v>51</v>
      </c>
      <c r="L67" s="16" t="str">
        <f t="shared" ref="L67:L130" si="1">IF(OR(C67="Mumbai",F67&gt;=15),"Priority","Normal")</f>
        <v>Priority</v>
      </c>
    </row>
    <row r="68" spans="1:12" ht="15" thickBot="1" x14ac:dyDescent="0.4">
      <c r="A68" s="5">
        <v>1210</v>
      </c>
      <c r="B68" s="5" t="s">
        <v>30</v>
      </c>
      <c r="C68" s="5" t="s">
        <v>31</v>
      </c>
      <c r="D68" s="5" t="s">
        <v>13</v>
      </c>
      <c r="E68" s="5" t="s">
        <v>53</v>
      </c>
      <c r="F68" s="5">
        <v>10</v>
      </c>
      <c r="G68" s="5">
        <v>349</v>
      </c>
      <c r="H68" s="5">
        <v>0</v>
      </c>
      <c r="I68" s="6">
        <v>46052</v>
      </c>
      <c r="J68" s="6">
        <v>46060</v>
      </c>
      <c r="K68" s="10" t="s">
        <v>29</v>
      </c>
      <c r="L68" s="16" t="str">
        <f t="shared" si="1"/>
        <v>Normal</v>
      </c>
    </row>
    <row r="69" spans="1:12" ht="15" thickBot="1" x14ac:dyDescent="0.4">
      <c r="A69" s="5">
        <v>1149</v>
      </c>
      <c r="B69" s="5" t="s">
        <v>26</v>
      </c>
      <c r="C69" s="5" t="s">
        <v>38</v>
      </c>
      <c r="D69" s="5" t="s">
        <v>34</v>
      </c>
      <c r="E69" s="5" t="s">
        <v>35</v>
      </c>
      <c r="F69" s="5">
        <v>10</v>
      </c>
      <c r="G69" s="5">
        <v>22853</v>
      </c>
      <c r="H69" s="5">
        <v>7</v>
      </c>
      <c r="I69" s="6">
        <v>46053</v>
      </c>
      <c r="J69" s="6">
        <v>46054</v>
      </c>
      <c r="K69" s="10" t="s">
        <v>29</v>
      </c>
      <c r="L69" s="16" t="str">
        <f t="shared" si="1"/>
        <v>Priority</v>
      </c>
    </row>
    <row r="70" spans="1:12" ht="15" thickBot="1" x14ac:dyDescent="0.4">
      <c r="A70" s="5">
        <v>1324</v>
      </c>
      <c r="B70" s="5" t="s">
        <v>32</v>
      </c>
      <c r="C70" s="5" t="s">
        <v>22</v>
      </c>
      <c r="D70" s="5" t="s">
        <v>18</v>
      </c>
      <c r="E70" s="5" t="s">
        <v>19</v>
      </c>
      <c r="F70" s="5">
        <v>1</v>
      </c>
      <c r="G70" s="5">
        <v>4286</v>
      </c>
      <c r="H70" s="5">
        <v>15</v>
      </c>
      <c r="I70" s="6">
        <v>46053</v>
      </c>
      <c r="J70" s="6">
        <v>46056</v>
      </c>
      <c r="K70" s="10" t="s">
        <v>20</v>
      </c>
      <c r="L70" s="16" t="str">
        <f t="shared" si="1"/>
        <v>Normal</v>
      </c>
    </row>
    <row r="71" spans="1:12" ht="15" thickBot="1" x14ac:dyDescent="0.4">
      <c r="A71" s="5">
        <v>1096</v>
      </c>
      <c r="B71" s="5" t="s">
        <v>49</v>
      </c>
      <c r="C71" s="5" t="s">
        <v>17</v>
      </c>
      <c r="D71" s="5" t="s">
        <v>18</v>
      </c>
      <c r="E71" s="5" t="s">
        <v>23</v>
      </c>
      <c r="F71" s="5">
        <v>15</v>
      </c>
      <c r="G71" s="5">
        <v>14724</v>
      </c>
      <c r="H71" s="5">
        <v>15</v>
      </c>
      <c r="I71" s="6">
        <v>46054</v>
      </c>
      <c r="J71" s="6">
        <v>46061</v>
      </c>
      <c r="K71" s="10" t="s">
        <v>20</v>
      </c>
      <c r="L71" s="16" t="str">
        <f t="shared" si="1"/>
        <v>Priority</v>
      </c>
    </row>
    <row r="72" spans="1:12" ht="15" thickBot="1" x14ac:dyDescent="0.4">
      <c r="A72" s="5">
        <v>1006</v>
      </c>
      <c r="B72" s="5" t="s">
        <v>27</v>
      </c>
      <c r="C72" s="5" t="s">
        <v>25</v>
      </c>
      <c r="D72" s="5" t="s">
        <v>18</v>
      </c>
      <c r="E72" s="5" t="s">
        <v>28</v>
      </c>
      <c r="F72" s="5">
        <v>3</v>
      </c>
      <c r="G72" s="5">
        <v>2714</v>
      </c>
      <c r="H72" s="5">
        <v>5</v>
      </c>
      <c r="I72" s="6">
        <v>46055</v>
      </c>
      <c r="J72" s="6">
        <v>46062</v>
      </c>
      <c r="K72" s="10" t="s">
        <v>29</v>
      </c>
      <c r="L72" s="16" t="str">
        <f t="shared" si="1"/>
        <v>Normal</v>
      </c>
    </row>
    <row r="73" spans="1:12" ht="15" thickBot="1" x14ac:dyDescent="0.4">
      <c r="A73" s="5">
        <v>1285</v>
      </c>
      <c r="B73" s="5" t="s">
        <v>32</v>
      </c>
      <c r="C73" s="5" t="s">
        <v>38</v>
      </c>
      <c r="D73" s="5" t="s">
        <v>13</v>
      </c>
      <c r="E73" s="5" t="s">
        <v>36</v>
      </c>
      <c r="F73" s="5">
        <v>7</v>
      </c>
      <c r="G73" s="5">
        <v>439</v>
      </c>
      <c r="H73" s="5">
        <v>15</v>
      </c>
      <c r="I73" s="6">
        <v>46055</v>
      </c>
      <c r="J73" s="6">
        <v>46058</v>
      </c>
      <c r="K73" s="10" t="s">
        <v>20</v>
      </c>
      <c r="L73" s="16" t="str">
        <f t="shared" si="1"/>
        <v>Priority</v>
      </c>
    </row>
    <row r="74" spans="1:12" ht="15" thickBot="1" x14ac:dyDescent="0.4">
      <c r="A74" s="5">
        <v>1281</v>
      </c>
      <c r="B74" s="5" t="s">
        <v>55</v>
      </c>
      <c r="C74" s="5" t="s">
        <v>17</v>
      </c>
      <c r="D74" s="5" t="s">
        <v>13</v>
      </c>
      <c r="E74" s="5" t="s">
        <v>50</v>
      </c>
      <c r="F74" s="5">
        <v>6</v>
      </c>
      <c r="G74" s="5">
        <v>253</v>
      </c>
      <c r="H74" s="5">
        <v>0</v>
      </c>
      <c r="I74" s="6">
        <v>46055</v>
      </c>
      <c r="J74" s="6">
        <v>46063</v>
      </c>
      <c r="K74" s="10" t="s">
        <v>24</v>
      </c>
      <c r="L74" s="16" t="str">
        <f t="shared" si="1"/>
        <v>Normal</v>
      </c>
    </row>
    <row r="75" spans="1:12" ht="15" thickBot="1" x14ac:dyDescent="0.4">
      <c r="A75" s="5">
        <v>1136</v>
      </c>
      <c r="B75" s="5" t="s">
        <v>27</v>
      </c>
      <c r="C75" s="5" t="s">
        <v>43</v>
      </c>
      <c r="D75" s="5" t="s">
        <v>18</v>
      </c>
      <c r="E75" s="5" t="s">
        <v>56</v>
      </c>
      <c r="F75" s="5">
        <v>19</v>
      </c>
      <c r="G75" s="5">
        <v>14528</v>
      </c>
      <c r="H75" s="5">
        <v>12</v>
      </c>
      <c r="I75" s="6">
        <v>46056</v>
      </c>
      <c r="J75" s="6">
        <v>46062</v>
      </c>
      <c r="K75" s="10" t="s">
        <v>24</v>
      </c>
      <c r="L75" s="16" t="str">
        <f t="shared" si="1"/>
        <v>Priority</v>
      </c>
    </row>
    <row r="76" spans="1:12" ht="15" thickBot="1" x14ac:dyDescent="0.4">
      <c r="A76" s="5">
        <v>1394</v>
      </c>
      <c r="B76" s="5" t="s">
        <v>54</v>
      </c>
      <c r="C76" s="5" t="s">
        <v>12</v>
      </c>
      <c r="D76" s="5" t="s">
        <v>13</v>
      </c>
      <c r="E76" s="5" t="s">
        <v>14</v>
      </c>
      <c r="F76" s="5">
        <v>10</v>
      </c>
      <c r="G76" s="5">
        <v>138</v>
      </c>
      <c r="H76" s="5">
        <v>2</v>
      </c>
      <c r="I76" s="6">
        <v>46056</v>
      </c>
      <c r="J76" s="6">
        <v>46057</v>
      </c>
      <c r="K76" s="10" t="s">
        <v>15</v>
      </c>
      <c r="L76" s="16" t="str">
        <f t="shared" si="1"/>
        <v>Normal</v>
      </c>
    </row>
    <row r="77" spans="1:12" ht="15" thickBot="1" x14ac:dyDescent="0.4">
      <c r="A77" s="5">
        <v>1105</v>
      </c>
      <c r="B77" s="5" t="s">
        <v>59</v>
      </c>
      <c r="C77" s="5" t="s">
        <v>25</v>
      </c>
      <c r="D77" s="5" t="s">
        <v>13</v>
      </c>
      <c r="E77" s="5" t="s">
        <v>50</v>
      </c>
      <c r="F77" s="5">
        <v>2</v>
      </c>
      <c r="G77" s="5">
        <v>493</v>
      </c>
      <c r="H77" s="5">
        <v>12</v>
      </c>
      <c r="I77" s="6">
        <v>46057</v>
      </c>
      <c r="J77" s="6">
        <v>46066</v>
      </c>
      <c r="K77" s="10" t="s">
        <v>51</v>
      </c>
      <c r="L77" s="16" t="str">
        <f t="shared" si="1"/>
        <v>Normal</v>
      </c>
    </row>
    <row r="78" spans="1:12" ht="15" thickBot="1" x14ac:dyDescent="0.4">
      <c r="A78" s="5">
        <v>1256</v>
      </c>
      <c r="B78" s="5" t="s">
        <v>48</v>
      </c>
      <c r="C78" s="5" t="s">
        <v>31</v>
      </c>
      <c r="D78" s="5" t="s">
        <v>13</v>
      </c>
      <c r="E78" s="5" t="s">
        <v>50</v>
      </c>
      <c r="F78" s="5">
        <v>19</v>
      </c>
      <c r="G78" s="5">
        <v>406</v>
      </c>
      <c r="H78" s="5">
        <v>7</v>
      </c>
      <c r="I78" s="6">
        <v>46057</v>
      </c>
      <c r="J78" s="6">
        <v>46061</v>
      </c>
      <c r="K78" s="10" t="s">
        <v>15</v>
      </c>
      <c r="L78" s="16" t="str">
        <f t="shared" si="1"/>
        <v>Priority</v>
      </c>
    </row>
    <row r="79" spans="1:12" ht="15" thickBot="1" x14ac:dyDescent="0.4">
      <c r="A79" s="5">
        <v>1081</v>
      </c>
      <c r="B79" s="5" t="s">
        <v>47</v>
      </c>
      <c r="C79" s="5" t="s">
        <v>12</v>
      </c>
      <c r="D79" s="5" t="s">
        <v>34</v>
      </c>
      <c r="E79" s="5" t="s">
        <v>35</v>
      </c>
      <c r="F79" s="5">
        <v>15</v>
      </c>
      <c r="G79" s="5">
        <v>59912</v>
      </c>
      <c r="H79" s="5">
        <v>7</v>
      </c>
      <c r="I79" s="6">
        <v>46058</v>
      </c>
      <c r="J79" s="6">
        <v>46060</v>
      </c>
      <c r="K79" s="10" t="s">
        <v>51</v>
      </c>
      <c r="L79" s="16" t="str">
        <f t="shared" si="1"/>
        <v>Priority</v>
      </c>
    </row>
    <row r="80" spans="1:12" ht="15" thickBot="1" x14ac:dyDescent="0.4">
      <c r="A80" s="5">
        <v>1067</v>
      </c>
      <c r="B80" s="5" t="s">
        <v>32</v>
      </c>
      <c r="C80" s="5" t="s">
        <v>43</v>
      </c>
      <c r="D80" s="5" t="s">
        <v>18</v>
      </c>
      <c r="E80" s="5" t="s">
        <v>56</v>
      </c>
      <c r="F80" s="5">
        <v>14</v>
      </c>
      <c r="G80" s="5">
        <v>10869</v>
      </c>
      <c r="H80" s="5">
        <v>0</v>
      </c>
      <c r="I80" s="6">
        <v>46058</v>
      </c>
      <c r="J80" s="6">
        <v>46062</v>
      </c>
      <c r="K80" s="10" t="s">
        <v>29</v>
      </c>
      <c r="L80" s="16" t="str">
        <f t="shared" si="1"/>
        <v>Normal</v>
      </c>
    </row>
    <row r="81" spans="1:12" ht="15" thickBot="1" x14ac:dyDescent="0.4">
      <c r="A81" s="5">
        <v>1099</v>
      </c>
      <c r="B81" s="5" t="s">
        <v>26</v>
      </c>
      <c r="C81" s="5" t="s">
        <v>31</v>
      </c>
      <c r="D81" s="5" t="s">
        <v>18</v>
      </c>
      <c r="E81" s="5" t="s">
        <v>19</v>
      </c>
      <c r="F81" s="5">
        <v>1</v>
      </c>
      <c r="G81" s="5">
        <v>5165</v>
      </c>
      <c r="H81" s="5">
        <v>2</v>
      </c>
      <c r="I81" s="6">
        <v>46058</v>
      </c>
      <c r="J81" s="6">
        <v>46060</v>
      </c>
      <c r="K81" s="10" t="s">
        <v>15</v>
      </c>
      <c r="L81" s="16" t="str">
        <f t="shared" si="1"/>
        <v>Normal</v>
      </c>
    </row>
    <row r="82" spans="1:12" ht="15" thickBot="1" x14ac:dyDescent="0.4">
      <c r="A82" s="5">
        <v>1061</v>
      </c>
      <c r="B82" s="5" t="s">
        <v>57</v>
      </c>
      <c r="C82" s="5" t="s">
        <v>12</v>
      </c>
      <c r="D82" s="5" t="s">
        <v>34</v>
      </c>
      <c r="E82" s="5" t="s">
        <v>41</v>
      </c>
      <c r="F82" s="5">
        <v>16</v>
      </c>
      <c r="G82" s="5">
        <v>59084</v>
      </c>
      <c r="H82" s="5">
        <v>0</v>
      </c>
      <c r="I82" s="6">
        <v>46060</v>
      </c>
      <c r="J82" s="6">
        <v>46069</v>
      </c>
      <c r="K82" s="10" t="s">
        <v>20</v>
      </c>
      <c r="L82" s="16" t="str">
        <f t="shared" si="1"/>
        <v>Priority</v>
      </c>
    </row>
    <row r="83" spans="1:12" ht="15" thickBot="1" x14ac:dyDescent="0.4">
      <c r="A83" s="5">
        <v>1232</v>
      </c>
      <c r="B83" s="5" t="s">
        <v>21</v>
      </c>
      <c r="C83" s="5" t="s">
        <v>12</v>
      </c>
      <c r="D83" s="5" t="s">
        <v>34</v>
      </c>
      <c r="E83" s="5" t="s">
        <v>60</v>
      </c>
      <c r="F83" s="5">
        <v>3</v>
      </c>
      <c r="G83" s="5">
        <v>13272</v>
      </c>
      <c r="H83" s="5">
        <v>2</v>
      </c>
      <c r="I83" s="6">
        <v>46060</v>
      </c>
      <c r="J83" s="6">
        <v>46065</v>
      </c>
      <c r="K83" s="10" t="s">
        <v>15</v>
      </c>
      <c r="L83" s="16" t="str">
        <f t="shared" si="1"/>
        <v>Normal</v>
      </c>
    </row>
    <row r="84" spans="1:12" ht="15" thickBot="1" x14ac:dyDescent="0.4">
      <c r="A84" s="5">
        <v>1104</v>
      </c>
      <c r="B84" s="5" t="s">
        <v>16</v>
      </c>
      <c r="C84" s="5" t="s">
        <v>43</v>
      </c>
      <c r="D84" s="5" t="s">
        <v>18</v>
      </c>
      <c r="E84" s="5" t="s">
        <v>19</v>
      </c>
      <c r="F84" s="5">
        <v>10</v>
      </c>
      <c r="G84" s="5">
        <v>12848</v>
      </c>
      <c r="H84" s="5">
        <v>15</v>
      </c>
      <c r="I84" s="6">
        <v>46060</v>
      </c>
      <c r="J84" s="6">
        <v>46064</v>
      </c>
      <c r="K84" s="10" t="s">
        <v>29</v>
      </c>
      <c r="L84" s="16" t="str">
        <f t="shared" si="1"/>
        <v>Normal</v>
      </c>
    </row>
    <row r="85" spans="1:12" ht="15" thickBot="1" x14ac:dyDescent="0.4">
      <c r="A85" s="5">
        <v>1140</v>
      </c>
      <c r="B85" s="5" t="s">
        <v>57</v>
      </c>
      <c r="C85" s="5" t="s">
        <v>38</v>
      </c>
      <c r="D85" s="5" t="s">
        <v>34</v>
      </c>
      <c r="E85" s="5" t="s">
        <v>41</v>
      </c>
      <c r="F85" s="5">
        <v>5</v>
      </c>
      <c r="G85" s="5">
        <v>68012</v>
      </c>
      <c r="H85" s="5">
        <v>5</v>
      </c>
      <c r="I85" s="6">
        <v>46061</v>
      </c>
      <c r="J85" s="6">
        <v>46065</v>
      </c>
      <c r="K85" s="10" t="s">
        <v>15</v>
      </c>
      <c r="L85" s="16" t="str">
        <f t="shared" si="1"/>
        <v>Priority</v>
      </c>
    </row>
    <row r="86" spans="1:12" ht="15" thickBot="1" x14ac:dyDescent="0.4">
      <c r="A86" s="5">
        <v>1120</v>
      </c>
      <c r="B86" s="5" t="s">
        <v>32</v>
      </c>
      <c r="C86" s="5" t="s">
        <v>38</v>
      </c>
      <c r="D86" s="5" t="s">
        <v>13</v>
      </c>
      <c r="E86" s="5" t="s">
        <v>36</v>
      </c>
      <c r="F86" s="5">
        <v>10</v>
      </c>
      <c r="G86" s="5">
        <v>438</v>
      </c>
      <c r="H86" s="5">
        <v>10</v>
      </c>
      <c r="I86" s="6">
        <v>46061</v>
      </c>
      <c r="J86" s="6">
        <v>46065</v>
      </c>
      <c r="K86" s="10" t="s">
        <v>51</v>
      </c>
      <c r="L86" s="16" t="str">
        <f t="shared" si="1"/>
        <v>Priority</v>
      </c>
    </row>
    <row r="87" spans="1:12" ht="15" thickBot="1" x14ac:dyDescent="0.4">
      <c r="A87" s="5">
        <v>1395</v>
      </c>
      <c r="B87" s="5" t="s">
        <v>54</v>
      </c>
      <c r="C87" s="5" t="s">
        <v>33</v>
      </c>
      <c r="D87" s="5" t="s">
        <v>18</v>
      </c>
      <c r="E87" s="5" t="s">
        <v>44</v>
      </c>
      <c r="F87" s="5">
        <v>18</v>
      </c>
      <c r="G87" s="5">
        <v>10402</v>
      </c>
      <c r="H87" s="5">
        <v>15</v>
      </c>
      <c r="I87" s="6">
        <v>46062</v>
      </c>
      <c r="J87" s="6">
        <v>46067</v>
      </c>
      <c r="K87" s="10" t="s">
        <v>29</v>
      </c>
      <c r="L87" s="16" t="str">
        <f t="shared" si="1"/>
        <v>Priority</v>
      </c>
    </row>
    <row r="88" spans="1:12" ht="15" thickBot="1" x14ac:dyDescent="0.4">
      <c r="A88" s="5">
        <v>1152</v>
      </c>
      <c r="B88" s="5" t="s">
        <v>27</v>
      </c>
      <c r="C88" s="5" t="s">
        <v>31</v>
      </c>
      <c r="D88" s="5" t="s">
        <v>34</v>
      </c>
      <c r="E88" s="5" t="s">
        <v>61</v>
      </c>
      <c r="F88" s="5">
        <v>14</v>
      </c>
      <c r="G88" s="5">
        <v>8150</v>
      </c>
      <c r="H88" s="5">
        <v>10</v>
      </c>
      <c r="I88" s="6">
        <v>46062</v>
      </c>
      <c r="J88" s="6">
        <v>46070</v>
      </c>
      <c r="K88" s="10" t="s">
        <v>15</v>
      </c>
      <c r="L88" s="16" t="str">
        <f t="shared" si="1"/>
        <v>Normal</v>
      </c>
    </row>
    <row r="89" spans="1:12" ht="15" thickBot="1" x14ac:dyDescent="0.4">
      <c r="A89" s="5">
        <v>1369</v>
      </c>
      <c r="B89" s="5" t="s">
        <v>57</v>
      </c>
      <c r="C89" s="5" t="s">
        <v>25</v>
      </c>
      <c r="D89" s="5" t="s">
        <v>18</v>
      </c>
      <c r="E89" s="5" t="s">
        <v>19</v>
      </c>
      <c r="F89" s="5">
        <v>19</v>
      </c>
      <c r="G89" s="5">
        <v>5840</v>
      </c>
      <c r="H89" s="5">
        <v>5</v>
      </c>
      <c r="I89" s="6">
        <v>46062</v>
      </c>
      <c r="J89" s="6">
        <v>46067</v>
      </c>
      <c r="K89" s="10" t="s">
        <v>15</v>
      </c>
      <c r="L89" s="16" t="str">
        <f t="shared" si="1"/>
        <v>Priority</v>
      </c>
    </row>
    <row r="90" spans="1:12" ht="15" thickBot="1" x14ac:dyDescent="0.4">
      <c r="A90" s="5">
        <v>1010</v>
      </c>
      <c r="B90" s="5" t="s">
        <v>11</v>
      </c>
      <c r="C90" s="5" t="s">
        <v>17</v>
      </c>
      <c r="D90" s="5" t="s">
        <v>13</v>
      </c>
      <c r="E90" s="5" t="s">
        <v>36</v>
      </c>
      <c r="F90" s="5">
        <v>14</v>
      </c>
      <c r="G90" s="5">
        <v>470</v>
      </c>
      <c r="H90" s="5">
        <v>5</v>
      </c>
      <c r="I90" s="6">
        <v>46062</v>
      </c>
      <c r="J90" s="6">
        <v>46068</v>
      </c>
      <c r="K90" s="10" t="s">
        <v>15</v>
      </c>
      <c r="L90" s="16" t="str">
        <f t="shared" si="1"/>
        <v>Normal</v>
      </c>
    </row>
    <row r="91" spans="1:12" ht="15" thickBot="1" x14ac:dyDescent="0.4">
      <c r="A91" s="5">
        <v>1374</v>
      </c>
      <c r="B91" s="5" t="s">
        <v>57</v>
      </c>
      <c r="C91" s="5" t="s">
        <v>33</v>
      </c>
      <c r="D91" s="5" t="s">
        <v>34</v>
      </c>
      <c r="E91" s="5" t="s">
        <v>35</v>
      </c>
      <c r="F91" s="5">
        <v>12</v>
      </c>
      <c r="G91" s="5">
        <v>66052</v>
      </c>
      <c r="H91" s="5">
        <v>2</v>
      </c>
      <c r="I91" s="6">
        <v>46063</v>
      </c>
      <c r="J91" s="6">
        <v>46066</v>
      </c>
      <c r="K91" s="10" t="s">
        <v>51</v>
      </c>
      <c r="L91" s="16" t="str">
        <f t="shared" si="1"/>
        <v>Normal</v>
      </c>
    </row>
    <row r="92" spans="1:12" ht="15" thickBot="1" x14ac:dyDescent="0.4">
      <c r="A92" s="5">
        <v>1296</v>
      </c>
      <c r="B92" s="5" t="s">
        <v>26</v>
      </c>
      <c r="C92" s="5" t="s">
        <v>38</v>
      </c>
      <c r="D92" s="5" t="s">
        <v>13</v>
      </c>
      <c r="E92" s="5" t="s">
        <v>50</v>
      </c>
      <c r="F92" s="5">
        <v>6</v>
      </c>
      <c r="G92" s="5">
        <v>201</v>
      </c>
      <c r="H92" s="5">
        <v>0</v>
      </c>
      <c r="I92" s="6">
        <v>46063</v>
      </c>
      <c r="J92" s="6">
        <v>46072</v>
      </c>
      <c r="K92" s="10" t="s">
        <v>51</v>
      </c>
      <c r="L92" s="16" t="str">
        <f t="shared" si="1"/>
        <v>Priority</v>
      </c>
    </row>
    <row r="93" spans="1:12" ht="15" thickBot="1" x14ac:dyDescent="0.4">
      <c r="A93" s="5">
        <v>1142</v>
      </c>
      <c r="B93" s="5" t="s">
        <v>40</v>
      </c>
      <c r="C93" s="5" t="s">
        <v>25</v>
      </c>
      <c r="D93" s="5" t="s">
        <v>34</v>
      </c>
      <c r="E93" s="5" t="s">
        <v>60</v>
      </c>
      <c r="F93" s="5">
        <v>9</v>
      </c>
      <c r="G93" s="5">
        <v>59788</v>
      </c>
      <c r="H93" s="5">
        <v>7</v>
      </c>
      <c r="I93" s="6">
        <v>46064</v>
      </c>
      <c r="J93" s="6">
        <v>46071</v>
      </c>
      <c r="K93" s="10" t="s">
        <v>29</v>
      </c>
      <c r="L93" s="16" t="str">
        <f t="shared" si="1"/>
        <v>Normal</v>
      </c>
    </row>
    <row r="94" spans="1:12" ht="15" thickBot="1" x14ac:dyDescent="0.4">
      <c r="A94" s="5">
        <v>1053</v>
      </c>
      <c r="B94" s="5" t="s">
        <v>16</v>
      </c>
      <c r="C94" s="5" t="s">
        <v>33</v>
      </c>
      <c r="D94" s="5" t="s">
        <v>18</v>
      </c>
      <c r="E94" s="5" t="s">
        <v>28</v>
      </c>
      <c r="F94" s="5">
        <v>1</v>
      </c>
      <c r="G94" s="5">
        <v>9749</v>
      </c>
      <c r="H94" s="5">
        <v>15</v>
      </c>
      <c r="I94" s="6">
        <v>46064</v>
      </c>
      <c r="J94" s="6">
        <v>46070</v>
      </c>
      <c r="K94" s="10" t="s">
        <v>24</v>
      </c>
      <c r="L94" s="16" t="str">
        <f t="shared" si="1"/>
        <v>Normal</v>
      </c>
    </row>
    <row r="95" spans="1:12" ht="15" thickBot="1" x14ac:dyDescent="0.4">
      <c r="A95" s="5">
        <v>1089</v>
      </c>
      <c r="B95" s="5" t="s">
        <v>46</v>
      </c>
      <c r="C95" s="5" t="s">
        <v>12</v>
      </c>
      <c r="D95" s="5" t="s">
        <v>34</v>
      </c>
      <c r="E95" s="5" t="s">
        <v>35</v>
      </c>
      <c r="F95" s="5">
        <v>10</v>
      </c>
      <c r="G95" s="5">
        <v>17041</v>
      </c>
      <c r="H95" s="5">
        <v>2</v>
      </c>
      <c r="I95" s="6">
        <v>46066</v>
      </c>
      <c r="J95" s="6">
        <v>46071</v>
      </c>
      <c r="K95" s="10" t="s">
        <v>24</v>
      </c>
      <c r="L95" s="16" t="str">
        <f t="shared" si="1"/>
        <v>Normal</v>
      </c>
    </row>
    <row r="96" spans="1:12" ht="15" thickBot="1" x14ac:dyDescent="0.4">
      <c r="A96" s="5">
        <v>1174</v>
      </c>
      <c r="B96" s="5" t="s">
        <v>58</v>
      </c>
      <c r="C96" s="5" t="s">
        <v>38</v>
      </c>
      <c r="D96" s="5" t="s">
        <v>13</v>
      </c>
      <c r="E96" s="5" t="s">
        <v>14</v>
      </c>
      <c r="F96" s="5">
        <v>13</v>
      </c>
      <c r="G96" s="5">
        <v>155</v>
      </c>
      <c r="H96" s="5">
        <v>2</v>
      </c>
      <c r="I96" s="6">
        <v>46066</v>
      </c>
      <c r="J96" s="6">
        <v>46069</v>
      </c>
      <c r="K96" s="10" t="s">
        <v>24</v>
      </c>
      <c r="L96" s="16" t="str">
        <f t="shared" si="1"/>
        <v>Priority</v>
      </c>
    </row>
    <row r="97" spans="1:12" ht="15" thickBot="1" x14ac:dyDescent="0.4">
      <c r="A97" s="5">
        <v>1114</v>
      </c>
      <c r="B97" s="5" t="s">
        <v>16</v>
      </c>
      <c r="C97" s="5" t="s">
        <v>25</v>
      </c>
      <c r="D97" s="5" t="s">
        <v>13</v>
      </c>
      <c r="E97" s="5" t="s">
        <v>50</v>
      </c>
      <c r="F97" s="5">
        <v>13</v>
      </c>
      <c r="G97" s="5">
        <v>32</v>
      </c>
      <c r="H97" s="5">
        <v>15</v>
      </c>
      <c r="I97" s="6">
        <v>46066</v>
      </c>
      <c r="J97" s="6">
        <v>46069</v>
      </c>
      <c r="K97" s="10" t="s">
        <v>15</v>
      </c>
      <c r="L97" s="16" t="str">
        <f t="shared" si="1"/>
        <v>Normal</v>
      </c>
    </row>
    <row r="98" spans="1:12" ht="15" thickBot="1" x14ac:dyDescent="0.4">
      <c r="A98" s="5">
        <v>1057</v>
      </c>
      <c r="B98" s="5" t="s">
        <v>59</v>
      </c>
      <c r="C98" s="5" t="s">
        <v>22</v>
      </c>
      <c r="D98" s="5" t="s">
        <v>18</v>
      </c>
      <c r="E98" s="5" t="s">
        <v>28</v>
      </c>
      <c r="F98" s="5">
        <v>2</v>
      </c>
      <c r="G98" s="5">
        <v>9531</v>
      </c>
      <c r="H98" s="5">
        <v>15</v>
      </c>
      <c r="I98" s="6">
        <v>46067</v>
      </c>
      <c r="J98" s="6">
        <v>46076</v>
      </c>
      <c r="K98" s="10" t="s">
        <v>51</v>
      </c>
      <c r="L98" s="16" t="str">
        <f t="shared" si="1"/>
        <v>Normal</v>
      </c>
    </row>
    <row r="99" spans="1:12" ht="15" thickBot="1" x14ac:dyDescent="0.4">
      <c r="A99" s="5">
        <v>1088</v>
      </c>
      <c r="B99" s="5" t="s">
        <v>40</v>
      </c>
      <c r="C99" s="5" t="s">
        <v>33</v>
      </c>
      <c r="D99" s="5" t="s">
        <v>34</v>
      </c>
      <c r="E99" s="5" t="s">
        <v>41</v>
      </c>
      <c r="F99" s="5">
        <v>20</v>
      </c>
      <c r="G99" s="5">
        <v>41165</v>
      </c>
      <c r="H99" s="5">
        <v>0</v>
      </c>
      <c r="I99" s="6">
        <v>46068</v>
      </c>
      <c r="J99" s="6">
        <v>46069</v>
      </c>
      <c r="K99" s="10" t="s">
        <v>20</v>
      </c>
      <c r="L99" s="16" t="str">
        <f t="shared" si="1"/>
        <v>Priority</v>
      </c>
    </row>
    <row r="100" spans="1:12" ht="15" thickBot="1" x14ac:dyDescent="0.4">
      <c r="A100" s="5">
        <v>1243</v>
      </c>
      <c r="B100" s="5" t="s">
        <v>30</v>
      </c>
      <c r="C100" s="5" t="s">
        <v>31</v>
      </c>
      <c r="D100" s="5" t="s">
        <v>34</v>
      </c>
      <c r="E100" s="5" t="s">
        <v>41</v>
      </c>
      <c r="F100" s="5">
        <v>5</v>
      </c>
      <c r="G100" s="5">
        <v>11570</v>
      </c>
      <c r="H100" s="5">
        <v>15</v>
      </c>
      <c r="I100" s="6">
        <v>46069</v>
      </c>
      <c r="J100" s="6">
        <v>46077</v>
      </c>
      <c r="K100" s="10" t="s">
        <v>24</v>
      </c>
      <c r="L100" s="16" t="str">
        <f t="shared" si="1"/>
        <v>Normal</v>
      </c>
    </row>
    <row r="101" spans="1:12" ht="15" thickBot="1" x14ac:dyDescent="0.4">
      <c r="A101" s="5">
        <v>1153</v>
      </c>
      <c r="B101" s="5" t="s">
        <v>42</v>
      </c>
      <c r="C101" s="5" t="s">
        <v>25</v>
      </c>
      <c r="D101" s="5" t="s">
        <v>18</v>
      </c>
      <c r="E101" s="5" t="s">
        <v>23</v>
      </c>
      <c r="F101" s="5">
        <v>19</v>
      </c>
      <c r="G101" s="5">
        <v>10273</v>
      </c>
      <c r="H101" s="5">
        <v>12</v>
      </c>
      <c r="I101" s="6">
        <v>46069</v>
      </c>
      <c r="J101" s="6">
        <v>46072</v>
      </c>
      <c r="K101" s="10" t="s">
        <v>29</v>
      </c>
      <c r="L101" s="16" t="str">
        <f t="shared" si="1"/>
        <v>Priority</v>
      </c>
    </row>
    <row r="102" spans="1:12" ht="15" thickBot="1" x14ac:dyDescent="0.4">
      <c r="A102" s="5">
        <v>1365</v>
      </c>
      <c r="B102" s="5" t="s">
        <v>46</v>
      </c>
      <c r="C102" s="5" t="s">
        <v>33</v>
      </c>
      <c r="D102" s="5" t="s">
        <v>13</v>
      </c>
      <c r="E102" s="5" t="s">
        <v>50</v>
      </c>
      <c r="F102" s="5">
        <v>17</v>
      </c>
      <c r="G102" s="5">
        <v>119</v>
      </c>
      <c r="H102" s="5">
        <v>7</v>
      </c>
      <c r="I102" s="6">
        <v>46070</v>
      </c>
      <c r="J102" s="6">
        <v>46072</v>
      </c>
      <c r="K102" s="10" t="s">
        <v>20</v>
      </c>
      <c r="L102" s="16" t="str">
        <f t="shared" si="1"/>
        <v>Priority</v>
      </c>
    </row>
    <row r="103" spans="1:12" ht="15" thickBot="1" x14ac:dyDescent="0.4">
      <c r="A103" s="5">
        <v>1036</v>
      </c>
      <c r="B103" s="5" t="s">
        <v>11</v>
      </c>
      <c r="C103" s="5" t="s">
        <v>25</v>
      </c>
      <c r="D103" s="5" t="s">
        <v>13</v>
      </c>
      <c r="E103" s="5" t="s">
        <v>36</v>
      </c>
      <c r="F103" s="5">
        <v>20</v>
      </c>
      <c r="G103" s="5">
        <v>161</v>
      </c>
      <c r="H103" s="5">
        <v>7</v>
      </c>
      <c r="I103" s="6">
        <v>46071</v>
      </c>
      <c r="J103" s="6">
        <v>46077</v>
      </c>
      <c r="K103" s="10" t="s">
        <v>24</v>
      </c>
      <c r="L103" s="16" t="str">
        <f t="shared" si="1"/>
        <v>Priority</v>
      </c>
    </row>
    <row r="104" spans="1:12" ht="15" thickBot="1" x14ac:dyDescent="0.4">
      <c r="A104" s="5">
        <v>1371</v>
      </c>
      <c r="B104" s="5" t="s">
        <v>48</v>
      </c>
      <c r="C104" s="5" t="s">
        <v>38</v>
      </c>
      <c r="D104" s="5" t="s">
        <v>18</v>
      </c>
      <c r="E104" s="5" t="s">
        <v>19</v>
      </c>
      <c r="F104" s="5">
        <v>19</v>
      </c>
      <c r="G104" s="5">
        <v>1087</v>
      </c>
      <c r="H104" s="5">
        <v>15</v>
      </c>
      <c r="I104" s="6">
        <v>46072</v>
      </c>
      <c r="J104" s="6">
        <v>46082</v>
      </c>
      <c r="K104" s="10" t="s">
        <v>20</v>
      </c>
      <c r="L104" s="16" t="str">
        <f t="shared" si="1"/>
        <v>Priority</v>
      </c>
    </row>
    <row r="105" spans="1:12" ht="15" thickBot="1" x14ac:dyDescent="0.4">
      <c r="A105" s="5">
        <v>1323</v>
      </c>
      <c r="B105" s="5" t="s">
        <v>57</v>
      </c>
      <c r="C105" s="5" t="s">
        <v>38</v>
      </c>
      <c r="D105" s="5" t="s">
        <v>34</v>
      </c>
      <c r="E105" s="5" t="s">
        <v>61</v>
      </c>
      <c r="F105" s="5">
        <v>2</v>
      </c>
      <c r="G105" s="5">
        <v>32074</v>
      </c>
      <c r="H105" s="5">
        <v>10</v>
      </c>
      <c r="I105" s="6">
        <v>46073</v>
      </c>
      <c r="J105" s="6">
        <v>46078</v>
      </c>
      <c r="K105" s="10" t="s">
        <v>15</v>
      </c>
      <c r="L105" s="16" t="str">
        <f t="shared" si="1"/>
        <v>Priority</v>
      </c>
    </row>
    <row r="106" spans="1:12" ht="15" thickBot="1" x14ac:dyDescent="0.4">
      <c r="A106" s="5">
        <v>1253</v>
      </c>
      <c r="B106" s="5" t="s">
        <v>21</v>
      </c>
      <c r="C106" s="5" t="s">
        <v>31</v>
      </c>
      <c r="D106" s="5" t="s">
        <v>34</v>
      </c>
      <c r="E106" s="5" t="s">
        <v>45</v>
      </c>
      <c r="F106" s="5">
        <v>20</v>
      </c>
      <c r="G106" s="5">
        <v>47880</v>
      </c>
      <c r="H106" s="5">
        <v>7</v>
      </c>
      <c r="I106" s="6">
        <v>46074</v>
      </c>
      <c r="J106" s="6">
        <v>46075</v>
      </c>
      <c r="K106" s="10" t="s">
        <v>29</v>
      </c>
      <c r="L106" s="16" t="str">
        <f t="shared" si="1"/>
        <v>Priority</v>
      </c>
    </row>
    <row r="107" spans="1:12" ht="15" thickBot="1" x14ac:dyDescent="0.4">
      <c r="A107" s="5">
        <v>1384</v>
      </c>
      <c r="B107" s="5" t="s">
        <v>59</v>
      </c>
      <c r="C107" s="5" t="s">
        <v>12</v>
      </c>
      <c r="D107" s="5" t="s">
        <v>34</v>
      </c>
      <c r="E107" s="5" t="s">
        <v>39</v>
      </c>
      <c r="F107" s="5">
        <v>15</v>
      </c>
      <c r="G107" s="5">
        <v>38116</v>
      </c>
      <c r="H107" s="5">
        <v>0</v>
      </c>
      <c r="I107" s="6">
        <v>46074</v>
      </c>
      <c r="J107" s="6">
        <v>46078</v>
      </c>
      <c r="K107" s="10" t="s">
        <v>29</v>
      </c>
      <c r="L107" s="16" t="str">
        <f t="shared" si="1"/>
        <v>Priority</v>
      </c>
    </row>
    <row r="108" spans="1:12" ht="15" thickBot="1" x14ac:dyDescent="0.4">
      <c r="A108" s="5">
        <v>1378</v>
      </c>
      <c r="B108" s="5" t="s">
        <v>55</v>
      </c>
      <c r="C108" s="5" t="s">
        <v>22</v>
      </c>
      <c r="D108" s="5" t="s">
        <v>34</v>
      </c>
      <c r="E108" s="5" t="s">
        <v>45</v>
      </c>
      <c r="F108" s="5">
        <v>15</v>
      </c>
      <c r="G108" s="5">
        <v>22693</v>
      </c>
      <c r="H108" s="5">
        <v>12</v>
      </c>
      <c r="I108" s="6">
        <v>46074</v>
      </c>
      <c r="J108" s="6">
        <v>46080</v>
      </c>
      <c r="K108" s="10" t="s">
        <v>51</v>
      </c>
      <c r="L108" s="16" t="str">
        <f t="shared" si="1"/>
        <v>Priority</v>
      </c>
    </row>
    <row r="109" spans="1:12" ht="15" thickBot="1" x14ac:dyDescent="0.4">
      <c r="A109" s="5">
        <v>1058</v>
      </c>
      <c r="B109" s="5" t="s">
        <v>52</v>
      </c>
      <c r="C109" s="5" t="s">
        <v>38</v>
      </c>
      <c r="D109" s="5" t="s">
        <v>18</v>
      </c>
      <c r="E109" s="5" t="s">
        <v>28</v>
      </c>
      <c r="F109" s="5">
        <v>10</v>
      </c>
      <c r="G109" s="5">
        <v>5532</v>
      </c>
      <c r="H109" s="5">
        <v>7</v>
      </c>
      <c r="I109" s="6">
        <v>46074</v>
      </c>
      <c r="J109" s="6">
        <v>46084</v>
      </c>
      <c r="K109" s="10" t="s">
        <v>24</v>
      </c>
      <c r="L109" s="16" t="str">
        <f t="shared" si="1"/>
        <v>Priority</v>
      </c>
    </row>
    <row r="110" spans="1:12" ht="15" thickBot="1" x14ac:dyDescent="0.4">
      <c r="A110" s="5">
        <v>1337</v>
      </c>
      <c r="B110" s="5" t="s">
        <v>16</v>
      </c>
      <c r="C110" s="5" t="s">
        <v>12</v>
      </c>
      <c r="D110" s="5" t="s">
        <v>13</v>
      </c>
      <c r="E110" s="5" t="s">
        <v>53</v>
      </c>
      <c r="F110" s="5">
        <v>14</v>
      </c>
      <c r="G110" s="5">
        <v>373</v>
      </c>
      <c r="H110" s="5">
        <v>10</v>
      </c>
      <c r="I110" s="6">
        <v>46074</v>
      </c>
      <c r="J110" s="6">
        <v>46080</v>
      </c>
      <c r="K110" s="10" t="s">
        <v>29</v>
      </c>
      <c r="L110" s="16" t="str">
        <f t="shared" si="1"/>
        <v>Normal</v>
      </c>
    </row>
    <row r="111" spans="1:12" ht="15" thickBot="1" x14ac:dyDescent="0.4">
      <c r="A111" s="5">
        <v>1201</v>
      </c>
      <c r="B111" s="5" t="s">
        <v>54</v>
      </c>
      <c r="C111" s="5" t="s">
        <v>31</v>
      </c>
      <c r="D111" s="5" t="s">
        <v>13</v>
      </c>
      <c r="E111" s="5" t="s">
        <v>53</v>
      </c>
      <c r="F111" s="5">
        <v>18</v>
      </c>
      <c r="G111" s="5">
        <v>139</v>
      </c>
      <c r="H111" s="5">
        <v>12</v>
      </c>
      <c r="I111" s="6">
        <v>46075</v>
      </c>
      <c r="J111" s="6">
        <v>46076</v>
      </c>
      <c r="K111" s="10" t="s">
        <v>20</v>
      </c>
      <c r="L111" s="16" t="str">
        <f t="shared" si="1"/>
        <v>Priority</v>
      </c>
    </row>
    <row r="112" spans="1:12" ht="15" thickBot="1" x14ac:dyDescent="0.4">
      <c r="A112" s="5">
        <v>1082</v>
      </c>
      <c r="B112" s="5" t="s">
        <v>21</v>
      </c>
      <c r="C112" s="5" t="s">
        <v>12</v>
      </c>
      <c r="D112" s="5" t="s">
        <v>13</v>
      </c>
      <c r="E112" s="5" t="s">
        <v>14</v>
      </c>
      <c r="F112" s="5">
        <v>7</v>
      </c>
      <c r="G112" s="5">
        <v>133</v>
      </c>
      <c r="H112" s="5">
        <v>10</v>
      </c>
      <c r="I112" s="6">
        <v>46075</v>
      </c>
      <c r="J112" s="6">
        <v>46085</v>
      </c>
      <c r="K112" s="10" t="s">
        <v>51</v>
      </c>
      <c r="L112" s="16" t="str">
        <f t="shared" si="1"/>
        <v>Normal</v>
      </c>
    </row>
    <row r="113" spans="1:12" ht="15" thickBot="1" x14ac:dyDescent="0.4">
      <c r="A113" s="5">
        <v>1325</v>
      </c>
      <c r="B113" s="5" t="s">
        <v>48</v>
      </c>
      <c r="C113" s="5" t="s">
        <v>43</v>
      </c>
      <c r="D113" s="5" t="s">
        <v>34</v>
      </c>
      <c r="E113" s="5" t="s">
        <v>39</v>
      </c>
      <c r="F113" s="5">
        <v>9</v>
      </c>
      <c r="G113" s="5">
        <v>58442</v>
      </c>
      <c r="H113" s="5">
        <v>12</v>
      </c>
      <c r="I113" s="6">
        <v>46076</v>
      </c>
      <c r="J113" s="6">
        <v>46085</v>
      </c>
      <c r="K113" s="10" t="s">
        <v>20</v>
      </c>
      <c r="L113" s="16" t="str">
        <f t="shared" si="1"/>
        <v>Normal</v>
      </c>
    </row>
    <row r="114" spans="1:12" ht="15" thickBot="1" x14ac:dyDescent="0.4">
      <c r="A114" s="5">
        <v>1107</v>
      </c>
      <c r="B114" s="5" t="s">
        <v>52</v>
      </c>
      <c r="C114" s="5" t="s">
        <v>17</v>
      </c>
      <c r="D114" s="5" t="s">
        <v>34</v>
      </c>
      <c r="E114" s="5" t="s">
        <v>60</v>
      </c>
      <c r="F114" s="5">
        <v>4</v>
      </c>
      <c r="G114" s="5">
        <v>14291</v>
      </c>
      <c r="H114" s="5">
        <v>2</v>
      </c>
      <c r="I114" s="6">
        <v>46076</v>
      </c>
      <c r="J114" s="6">
        <v>46078</v>
      </c>
      <c r="K114" s="10" t="s">
        <v>15</v>
      </c>
      <c r="L114" s="16" t="str">
        <f t="shared" si="1"/>
        <v>Normal</v>
      </c>
    </row>
    <row r="115" spans="1:12" ht="15" thickBot="1" x14ac:dyDescent="0.4">
      <c r="A115" s="5">
        <v>1390</v>
      </c>
      <c r="B115" s="5" t="s">
        <v>58</v>
      </c>
      <c r="C115" s="5" t="s">
        <v>43</v>
      </c>
      <c r="D115" s="5" t="s">
        <v>18</v>
      </c>
      <c r="E115" s="5" t="s">
        <v>19</v>
      </c>
      <c r="F115" s="5">
        <v>9</v>
      </c>
      <c r="G115" s="5">
        <v>7670</v>
      </c>
      <c r="H115" s="5">
        <v>0</v>
      </c>
      <c r="I115" s="6">
        <v>46076</v>
      </c>
      <c r="J115" s="6">
        <v>46081</v>
      </c>
      <c r="K115" s="10" t="s">
        <v>51</v>
      </c>
      <c r="L115" s="16" t="str">
        <f t="shared" si="1"/>
        <v>Normal</v>
      </c>
    </row>
    <row r="116" spans="1:12" ht="15" thickBot="1" x14ac:dyDescent="0.4">
      <c r="A116" s="5">
        <v>1113</v>
      </c>
      <c r="B116" s="5" t="s">
        <v>26</v>
      </c>
      <c r="C116" s="5" t="s">
        <v>43</v>
      </c>
      <c r="D116" s="5" t="s">
        <v>18</v>
      </c>
      <c r="E116" s="5" t="s">
        <v>56</v>
      </c>
      <c r="F116" s="5">
        <v>13</v>
      </c>
      <c r="G116" s="5">
        <v>6719</v>
      </c>
      <c r="H116" s="5">
        <v>15</v>
      </c>
      <c r="I116" s="6">
        <v>46076</v>
      </c>
      <c r="J116" s="6">
        <v>46081</v>
      </c>
      <c r="K116" s="10" t="s">
        <v>24</v>
      </c>
      <c r="L116" s="16" t="str">
        <f t="shared" si="1"/>
        <v>Normal</v>
      </c>
    </row>
    <row r="117" spans="1:12" ht="15" thickBot="1" x14ac:dyDescent="0.4">
      <c r="A117" s="5">
        <v>1070</v>
      </c>
      <c r="B117" s="5" t="s">
        <v>52</v>
      </c>
      <c r="C117" s="5" t="s">
        <v>43</v>
      </c>
      <c r="D117" s="5" t="s">
        <v>13</v>
      </c>
      <c r="E117" s="5" t="s">
        <v>36</v>
      </c>
      <c r="F117" s="5">
        <v>10</v>
      </c>
      <c r="G117" s="5">
        <v>233</v>
      </c>
      <c r="H117" s="5">
        <v>7</v>
      </c>
      <c r="I117" s="6">
        <v>46076</v>
      </c>
      <c r="J117" s="6">
        <v>46077</v>
      </c>
      <c r="K117" s="10" t="s">
        <v>29</v>
      </c>
      <c r="L117" s="16" t="str">
        <f t="shared" si="1"/>
        <v>Normal</v>
      </c>
    </row>
    <row r="118" spans="1:12" ht="15" thickBot="1" x14ac:dyDescent="0.4">
      <c r="A118" s="5">
        <v>1157</v>
      </c>
      <c r="B118" s="5" t="s">
        <v>52</v>
      </c>
      <c r="C118" s="5" t="s">
        <v>33</v>
      </c>
      <c r="D118" s="5" t="s">
        <v>13</v>
      </c>
      <c r="E118" s="5" t="s">
        <v>50</v>
      </c>
      <c r="F118" s="5">
        <v>3</v>
      </c>
      <c r="G118" s="5">
        <v>203</v>
      </c>
      <c r="H118" s="5">
        <v>15</v>
      </c>
      <c r="I118" s="6">
        <v>46076</v>
      </c>
      <c r="J118" s="6">
        <v>46080</v>
      </c>
      <c r="K118" s="10" t="s">
        <v>29</v>
      </c>
      <c r="L118" s="16" t="str">
        <f t="shared" si="1"/>
        <v>Normal</v>
      </c>
    </row>
    <row r="119" spans="1:12" ht="15" thickBot="1" x14ac:dyDescent="0.4">
      <c r="A119" s="5">
        <v>1110</v>
      </c>
      <c r="B119" s="5" t="s">
        <v>49</v>
      </c>
      <c r="C119" s="5" t="s">
        <v>38</v>
      </c>
      <c r="D119" s="5" t="s">
        <v>18</v>
      </c>
      <c r="E119" s="5" t="s">
        <v>23</v>
      </c>
      <c r="F119" s="5">
        <v>14</v>
      </c>
      <c r="G119" s="5">
        <v>6793</v>
      </c>
      <c r="H119" s="5">
        <v>7</v>
      </c>
      <c r="I119" s="6">
        <v>46077</v>
      </c>
      <c r="J119" s="6">
        <v>46082</v>
      </c>
      <c r="K119" s="10" t="s">
        <v>29</v>
      </c>
      <c r="L119" s="16" t="str">
        <f t="shared" si="1"/>
        <v>Priority</v>
      </c>
    </row>
    <row r="120" spans="1:12" ht="15" thickBot="1" x14ac:dyDescent="0.4">
      <c r="A120" s="5">
        <v>1223</v>
      </c>
      <c r="B120" s="5" t="s">
        <v>59</v>
      </c>
      <c r="C120" s="5" t="s">
        <v>17</v>
      </c>
      <c r="D120" s="5" t="s">
        <v>18</v>
      </c>
      <c r="E120" s="5" t="s">
        <v>23</v>
      </c>
      <c r="F120" s="5">
        <v>4</v>
      </c>
      <c r="G120" s="5">
        <v>2249</v>
      </c>
      <c r="H120" s="5">
        <v>7</v>
      </c>
      <c r="I120" s="6">
        <v>46077</v>
      </c>
      <c r="J120" s="6">
        <v>46084</v>
      </c>
      <c r="K120" s="10" t="s">
        <v>15</v>
      </c>
      <c r="L120" s="16" t="str">
        <f t="shared" si="1"/>
        <v>Normal</v>
      </c>
    </row>
    <row r="121" spans="1:12" ht="15" thickBot="1" x14ac:dyDescent="0.4">
      <c r="A121" s="5">
        <v>1055</v>
      </c>
      <c r="B121" s="5" t="s">
        <v>48</v>
      </c>
      <c r="C121" s="5" t="s">
        <v>12</v>
      </c>
      <c r="D121" s="5" t="s">
        <v>13</v>
      </c>
      <c r="E121" s="5" t="s">
        <v>37</v>
      </c>
      <c r="F121" s="5">
        <v>18</v>
      </c>
      <c r="G121" s="5">
        <v>185</v>
      </c>
      <c r="H121" s="5">
        <v>15</v>
      </c>
      <c r="I121" s="6">
        <v>46077</v>
      </c>
      <c r="J121" s="6">
        <v>46078</v>
      </c>
      <c r="K121" s="10" t="s">
        <v>15</v>
      </c>
      <c r="L121" s="16" t="str">
        <f t="shared" si="1"/>
        <v>Priority</v>
      </c>
    </row>
    <row r="122" spans="1:12" ht="15" thickBot="1" x14ac:dyDescent="0.4">
      <c r="A122" s="5">
        <v>1272</v>
      </c>
      <c r="B122" s="5" t="s">
        <v>52</v>
      </c>
      <c r="C122" s="5" t="s">
        <v>38</v>
      </c>
      <c r="D122" s="5" t="s">
        <v>34</v>
      </c>
      <c r="E122" s="5" t="s">
        <v>41</v>
      </c>
      <c r="F122" s="5">
        <v>13</v>
      </c>
      <c r="G122" s="5">
        <v>42179</v>
      </c>
      <c r="H122" s="5">
        <v>0</v>
      </c>
      <c r="I122" s="6">
        <v>46078</v>
      </c>
      <c r="J122" s="6">
        <v>46084</v>
      </c>
      <c r="K122" s="10" t="s">
        <v>20</v>
      </c>
      <c r="L122" s="16" t="str">
        <f t="shared" si="1"/>
        <v>Priority</v>
      </c>
    </row>
    <row r="123" spans="1:12" ht="15" thickBot="1" x14ac:dyDescent="0.4">
      <c r="A123" s="5">
        <v>1316</v>
      </c>
      <c r="B123" s="5" t="s">
        <v>46</v>
      </c>
      <c r="C123" s="5" t="s">
        <v>12</v>
      </c>
      <c r="D123" s="5" t="s">
        <v>18</v>
      </c>
      <c r="E123" s="5" t="s">
        <v>28</v>
      </c>
      <c r="F123" s="5">
        <v>7</v>
      </c>
      <c r="G123" s="5">
        <v>9838</v>
      </c>
      <c r="H123" s="5">
        <v>7</v>
      </c>
      <c r="I123" s="6">
        <v>46078</v>
      </c>
      <c r="J123" s="6">
        <v>46085</v>
      </c>
      <c r="K123" s="10" t="s">
        <v>20</v>
      </c>
      <c r="L123" s="16" t="str">
        <f t="shared" si="1"/>
        <v>Normal</v>
      </c>
    </row>
    <row r="124" spans="1:12" ht="15" thickBot="1" x14ac:dyDescent="0.4">
      <c r="A124" s="5">
        <v>1020</v>
      </c>
      <c r="B124" s="5" t="s">
        <v>46</v>
      </c>
      <c r="C124" s="5" t="s">
        <v>12</v>
      </c>
      <c r="D124" s="5" t="s">
        <v>18</v>
      </c>
      <c r="E124" s="5" t="s">
        <v>19</v>
      </c>
      <c r="F124" s="5">
        <v>5</v>
      </c>
      <c r="G124" s="5">
        <v>4582</v>
      </c>
      <c r="H124" s="5">
        <v>5</v>
      </c>
      <c r="I124" s="6">
        <v>46078</v>
      </c>
      <c r="J124" s="6">
        <v>46083</v>
      </c>
      <c r="K124" s="10" t="s">
        <v>15</v>
      </c>
      <c r="L124" s="16" t="str">
        <f t="shared" si="1"/>
        <v>Normal</v>
      </c>
    </row>
    <row r="125" spans="1:12" ht="15" thickBot="1" x14ac:dyDescent="0.4">
      <c r="A125" s="5">
        <v>1349</v>
      </c>
      <c r="B125" s="5" t="s">
        <v>40</v>
      </c>
      <c r="C125" s="5" t="s">
        <v>33</v>
      </c>
      <c r="D125" s="5" t="s">
        <v>34</v>
      </c>
      <c r="E125" s="5" t="s">
        <v>35</v>
      </c>
      <c r="F125" s="5">
        <v>20</v>
      </c>
      <c r="G125" s="5">
        <v>62721</v>
      </c>
      <c r="H125" s="5">
        <v>7</v>
      </c>
      <c r="I125" s="6">
        <v>46079</v>
      </c>
      <c r="J125" s="6">
        <v>46083</v>
      </c>
      <c r="K125" s="10" t="s">
        <v>20</v>
      </c>
      <c r="L125" s="16" t="str">
        <f t="shared" si="1"/>
        <v>Priority</v>
      </c>
    </row>
    <row r="126" spans="1:12" ht="15" thickBot="1" x14ac:dyDescent="0.4">
      <c r="A126" s="5">
        <v>1158</v>
      </c>
      <c r="B126" s="5" t="s">
        <v>26</v>
      </c>
      <c r="C126" s="5" t="s">
        <v>38</v>
      </c>
      <c r="D126" s="5" t="s">
        <v>34</v>
      </c>
      <c r="E126" s="5" t="s">
        <v>41</v>
      </c>
      <c r="F126" s="5">
        <v>13</v>
      </c>
      <c r="G126" s="5">
        <v>12518</v>
      </c>
      <c r="H126" s="5">
        <v>2</v>
      </c>
      <c r="I126" s="6">
        <v>46079</v>
      </c>
      <c r="J126" s="6">
        <v>46082</v>
      </c>
      <c r="K126" s="10" t="s">
        <v>51</v>
      </c>
      <c r="L126" s="16" t="str">
        <f t="shared" si="1"/>
        <v>Priority</v>
      </c>
    </row>
    <row r="127" spans="1:12" ht="15" thickBot="1" x14ac:dyDescent="0.4">
      <c r="A127" s="5">
        <v>1163</v>
      </c>
      <c r="B127" s="5" t="s">
        <v>29</v>
      </c>
      <c r="C127" s="5" t="s">
        <v>38</v>
      </c>
      <c r="D127" s="5" t="s">
        <v>34</v>
      </c>
      <c r="E127" s="5" t="s">
        <v>39</v>
      </c>
      <c r="F127" s="5">
        <v>9</v>
      </c>
      <c r="G127" s="5">
        <v>62440</v>
      </c>
      <c r="H127" s="5">
        <v>2</v>
      </c>
      <c r="I127" s="6">
        <v>46081</v>
      </c>
      <c r="J127" s="6">
        <v>46086</v>
      </c>
      <c r="K127" s="10" t="s">
        <v>29</v>
      </c>
      <c r="L127" s="16" t="str">
        <f t="shared" si="1"/>
        <v>Priority</v>
      </c>
    </row>
    <row r="128" spans="1:12" ht="15" thickBot="1" x14ac:dyDescent="0.4">
      <c r="A128" s="5">
        <v>1042</v>
      </c>
      <c r="B128" s="5" t="s">
        <v>46</v>
      </c>
      <c r="C128" s="5" t="s">
        <v>33</v>
      </c>
      <c r="D128" s="5" t="s">
        <v>13</v>
      </c>
      <c r="E128" s="5" t="s">
        <v>53</v>
      </c>
      <c r="F128" s="5">
        <v>16</v>
      </c>
      <c r="G128" s="5">
        <v>232</v>
      </c>
      <c r="H128" s="5">
        <v>0</v>
      </c>
      <c r="I128" s="6">
        <v>46081</v>
      </c>
      <c r="J128" s="6">
        <v>46088</v>
      </c>
      <c r="K128" s="10" t="s">
        <v>29</v>
      </c>
      <c r="L128" s="16" t="str">
        <f t="shared" si="1"/>
        <v>Priority</v>
      </c>
    </row>
    <row r="129" spans="1:12" ht="15" thickBot="1" x14ac:dyDescent="0.4">
      <c r="A129" s="5">
        <v>1001</v>
      </c>
      <c r="B129" s="5" t="s">
        <v>11</v>
      </c>
      <c r="C129" s="5" t="s">
        <v>12</v>
      </c>
      <c r="D129" s="5" t="s">
        <v>13</v>
      </c>
      <c r="E129" s="5" t="s">
        <v>14</v>
      </c>
      <c r="F129" s="5">
        <v>3</v>
      </c>
      <c r="G129" s="5">
        <v>222</v>
      </c>
      <c r="H129" s="5">
        <v>15</v>
      </c>
      <c r="I129" s="6">
        <v>46081</v>
      </c>
      <c r="J129" s="6">
        <v>46083</v>
      </c>
      <c r="K129" s="10" t="s">
        <v>15</v>
      </c>
      <c r="L129" s="16" t="str">
        <f t="shared" si="1"/>
        <v>Normal</v>
      </c>
    </row>
    <row r="130" spans="1:12" ht="15" thickBot="1" x14ac:dyDescent="0.4">
      <c r="A130" s="5">
        <v>1202</v>
      </c>
      <c r="B130" s="5" t="s">
        <v>57</v>
      </c>
      <c r="C130" s="5" t="s">
        <v>22</v>
      </c>
      <c r="D130" s="5" t="s">
        <v>34</v>
      </c>
      <c r="E130" s="5" t="s">
        <v>35</v>
      </c>
      <c r="F130" s="5">
        <v>2</v>
      </c>
      <c r="G130" s="5">
        <v>20312</v>
      </c>
      <c r="H130" s="5">
        <v>12</v>
      </c>
      <c r="I130" s="6">
        <v>46082</v>
      </c>
      <c r="J130" s="6">
        <v>46091</v>
      </c>
      <c r="K130" s="10" t="s">
        <v>15</v>
      </c>
      <c r="L130" s="16" t="str">
        <f t="shared" si="1"/>
        <v>Normal</v>
      </c>
    </row>
    <row r="131" spans="1:12" ht="15" thickBot="1" x14ac:dyDescent="0.4">
      <c r="A131" s="5">
        <v>1066</v>
      </c>
      <c r="B131" s="5" t="s">
        <v>47</v>
      </c>
      <c r="C131" s="5" t="s">
        <v>25</v>
      </c>
      <c r="D131" s="5" t="s">
        <v>18</v>
      </c>
      <c r="E131" s="5" t="s">
        <v>44</v>
      </c>
      <c r="F131" s="5">
        <v>15</v>
      </c>
      <c r="G131" s="5">
        <v>11987</v>
      </c>
      <c r="H131" s="5">
        <v>5</v>
      </c>
      <c r="I131" s="6">
        <v>46082</v>
      </c>
      <c r="J131" s="6">
        <v>46083</v>
      </c>
      <c r="K131" s="10" t="s">
        <v>15</v>
      </c>
      <c r="L131" s="16" t="str">
        <f t="shared" ref="L131:L194" si="2">IF(OR(C131="Mumbai",F131&gt;=15),"Priority","Normal")</f>
        <v>Priority</v>
      </c>
    </row>
    <row r="132" spans="1:12" ht="15" thickBot="1" x14ac:dyDescent="0.4">
      <c r="A132" s="5">
        <v>1033</v>
      </c>
      <c r="B132" s="5" t="s">
        <v>11</v>
      </c>
      <c r="C132" s="5" t="s">
        <v>43</v>
      </c>
      <c r="D132" s="5" t="s">
        <v>18</v>
      </c>
      <c r="E132" s="5" t="s">
        <v>19</v>
      </c>
      <c r="F132" s="5">
        <v>9</v>
      </c>
      <c r="G132" s="5">
        <v>4895</v>
      </c>
      <c r="H132" s="5">
        <v>2</v>
      </c>
      <c r="I132" s="6">
        <v>46082</v>
      </c>
      <c r="J132" s="6">
        <v>46084</v>
      </c>
      <c r="K132" s="10" t="s">
        <v>29</v>
      </c>
      <c r="L132" s="16" t="str">
        <f t="shared" si="2"/>
        <v>Normal</v>
      </c>
    </row>
    <row r="133" spans="1:12" ht="15" thickBot="1" x14ac:dyDescent="0.4">
      <c r="A133" s="5">
        <v>1284</v>
      </c>
      <c r="B133" s="5" t="s">
        <v>40</v>
      </c>
      <c r="C133" s="5" t="s">
        <v>25</v>
      </c>
      <c r="D133" s="5" t="s">
        <v>13</v>
      </c>
      <c r="E133" s="5" t="s">
        <v>37</v>
      </c>
      <c r="F133" s="5">
        <v>16</v>
      </c>
      <c r="G133" s="5">
        <v>419</v>
      </c>
      <c r="H133" s="5">
        <v>2</v>
      </c>
      <c r="I133" s="6">
        <v>46082</v>
      </c>
      <c r="J133" s="6">
        <v>46090</v>
      </c>
      <c r="K133" s="10" t="s">
        <v>15</v>
      </c>
      <c r="L133" s="16" t="str">
        <f t="shared" si="2"/>
        <v>Priority</v>
      </c>
    </row>
    <row r="134" spans="1:12" ht="15" thickBot="1" x14ac:dyDescent="0.4">
      <c r="A134" s="5">
        <v>1017</v>
      </c>
      <c r="B134" s="5" t="s">
        <v>46</v>
      </c>
      <c r="C134" s="5" t="s">
        <v>38</v>
      </c>
      <c r="D134" s="5" t="s">
        <v>13</v>
      </c>
      <c r="E134" s="5" t="s">
        <v>36</v>
      </c>
      <c r="F134" s="5">
        <v>8</v>
      </c>
      <c r="G134" s="5">
        <v>179</v>
      </c>
      <c r="H134" s="5">
        <v>15</v>
      </c>
      <c r="I134" s="6">
        <v>46082</v>
      </c>
      <c r="J134" s="6">
        <v>46084</v>
      </c>
      <c r="K134" s="10" t="s">
        <v>15</v>
      </c>
      <c r="L134" s="16" t="str">
        <f t="shared" si="2"/>
        <v>Priority</v>
      </c>
    </row>
    <row r="135" spans="1:12" ht="15" thickBot="1" x14ac:dyDescent="0.4">
      <c r="A135" s="5">
        <v>1271</v>
      </c>
      <c r="B135" s="5" t="s">
        <v>40</v>
      </c>
      <c r="C135" s="5" t="s">
        <v>33</v>
      </c>
      <c r="D135" s="5" t="s">
        <v>34</v>
      </c>
      <c r="E135" s="5" t="s">
        <v>60</v>
      </c>
      <c r="F135" s="5">
        <v>20</v>
      </c>
      <c r="G135" s="5">
        <v>36941</v>
      </c>
      <c r="H135" s="5">
        <v>15</v>
      </c>
      <c r="I135" s="6">
        <v>46083</v>
      </c>
      <c r="J135" s="6">
        <v>46085</v>
      </c>
      <c r="K135" s="10" t="s">
        <v>29</v>
      </c>
      <c r="L135" s="16" t="str">
        <f t="shared" si="2"/>
        <v>Priority</v>
      </c>
    </row>
    <row r="136" spans="1:12" ht="15" thickBot="1" x14ac:dyDescent="0.4">
      <c r="A136" s="5">
        <v>1298</v>
      </c>
      <c r="B136" s="5" t="s">
        <v>21</v>
      </c>
      <c r="C136" s="5" t="s">
        <v>12</v>
      </c>
      <c r="D136" s="5" t="s">
        <v>34</v>
      </c>
      <c r="E136" s="5" t="s">
        <v>61</v>
      </c>
      <c r="F136" s="5">
        <v>19</v>
      </c>
      <c r="G136" s="5">
        <v>20745</v>
      </c>
      <c r="H136" s="5">
        <v>2</v>
      </c>
      <c r="I136" s="6">
        <v>46083</v>
      </c>
      <c r="J136" s="6">
        <v>46093</v>
      </c>
      <c r="K136" s="10" t="s">
        <v>24</v>
      </c>
      <c r="L136" s="16" t="str">
        <f t="shared" si="2"/>
        <v>Priority</v>
      </c>
    </row>
    <row r="137" spans="1:12" ht="15" thickBot="1" x14ac:dyDescent="0.4">
      <c r="A137" s="5">
        <v>1078</v>
      </c>
      <c r="B137" s="5" t="s">
        <v>52</v>
      </c>
      <c r="C137" s="5" t="s">
        <v>17</v>
      </c>
      <c r="D137" s="5" t="s">
        <v>34</v>
      </c>
      <c r="E137" s="5" t="s">
        <v>39</v>
      </c>
      <c r="F137" s="5">
        <v>11</v>
      </c>
      <c r="G137" s="5">
        <v>24278</v>
      </c>
      <c r="H137" s="5">
        <v>12</v>
      </c>
      <c r="I137" s="6">
        <v>46084</v>
      </c>
      <c r="J137" s="6">
        <v>46090</v>
      </c>
      <c r="K137" s="10" t="s">
        <v>29</v>
      </c>
      <c r="L137" s="16" t="str">
        <f t="shared" si="2"/>
        <v>Normal</v>
      </c>
    </row>
    <row r="138" spans="1:12" ht="15" thickBot="1" x14ac:dyDescent="0.4">
      <c r="A138" s="5">
        <v>1138</v>
      </c>
      <c r="B138" s="5" t="s">
        <v>55</v>
      </c>
      <c r="C138" s="5" t="s">
        <v>43</v>
      </c>
      <c r="D138" s="5" t="s">
        <v>18</v>
      </c>
      <c r="E138" s="5" t="s">
        <v>19</v>
      </c>
      <c r="F138" s="5">
        <v>5</v>
      </c>
      <c r="G138" s="5">
        <v>14466</v>
      </c>
      <c r="H138" s="5">
        <v>2</v>
      </c>
      <c r="I138" s="6">
        <v>46084</v>
      </c>
      <c r="J138" s="6">
        <v>46092</v>
      </c>
      <c r="K138" s="10" t="s">
        <v>51</v>
      </c>
      <c r="L138" s="16" t="str">
        <f t="shared" si="2"/>
        <v>Normal</v>
      </c>
    </row>
    <row r="139" spans="1:12" ht="15" thickBot="1" x14ac:dyDescent="0.4">
      <c r="A139" s="5">
        <v>1280</v>
      </c>
      <c r="B139" s="5" t="s">
        <v>59</v>
      </c>
      <c r="C139" s="5" t="s">
        <v>38</v>
      </c>
      <c r="D139" s="5" t="s">
        <v>13</v>
      </c>
      <c r="E139" s="5" t="s">
        <v>53</v>
      </c>
      <c r="F139" s="5">
        <v>9</v>
      </c>
      <c r="G139" s="5">
        <v>50</v>
      </c>
      <c r="H139" s="5">
        <v>7</v>
      </c>
      <c r="I139" s="6">
        <v>46085</v>
      </c>
      <c r="J139" s="6">
        <v>46095</v>
      </c>
      <c r="K139" s="10" t="s">
        <v>51</v>
      </c>
      <c r="L139" s="16" t="str">
        <f t="shared" si="2"/>
        <v>Priority</v>
      </c>
    </row>
    <row r="140" spans="1:12" ht="15" thickBot="1" x14ac:dyDescent="0.4">
      <c r="A140" s="5">
        <v>1012</v>
      </c>
      <c r="B140" s="5" t="s">
        <v>26</v>
      </c>
      <c r="C140" s="5" t="s">
        <v>38</v>
      </c>
      <c r="D140" s="5" t="s">
        <v>34</v>
      </c>
      <c r="E140" s="5" t="s">
        <v>39</v>
      </c>
      <c r="F140" s="5">
        <v>3</v>
      </c>
      <c r="G140" s="5">
        <v>64615</v>
      </c>
      <c r="H140" s="5">
        <v>10</v>
      </c>
      <c r="I140" s="6">
        <v>46086</v>
      </c>
      <c r="J140" s="6">
        <v>46095</v>
      </c>
      <c r="K140" s="10" t="s">
        <v>29</v>
      </c>
      <c r="L140" s="16" t="str">
        <f t="shared" si="2"/>
        <v>Priority</v>
      </c>
    </row>
    <row r="141" spans="1:12" ht="15" thickBot="1" x14ac:dyDescent="0.4">
      <c r="A141" s="5">
        <v>1336</v>
      </c>
      <c r="B141" s="5" t="s">
        <v>16</v>
      </c>
      <c r="C141" s="5" t="s">
        <v>25</v>
      </c>
      <c r="D141" s="5" t="s">
        <v>18</v>
      </c>
      <c r="E141" s="5" t="s">
        <v>56</v>
      </c>
      <c r="F141" s="5">
        <v>10</v>
      </c>
      <c r="G141" s="5">
        <v>5624</v>
      </c>
      <c r="H141" s="5">
        <v>0</v>
      </c>
      <c r="I141" s="6">
        <v>46086</v>
      </c>
      <c r="J141" s="6">
        <v>46092</v>
      </c>
      <c r="K141" s="10" t="s">
        <v>29</v>
      </c>
      <c r="L141" s="16" t="str">
        <f t="shared" si="2"/>
        <v>Normal</v>
      </c>
    </row>
    <row r="142" spans="1:12" ht="15" thickBot="1" x14ac:dyDescent="0.4">
      <c r="A142" s="5">
        <v>1277</v>
      </c>
      <c r="B142" s="5" t="s">
        <v>59</v>
      </c>
      <c r="C142" s="5" t="s">
        <v>17</v>
      </c>
      <c r="D142" s="5" t="s">
        <v>13</v>
      </c>
      <c r="E142" s="5" t="s">
        <v>36</v>
      </c>
      <c r="F142" s="5">
        <v>14</v>
      </c>
      <c r="G142" s="5">
        <v>276</v>
      </c>
      <c r="H142" s="5">
        <v>0</v>
      </c>
      <c r="I142" s="6">
        <v>46086</v>
      </c>
      <c r="J142" s="6">
        <v>46089</v>
      </c>
      <c r="K142" s="10" t="s">
        <v>15</v>
      </c>
      <c r="L142" s="16" t="str">
        <f t="shared" si="2"/>
        <v>Normal</v>
      </c>
    </row>
    <row r="143" spans="1:12" ht="15" thickBot="1" x14ac:dyDescent="0.4">
      <c r="A143" s="5">
        <v>1090</v>
      </c>
      <c r="B143" s="5" t="s">
        <v>49</v>
      </c>
      <c r="C143" s="5" t="s">
        <v>31</v>
      </c>
      <c r="D143" s="5" t="s">
        <v>34</v>
      </c>
      <c r="E143" s="5" t="s">
        <v>45</v>
      </c>
      <c r="F143" s="5">
        <v>19</v>
      </c>
      <c r="G143" s="5">
        <v>66139</v>
      </c>
      <c r="H143" s="5">
        <v>5</v>
      </c>
      <c r="I143" s="6">
        <v>46088</v>
      </c>
      <c r="J143" s="6">
        <v>46095</v>
      </c>
      <c r="K143" s="10" t="s">
        <v>24</v>
      </c>
      <c r="L143" s="16" t="str">
        <f t="shared" si="2"/>
        <v>Priority</v>
      </c>
    </row>
    <row r="144" spans="1:12" ht="15" thickBot="1" x14ac:dyDescent="0.4">
      <c r="A144" s="5">
        <v>1175</v>
      </c>
      <c r="B144" s="5" t="s">
        <v>26</v>
      </c>
      <c r="C144" s="5" t="s">
        <v>17</v>
      </c>
      <c r="D144" s="5" t="s">
        <v>34</v>
      </c>
      <c r="E144" s="5" t="s">
        <v>41</v>
      </c>
      <c r="F144" s="5">
        <v>10</v>
      </c>
      <c r="G144" s="5">
        <v>20339</v>
      </c>
      <c r="H144" s="5">
        <v>2</v>
      </c>
      <c r="I144" s="6">
        <v>46088</v>
      </c>
      <c r="J144" s="6">
        <v>46094</v>
      </c>
      <c r="K144" s="10" t="s">
        <v>20</v>
      </c>
      <c r="L144" s="16" t="str">
        <f t="shared" si="2"/>
        <v>Normal</v>
      </c>
    </row>
    <row r="145" spans="1:12" ht="15" thickBot="1" x14ac:dyDescent="0.4">
      <c r="A145" s="5">
        <v>1097</v>
      </c>
      <c r="B145" s="5" t="s">
        <v>52</v>
      </c>
      <c r="C145" s="5" t="s">
        <v>22</v>
      </c>
      <c r="D145" s="5" t="s">
        <v>34</v>
      </c>
      <c r="E145" s="5" t="s">
        <v>61</v>
      </c>
      <c r="F145" s="5">
        <v>10</v>
      </c>
      <c r="G145" s="5">
        <v>28980</v>
      </c>
      <c r="H145" s="5">
        <v>10</v>
      </c>
      <c r="I145" s="6">
        <v>46089</v>
      </c>
      <c r="J145" s="6">
        <v>46094</v>
      </c>
      <c r="K145" s="10" t="s">
        <v>24</v>
      </c>
      <c r="L145" s="16" t="str">
        <f t="shared" si="2"/>
        <v>Normal</v>
      </c>
    </row>
    <row r="146" spans="1:12" ht="15" thickBot="1" x14ac:dyDescent="0.4">
      <c r="A146" s="5">
        <v>1381</v>
      </c>
      <c r="B146" s="5" t="s">
        <v>55</v>
      </c>
      <c r="C146" s="5" t="s">
        <v>33</v>
      </c>
      <c r="D146" s="5" t="s">
        <v>18</v>
      </c>
      <c r="E146" s="5" t="s">
        <v>28</v>
      </c>
      <c r="F146" s="5">
        <v>5</v>
      </c>
      <c r="G146" s="5">
        <v>7484</v>
      </c>
      <c r="H146" s="5">
        <v>2</v>
      </c>
      <c r="I146" s="6">
        <v>46089</v>
      </c>
      <c r="J146" s="6">
        <v>46093</v>
      </c>
      <c r="K146" s="10" t="s">
        <v>20</v>
      </c>
      <c r="L146" s="16" t="str">
        <f t="shared" si="2"/>
        <v>Normal</v>
      </c>
    </row>
    <row r="147" spans="1:12" ht="15" thickBot="1" x14ac:dyDescent="0.4">
      <c r="A147" s="5">
        <v>1018</v>
      </c>
      <c r="B147" s="5" t="s">
        <v>47</v>
      </c>
      <c r="C147" s="5" t="s">
        <v>25</v>
      </c>
      <c r="D147" s="5" t="s">
        <v>13</v>
      </c>
      <c r="E147" s="5" t="s">
        <v>14</v>
      </c>
      <c r="F147" s="5">
        <v>20</v>
      </c>
      <c r="G147" s="5">
        <v>301</v>
      </c>
      <c r="H147" s="5">
        <v>0</v>
      </c>
      <c r="I147" s="6">
        <v>46089</v>
      </c>
      <c r="J147" s="6">
        <v>46094</v>
      </c>
      <c r="K147" s="10" t="s">
        <v>29</v>
      </c>
      <c r="L147" s="16" t="str">
        <f t="shared" si="2"/>
        <v>Priority</v>
      </c>
    </row>
    <row r="148" spans="1:12" ht="15" thickBot="1" x14ac:dyDescent="0.4">
      <c r="A148" s="5">
        <v>1031</v>
      </c>
      <c r="B148" s="5" t="s">
        <v>54</v>
      </c>
      <c r="C148" s="5" t="s">
        <v>31</v>
      </c>
      <c r="D148" s="5" t="s">
        <v>13</v>
      </c>
      <c r="E148" s="5" t="s">
        <v>53</v>
      </c>
      <c r="F148" s="5">
        <v>2</v>
      </c>
      <c r="G148" s="5">
        <v>184</v>
      </c>
      <c r="H148" s="5">
        <v>5</v>
      </c>
      <c r="I148" s="6">
        <v>46089</v>
      </c>
      <c r="J148" s="6">
        <v>46093</v>
      </c>
      <c r="K148" s="10" t="s">
        <v>20</v>
      </c>
      <c r="L148" s="16" t="str">
        <f t="shared" si="2"/>
        <v>Normal</v>
      </c>
    </row>
    <row r="149" spans="1:12" ht="15" thickBot="1" x14ac:dyDescent="0.4">
      <c r="A149" s="5">
        <v>1399</v>
      </c>
      <c r="B149" s="5" t="s">
        <v>48</v>
      </c>
      <c r="C149" s="5" t="s">
        <v>31</v>
      </c>
      <c r="D149" s="5" t="s">
        <v>13</v>
      </c>
      <c r="E149" s="5" t="s">
        <v>14</v>
      </c>
      <c r="F149" s="5">
        <v>15</v>
      </c>
      <c r="G149" s="5">
        <v>87</v>
      </c>
      <c r="H149" s="5">
        <v>15</v>
      </c>
      <c r="I149" s="6">
        <v>46089</v>
      </c>
      <c r="J149" s="6">
        <v>46093</v>
      </c>
      <c r="K149" s="10" t="s">
        <v>20</v>
      </c>
      <c r="L149" s="16" t="str">
        <f t="shared" si="2"/>
        <v>Priority</v>
      </c>
    </row>
    <row r="150" spans="1:12" ht="15" thickBot="1" x14ac:dyDescent="0.4">
      <c r="A150" s="5">
        <v>1192</v>
      </c>
      <c r="B150" s="5" t="s">
        <v>21</v>
      </c>
      <c r="C150" s="5" t="s">
        <v>33</v>
      </c>
      <c r="D150" s="5" t="s">
        <v>13</v>
      </c>
      <c r="E150" s="5" t="s">
        <v>53</v>
      </c>
      <c r="F150" s="5">
        <v>18</v>
      </c>
      <c r="G150" s="5">
        <v>49</v>
      </c>
      <c r="H150" s="5">
        <v>12</v>
      </c>
      <c r="I150" s="6">
        <v>46089</v>
      </c>
      <c r="J150" s="6">
        <v>46095</v>
      </c>
      <c r="K150" s="10" t="s">
        <v>24</v>
      </c>
      <c r="L150" s="16" t="str">
        <f t="shared" si="2"/>
        <v>Priority</v>
      </c>
    </row>
    <row r="151" spans="1:12" ht="15" thickBot="1" x14ac:dyDescent="0.4">
      <c r="A151" s="5">
        <v>1400</v>
      </c>
      <c r="B151" s="5" t="s">
        <v>40</v>
      </c>
      <c r="C151" s="5" t="s">
        <v>22</v>
      </c>
      <c r="D151" s="5" t="s">
        <v>34</v>
      </c>
      <c r="E151" s="5" t="s">
        <v>35</v>
      </c>
      <c r="F151" s="5">
        <v>13</v>
      </c>
      <c r="G151" s="5">
        <v>52411</v>
      </c>
      <c r="H151" s="5">
        <v>15</v>
      </c>
      <c r="I151" s="6">
        <v>46090</v>
      </c>
      <c r="J151" s="6">
        <v>46092</v>
      </c>
      <c r="K151" s="10" t="s">
        <v>20</v>
      </c>
      <c r="L151" s="16" t="str">
        <f t="shared" si="2"/>
        <v>Normal</v>
      </c>
    </row>
    <row r="152" spans="1:12" ht="15" thickBot="1" x14ac:dyDescent="0.4">
      <c r="A152" s="5">
        <v>1112</v>
      </c>
      <c r="B152" s="5" t="s">
        <v>21</v>
      </c>
      <c r="C152" s="5" t="s">
        <v>43</v>
      </c>
      <c r="D152" s="5" t="s">
        <v>18</v>
      </c>
      <c r="E152" s="5" t="s">
        <v>44</v>
      </c>
      <c r="F152" s="5">
        <v>7</v>
      </c>
      <c r="G152" s="5">
        <v>1959</v>
      </c>
      <c r="H152" s="5">
        <v>15</v>
      </c>
      <c r="I152" s="6">
        <v>46090</v>
      </c>
      <c r="J152" s="6">
        <v>46100</v>
      </c>
      <c r="K152" s="10" t="s">
        <v>15</v>
      </c>
      <c r="L152" s="16" t="str">
        <f t="shared" si="2"/>
        <v>Normal</v>
      </c>
    </row>
    <row r="153" spans="1:12" ht="15" thickBot="1" x14ac:dyDescent="0.4">
      <c r="A153" s="5">
        <v>1043</v>
      </c>
      <c r="B153" s="5" t="s">
        <v>49</v>
      </c>
      <c r="C153" s="5" t="s">
        <v>38</v>
      </c>
      <c r="D153" s="5" t="s">
        <v>34</v>
      </c>
      <c r="E153" s="5" t="s">
        <v>35</v>
      </c>
      <c r="F153" s="5">
        <v>20</v>
      </c>
      <c r="G153" s="5">
        <v>46093</v>
      </c>
      <c r="H153" s="5">
        <v>5</v>
      </c>
      <c r="I153" s="6">
        <v>46091</v>
      </c>
      <c r="J153" s="6">
        <v>46098</v>
      </c>
      <c r="K153" s="10" t="s">
        <v>29</v>
      </c>
      <c r="L153" s="16" t="str">
        <f t="shared" si="2"/>
        <v>Priority</v>
      </c>
    </row>
    <row r="154" spans="1:12" ht="15" thickBot="1" x14ac:dyDescent="0.4">
      <c r="A154" s="5">
        <v>1255</v>
      </c>
      <c r="B154" s="5" t="s">
        <v>32</v>
      </c>
      <c r="C154" s="5" t="s">
        <v>17</v>
      </c>
      <c r="D154" s="5" t="s">
        <v>18</v>
      </c>
      <c r="E154" s="5" t="s">
        <v>19</v>
      </c>
      <c r="F154" s="5">
        <v>1</v>
      </c>
      <c r="G154" s="5">
        <v>2240</v>
      </c>
      <c r="H154" s="5">
        <v>5</v>
      </c>
      <c r="I154" s="6">
        <v>46091</v>
      </c>
      <c r="J154" s="6">
        <v>46095</v>
      </c>
      <c r="K154" s="10" t="s">
        <v>20</v>
      </c>
      <c r="L154" s="16" t="str">
        <f t="shared" si="2"/>
        <v>Normal</v>
      </c>
    </row>
    <row r="155" spans="1:12" ht="15" thickBot="1" x14ac:dyDescent="0.4">
      <c r="A155" s="5">
        <v>1106</v>
      </c>
      <c r="B155" s="5" t="s">
        <v>27</v>
      </c>
      <c r="C155" s="5" t="s">
        <v>43</v>
      </c>
      <c r="D155" s="5" t="s">
        <v>18</v>
      </c>
      <c r="E155" s="5" t="s">
        <v>23</v>
      </c>
      <c r="F155" s="5">
        <v>20</v>
      </c>
      <c r="G155" s="5">
        <v>2141</v>
      </c>
      <c r="H155" s="5">
        <v>2</v>
      </c>
      <c r="I155" s="6">
        <v>46091</v>
      </c>
      <c r="J155" s="6">
        <v>46097</v>
      </c>
      <c r="K155" s="10" t="s">
        <v>29</v>
      </c>
      <c r="L155" s="16" t="str">
        <f t="shared" si="2"/>
        <v>Priority</v>
      </c>
    </row>
    <row r="156" spans="1:12" ht="15" thickBot="1" x14ac:dyDescent="0.4">
      <c r="A156" s="5">
        <v>1275</v>
      </c>
      <c r="B156" s="5" t="s">
        <v>16</v>
      </c>
      <c r="C156" s="5" t="s">
        <v>31</v>
      </c>
      <c r="D156" s="5" t="s">
        <v>13</v>
      </c>
      <c r="E156" s="5" t="s">
        <v>50</v>
      </c>
      <c r="F156" s="5">
        <v>20</v>
      </c>
      <c r="G156" s="5">
        <v>451</v>
      </c>
      <c r="H156" s="5">
        <v>15</v>
      </c>
      <c r="I156" s="6">
        <v>46092</v>
      </c>
      <c r="J156" s="6">
        <v>46094</v>
      </c>
      <c r="K156" s="10" t="s">
        <v>20</v>
      </c>
      <c r="L156" s="16" t="str">
        <f t="shared" si="2"/>
        <v>Priority</v>
      </c>
    </row>
    <row r="157" spans="1:12" ht="15" thickBot="1" x14ac:dyDescent="0.4">
      <c r="A157" s="5">
        <v>1166</v>
      </c>
      <c r="B157" s="5" t="s">
        <v>32</v>
      </c>
      <c r="C157" s="5" t="s">
        <v>31</v>
      </c>
      <c r="D157" s="5" t="s">
        <v>13</v>
      </c>
      <c r="E157" s="5" t="s">
        <v>37</v>
      </c>
      <c r="F157" s="5">
        <v>1</v>
      </c>
      <c r="G157" s="5">
        <v>396</v>
      </c>
      <c r="H157" s="5">
        <v>5</v>
      </c>
      <c r="I157" s="6">
        <v>46092</v>
      </c>
      <c r="J157" s="6">
        <v>46093</v>
      </c>
      <c r="K157" s="10" t="s">
        <v>20</v>
      </c>
      <c r="L157" s="16" t="str">
        <f t="shared" si="2"/>
        <v>Normal</v>
      </c>
    </row>
    <row r="158" spans="1:12" ht="15" thickBot="1" x14ac:dyDescent="0.4">
      <c r="A158" s="5">
        <v>1139</v>
      </c>
      <c r="B158" s="5" t="s">
        <v>55</v>
      </c>
      <c r="C158" s="5" t="s">
        <v>33</v>
      </c>
      <c r="D158" s="5" t="s">
        <v>34</v>
      </c>
      <c r="E158" s="5" t="s">
        <v>61</v>
      </c>
      <c r="F158" s="5">
        <v>17</v>
      </c>
      <c r="G158" s="5">
        <v>28839</v>
      </c>
      <c r="H158" s="5">
        <v>10</v>
      </c>
      <c r="I158" s="6">
        <v>46093</v>
      </c>
      <c r="J158" s="6">
        <v>46099</v>
      </c>
      <c r="K158" s="10" t="s">
        <v>15</v>
      </c>
      <c r="L158" s="16" t="str">
        <f t="shared" si="2"/>
        <v>Priority</v>
      </c>
    </row>
    <row r="159" spans="1:12" ht="15" thickBot="1" x14ac:dyDescent="0.4">
      <c r="A159" s="5">
        <v>1155</v>
      </c>
      <c r="B159" s="5" t="s">
        <v>11</v>
      </c>
      <c r="C159" s="5" t="s">
        <v>31</v>
      </c>
      <c r="D159" s="5" t="s">
        <v>18</v>
      </c>
      <c r="E159" s="5" t="s">
        <v>28</v>
      </c>
      <c r="F159" s="5">
        <v>13</v>
      </c>
      <c r="G159" s="5">
        <v>4341</v>
      </c>
      <c r="H159" s="5">
        <v>15</v>
      </c>
      <c r="I159" s="6">
        <v>46093</v>
      </c>
      <c r="J159" s="6">
        <v>46096</v>
      </c>
      <c r="K159" s="10" t="s">
        <v>24</v>
      </c>
      <c r="L159" s="16" t="str">
        <f t="shared" si="2"/>
        <v>Normal</v>
      </c>
    </row>
    <row r="160" spans="1:12" ht="15" thickBot="1" x14ac:dyDescent="0.4">
      <c r="A160" s="5">
        <v>1319</v>
      </c>
      <c r="B160" s="5" t="s">
        <v>21</v>
      </c>
      <c r="C160" s="5" t="s">
        <v>17</v>
      </c>
      <c r="D160" s="5" t="s">
        <v>34</v>
      </c>
      <c r="E160" s="5" t="s">
        <v>61</v>
      </c>
      <c r="F160" s="5">
        <v>17</v>
      </c>
      <c r="G160" s="5">
        <v>58407</v>
      </c>
      <c r="H160" s="5">
        <v>7</v>
      </c>
      <c r="I160" s="6">
        <v>46094</v>
      </c>
      <c r="J160" s="6">
        <v>46102</v>
      </c>
      <c r="K160" s="10" t="s">
        <v>15</v>
      </c>
      <c r="L160" s="16" t="str">
        <f t="shared" si="2"/>
        <v>Priority</v>
      </c>
    </row>
    <row r="161" spans="1:12" ht="15" thickBot="1" x14ac:dyDescent="0.4">
      <c r="A161" s="5">
        <v>1388</v>
      </c>
      <c r="B161" s="5" t="s">
        <v>55</v>
      </c>
      <c r="C161" s="5" t="s">
        <v>31</v>
      </c>
      <c r="D161" s="5" t="s">
        <v>18</v>
      </c>
      <c r="E161" s="5" t="s">
        <v>28</v>
      </c>
      <c r="F161" s="5">
        <v>12</v>
      </c>
      <c r="G161" s="5">
        <v>11662</v>
      </c>
      <c r="H161" s="5">
        <v>12</v>
      </c>
      <c r="I161" s="6">
        <v>46094</v>
      </c>
      <c r="J161" s="6">
        <v>46096</v>
      </c>
      <c r="K161" s="10" t="s">
        <v>20</v>
      </c>
      <c r="L161" s="16" t="str">
        <f t="shared" si="2"/>
        <v>Normal</v>
      </c>
    </row>
    <row r="162" spans="1:12" ht="15" thickBot="1" x14ac:dyDescent="0.4">
      <c r="A162" s="5">
        <v>1362</v>
      </c>
      <c r="B162" s="5" t="s">
        <v>16</v>
      </c>
      <c r="C162" s="5" t="s">
        <v>12</v>
      </c>
      <c r="D162" s="5" t="s">
        <v>18</v>
      </c>
      <c r="E162" s="5" t="s">
        <v>28</v>
      </c>
      <c r="F162" s="5">
        <v>1</v>
      </c>
      <c r="G162" s="5">
        <v>10474</v>
      </c>
      <c r="H162" s="5">
        <v>0</v>
      </c>
      <c r="I162" s="6">
        <v>46094</v>
      </c>
      <c r="J162" s="6">
        <v>46096</v>
      </c>
      <c r="K162" s="10" t="s">
        <v>29</v>
      </c>
      <c r="L162" s="16" t="str">
        <f t="shared" si="2"/>
        <v>Normal</v>
      </c>
    </row>
    <row r="163" spans="1:12" ht="15" thickBot="1" x14ac:dyDescent="0.4">
      <c r="A163" s="5">
        <v>1345</v>
      </c>
      <c r="B163" s="5" t="s">
        <v>32</v>
      </c>
      <c r="C163" s="5" t="s">
        <v>12</v>
      </c>
      <c r="D163" s="5" t="s">
        <v>34</v>
      </c>
      <c r="E163" s="5" t="s">
        <v>45</v>
      </c>
      <c r="F163" s="5">
        <v>12</v>
      </c>
      <c r="G163" s="5">
        <v>50544</v>
      </c>
      <c r="H163" s="5">
        <v>10</v>
      </c>
      <c r="I163" s="6">
        <v>46095</v>
      </c>
      <c r="J163" s="6">
        <v>46097</v>
      </c>
      <c r="K163" s="10" t="s">
        <v>29</v>
      </c>
      <c r="L163" s="16" t="str">
        <f t="shared" si="2"/>
        <v>Normal</v>
      </c>
    </row>
    <row r="164" spans="1:12" ht="15" thickBot="1" x14ac:dyDescent="0.4">
      <c r="A164" s="5">
        <v>1013</v>
      </c>
      <c r="B164" s="5" t="s">
        <v>16</v>
      </c>
      <c r="C164" s="5" t="s">
        <v>31</v>
      </c>
      <c r="D164" s="5" t="s">
        <v>13</v>
      </c>
      <c r="E164" s="5" t="s">
        <v>36</v>
      </c>
      <c r="F164" s="5">
        <v>17</v>
      </c>
      <c r="G164" s="5">
        <v>459</v>
      </c>
      <c r="H164" s="5">
        <v>12</v>
      </c>
      <c r="I164" s="6">
        <v>46095</v>
      </c>
      <c r="J164" s="6">
        <v>46105</v>
      </c>
      <c r="K164" s="10" t="s">
        <v>29</v>
      </c>
      <c r="L164" s="16" t="str">
        <f t="shared" si="2"/>
        <v>Priority</v>
      </c>
    </row>
    <row r="165" spans="1:12" ht="15" thickBot="1" x14ac:dyDescent="0.4">
      <c r="A165" s="5">
        <v>1359</v>
      </c>
      <c r="B165" s="5" t="s">
        <v>54</v>
      </c>
      <c r="C165" s="5" t="s">
        <v>12</v>
      </c>
      <c r="D165" s="5" t="s">
        <v>34</v>
      </c>
      <c r="E165" s="5" t="s">
        <v>61</v>
      </c>
      <c r="F165" s="5">
        <v>9</v>
      </c>
      <c r="G165" s="5">
        <v>38179</v>
      </c>
      <c r="H165" s="5">
        <v>0</v>
      </c>
      <c r="I165" s="6">
        <v>46096</v>
      </c>
      <c r="J165" s="6">
        <v>46099</v>
      </c>
      <c r="K165" s="10" t="s">
        <v>15</v>
      </c>
      <c r="L165" s="16" t="str">
        <f t="shared" si="2"/>
        <v>Normal</v>
      </c>
    </row>
    <row r="166" spans="1:12" ht="15" thickBot="1" x14ac:dyDescent="0.4">
      <c r="A166" s="5">
        <v>1266</v>
      </c>
      <c r="B166" s="5" t="s">
        <v>29</v>
      </c>
      <c r="C166" s="5" t="s">
        <v>33</v>
      </c>
      <c r="D166" s="5" t="s">
        <v>13</v>
      </c>
      <c r="E166" s="5" t="s">
        <v>14</v>
      </c>
      <c r="F166" s="5">
        <v>17</v>
      </c>
      <c r="G166" s="5">
        <v>365</v>
      </c>
      <c r="H166" s="5">
        <v>2</v>
      </c>
      <c r="I166" s="6">
        <v>46096</v>
      </c>
      <c r="J166" s="6">
        <v>46104</v>
      </c>
      <c r="K166" s="10" t="s">
        <v>51</v>
      </c>
      <c r="L166" s="16" t="str">
        <f t="shared" si="2"/>
        <v>Priority</v>
      </c>
    </row>
    <row r="167" spans="1:12" ht="15" thickBot="1" x14ac:dyDescent="0.4">
      <c r="A167" s="5">
        <v>1238</v>
      </c>
      <c r="B167" s="5" t="s">
        <v>30</v>
      </c>
      <c r="C167" s="5" t="s">
        <v>31</v>
      </c>
      <c r="D167" s="5" t="s">
        <v>13</v>
      </c>
      <c r="E167" s="5" t="s">
        <v>14</v>
      </c>
      <c r="F167" s="5">
        <v>6</v>
      </c>
      <c r="G167" s="5">
        <v>180</v>
      </c>
      <c r="H167" s="5">
        <v>12</v>
      </c>
      <c r="I167" s="6">
        <v>46096</v>
      </c>
      <c r="J167" s="6">
        <v>46097</v>
      </c>
      <c r="K167" s="10" t="s">
        <v>51</v>
      </c>
      <c r="L167" s="16" t="str">
        <f t="shared" si="2"/>
        <v>Normal</v>
      </c>
    </row>
    <row r="168" spans="1:12" ht="15" thickBot="1" x14ac:dyDescent="0.4">
      <c r="A168" s="5">
        <v>1276</v>
      </c>
      <c r="B168" s="5" t="s">
        <v>40</v>
      </c>
      <c r="C168" s="5" t="s">
        <v>12</v>
      </c>
      <c r="D168" s="5" t="s">
        <v>18</v>
      </c>
      <c r="E168" s="5" t="s">
        <v>19</v>
      </c>
      <c r="F168" s="5">
        <v>1</v>
      </c>
      <c r="G168" s="5">
        <v>13437</v>
      </c>
      <c r="H168" s="5">
        <v>15</v>
      </c>
      <c r="I168" s="6">
        <v>46097</v>
      </c>
      <c r="J168" s="6">
        <v>46099</v>
      </c>
      <c r="K168" s="10" t="s">
        <v>24</v>
      </c>
      <c r="L168" s="16" t="str">
        <f t="shared" si="2"/>
        <v>Normal</v>
      </c>
    </row>
    <row r="169" spans="1:12" ht="15" thickBot="1" x14ac:dyDescent="0.4">
      <c r="A169" s="5">
        <v>1030</v>
      </c>
      <c r="B169" s="5" t="s">
        <v>52</v>
      </c>
      <c r="C169" s="5" t="s">
        <v>12</v>
      </c>
      <c r="D169" s="5" t="s">
        <v>13</v>
      </c>
      <c r="E169" s="5" t="s">
        <v>53</v>
      </c>
      <c r="F169" s="5">
        <v>13</v>
      </c>
      <c r="G169" s="5">
        <v>336</v>
      </c>
      <c r="H169" s="5">
        <v>10</v>
      </c>
      <c r="I169" s="6">
        <v>46098</v>
      </c>
      <c r="J169" s="6">
        <v>46108</v>
      </c>
      <c r="K169" s="10" t="s">
        <v>15</v>
      </c>
      <c r="L169" s="16" t="str">
        <f t="shared" si="2"/>
        <v>Normal</v>
      </c>
    </row>
    <row r="170" spans="1:12" ht="15" thickBot="1" x14ac:dyDescent="0.4">
      <c r="A170" s="5">
        <v>1391</v>
      </c>
      <c r="B170" s="5" t="s">
        <v>30</v>
      </c>
      <c r="C170" s="5" t="s">
        <v>31</v>
      </c>
      <c r="D170" s="5" t="s">
        <v>34</v>
      </c>
      <c r="E170" s="5" t="s">
        <v>35</v>
      </c>
      <c r="F170" s="5">
        <v>5</v>
      </c>
      <c r="G170" s="5">
        <v>65270</v>
      </c>
      <c r="H170" s="5">
        <v>5</v>
      </c>
      <c r="I170" s="6">
        <v>46100</v>
      </c>
      <c r="J170" s="6">
        <v>46103</v>
      </c>
      <c r="K170" s="10" t="s">
        <v>24</v>
      </c>
      <c r="L170" s="16" t="str">
        <f t="shared" si="2"/>
        <v>Normal</v>
      </c>
    </row>
    <row r="171" spans="1:12" ht="15" thickBot="1" x14ac:dyDescent="0.4">
      <c r="A171" s="5">
        <v>1162</v>
      </c>
      <c r="B171" s="5" t="s">
        <v>57</v>
      </c>
      <c r="C171" s="5" t="s">
        <v>31</v>
      </c>
      <c r="D171" s="5" t="s">
        <v>34</v>
      </c>
      <c r="E171" s="5" t="s">
        <v>45</v>
      </c>
      <c r="F171" s="5">
        <v>2</v>
      </c>
      <c r="G171" s="5">
        <v>28176</v>
      </c>
      <c r="H171" s="5">
        <v>10</v>
      </c>
      <c r="I171" s="6">
        <v>46100</v>
      </c>
      <c r="J171" s="6">
        <v>46101</v>
      </c>
      <c r="K171" s="10" t="s">
        <v>20</v>
      </c>
      <c r="L171" s="16" t="str">
        <f t="shared" si="2"/>
        <v>Normal</v>
      </c>
    </row>
    <row r="172" spans="1:12" ht="15" thickBot="1" x14ac:dyDescent="0.4">
      <c r="A172" s="5">
        <v>1283</v>
      </c>
      <c r="B172" s="5" t="s">
        <v>40</v>
      </c>
      <c r="C172" s="5" t="s">
        <v>12</v>
      </c>
      <c r="D172" s="5" t="s">
        <v>18</v>
      </c>
      <c r="E172" s="5" t="s">
        <v>23</v>
      </c>
      <c r="F172" s="5">
        <v>6</v>
      </c>
      <c r="G172" s="5">
        <v>1167</v>
      </c>
      <c r="H172" s="5">
        <v>2</v>
      </c>
      <c r="I172" s="6">
        <v>46100</v>
      </c>
      <c r="J172" s="6">
        <v>46106</v>
      </c>
      <c r="K172" s="10" t="s">
        <v>15</v>
      </c>
      <c r="L172" s="16" t="str">
        <f t="shared" si="2"/>
        <v>Normal</v>
      </c>
    </row>
    <row r="173" spans="1:12" ht="15" thickBot="1" x14ac:dyDescent="0.4">
      <c r="A173" s="5">
        <v>1094</v>
      </c>
      <c r="B173" s="5" t="s">
        <v>47</v>
      </c>
      <c r="C173" s="5" t="s">
        <v>43</v>
      </c>
      <c r="D173" s="5" t="s">
        <v>34</v>
      </c>
      <c r="E173" s="5" t="s">
        <v>61</v>
      </c>
      <c r="F173" s="5">
        <v>4</v>
      </c>
      <c r="G173" s="5">
        <v>7073</v>
      </c>
      <c r="H173" s="5">
        <v>0</v>
      </c>
      <c r="I173" s="6">
        <v>46101</v>
      </c>
      <c r="J173" s="6">
        <v>46105</v>
      </c>
      <c r="K173" s="10" t="s">
        <v>29</v>
      </c>
      <c r="L173" s="16" t="str">
        <f t="shared" si="2"/>
        <v>Normal</v>
      </c>
    </row>
    <row r="174" spans="1:12" ht="15" thickBot="1" x14ac:dyDescent="0.4">
      <c r="A174" s="5">
        <v>1387</v>
      </c>
      <c r="B174" s="5" t="s">
        <v>54</v>
      </c>
      <c r="C174" s="5" t="s">
        <v>33</v>
      </c>
      <c r="D174" s="5" t="s">
        <v>34</v>
      </c>
      <c r="E174" s="5" t="s">
        <v>35</v>
      </c>
      <c r="F174" s="5">
        <v>11</v>
      </c>
      <c r="G174" s="5">
        <v>56515</v>
      </c>
      <c r="H174" s="5">
        <v>5</v>
      </c>
      <c r="I174" s="6">
        <v>46102</v>
      </c>
      <c r="J174" s="6">
        <v>46112</v>
      </c>
      <c r="K174" s="10" t="s">
        <v>24</v>
      </c>
      <c r="L174" s="16" t="str">
        <f t="shared" si="2"/>
        <v>Normal</v>
      </c>
    </row>
    <row r="175" spans="1:12" ht="15" thickBot="1" x14ac:dyDescent="0.4">
      <c r="A175" s="5">
        <v>1049</v>
      </c>
      <c r="B175" s="5" t="s">
        <v>52</v>
      </c>
      <c r="C175" s="5" t="s">
        <v>25</v>
      </c>
      <c r="D175" s="5" t="s">
        <v>34</v>
      </c>
      <c r="E175" s="5" t="s">
        <v>45</v>
      </c>
      <c r="F175" s="5">
        <v>2</v>
      </c>
      <c r="G175" s="5">
        <v>40789</v>
      </c>
      <c r="H175" s="5">
        <v>0</v>
      </c>
      <c r="I175" s="6">
        <v>46102</v>
      </c>
      <c r="J175" s="6">
        <v>46108</v>
      </c>
      <c r="K175" s="10" t="s">
        <v>24</v>
      </c>
      <c r="L175" s="16" t="str">
        <f t="shared" si="2"/>
        <v>Normal</v>
      </c>
    </row>
    <row r="176" spans="1:12" ht="15" thickBot="1" x14ac:dyDescent="0.4">
      <c r="A176" s="5">
        <v>1145</v>
      </c>
      <c r="B176" s="5" t="s">
        <v>42</v>
      </c>
      <c r="C176" s="5" t="s">
        <v>33</v>
      </c>
      <c r="D176" s="5" t="s">
        <v>34</v>
      </c>
      <c r="E176" s="5" t="s">
        <v>39</v>
      </c>
      <c r="F176" s="5">
        <v>2</v>
      </c>
      <c r="G176" s="5">
        <v>34429</v>
      </c>
      <c r="H176" s="5">
        <v>12</v>
      </c>
      <c r="I176" s="6">
        <v>46102</v>
      </c>
      <c r="J176" s="6">
        <v>46112</v>
      </c>
      <c r="K176" s="10" t="s">
        <v>24</v>
      </c>
      <c r="L176" s="16" t="str">
        <f t="shared" si="2"/>
        <v>Normal</v>
      </c>
    </row>
    <row r="177" spans="1:12" ht="15" thickBot="1" x14ac:dyDescent="0.4">
      <c r="A177" s="5">
        <v>1121</v>
      </c>
      <c r="B177" s="5" t="s">
        <v>29</v>
      </c>
      <c r="C177" s="5" t="s">
        <v>12</v>
      </c>
      <c r="D177" s="5" t="s">
        <v>34</v>
      </c>
      <c r="E177" s="5" t="s">
        <v>39</v>
      </c>
      <c r="F177" s="5">
        <v>4</v>
      </c>
      <c r="G177" s="5">
        <v>55809</v>
      </c>
      <c r="H177" s="5">
        <v>2</v>
      </c>
      <c r="I177" s="6">
        <v>46103</v>
      </c>
      <c r="J177" s="6">
        <v>46108</v>
      </c>
      <c r="K177" s="10" t="s">
        <v>29</v>
      </c>
      <c r="L177" s="16" t="str">
        <f t="shared" si="2"/>
        <v>Normal</v>
      </c>
    </row>
    <row r="178" spans="1:12" ht="15" thickBot="1" x14ac:dyDescent="0.4">
      <c r="A178" s="5">
        <v>1209</v>
      </c>
      <c r="B178" s="5" t="s">
        <v>48</v>
      </c>
      <c r="C178" s="5" t="s">
        <v>38</v>
      </c>
      <c r="D178" s="5" t="s">
        <v>34</v>
      </c>
      <c r="E178" s="5" t="s">
        <v>35</v>
      </c>
      <c r="F178" s="5">
        <v>19</v>
      </c>
      <c r="G178" s="5">
        <v>20284</v>
      </c>
      <c r="H178" s="5">
        <v>10</v>
      </c>
      <c r="I178" s="6">
        <v>46103</v>
      </c>
      <c r="J178" s="6">
        <v>46110</v>
      </c>
      <c r="K178" s="10" t="s">
        <v>20</v>
      </c>
      <c r="L178" s="16" t="str">
        <f t="shared" si="2"/>
        <v>Priority</v>
      </c>
    </row>
    <row r="179" spans="1:12" ht="15" thickBot="1" x14ac:dyDescent="0.4">
      <c r="A179" s="5">
        <v>1161</v>
      </c>
      <c r="B179" s="5" t="s">
        <v>27</v>
      </c>
      <c r="C179" s="5" t="s">
        <v>25</v>
      </c>
      <c r="D179" s="5" t="s">
        <v>34</v>
      </c>
      <c r="E179" s="5" t="s">
        <v>39</v>
      </c>
      <c r="F179" s="5">
        <v>4</v>
      </c>
      <c r="G179" s="5">
        <v>54659</v>
      </c>
      <c r="H179" s="5">
        <v>7</v>
      </c>
      <c r="I179" s="6">
        <v>46105</v>
      </c>
      <c r="J179" s="6">
        <v>46109</v>
      </c>
      <c r="K179" s="10" t="s">
        <v>20</v>
      </c>
      <c r="L179" s="16" t="str">
        <f t="shared" si="2"/>
        <v>Normal</v>
      </c>
    </row>
    <row r="180" spans="1:12" ht="15" thickBot="1" x14ac:dyDescent="0.4">
      <c r="A180" s="5">
        <v>1377</v>
      </c>
      <c r="B180" s="5" t="s">
        <v>32</v>
      </c>
      <c r="C180" s="5" t="s">
        <v>38</v>
      </c>
      <c r="D180" s="5" t="s">
        <v>18</v>
      </c>
      <c r="E180" s="5" t="s">
        <v>19</v>
      </c>
      <c r="F180" s="5">
        <v>3</v>
      </c>
      <c r="G180" s="5">
        <v>5480</v>
      </c>
      <c r="H180" s="5">
        <v>12</v>
      </c>
      <c r="I180" s="6">
        <v>46105</v>
      </c>
      <c r="J180" s="6">
        <v>46111</v>
      </c>
      <c r="K180" s="10" t="s">
        <v>24</v>
      </c>
      <c r="L180" s="16" t="str">
        <f t="shared" si="2"/>
        <v>Priority</v>
      </c>
    </row>
    <row r="181" spans="1:12" ht="15" thickBot="1" x14ac:dyDescent="0.4">
      <c r="A181" s="5">
        <v>1170</v>
      </c>
      <c r="B181" s="5" t="s">
        <v>49</v>
      </c>
      <c r="C181" s="5" t="s">
        <v>38</v>
      </c>
      <c r="D181" s="5" t="s">
        <v>13</v>
      </c>
      <c r="E181" s="5" t="s">
        <v>14</v>
      </c>
      <c r="F181" s="5">
        <v>6</v>
      </c>
      <c r="G181" s="5">
        <v>339</v>
      </c>
      <c r="H181" s="5">
        <v>12</v>
      </c>
      <c r="I181" s="6">
        <v>46105</v>
      </c>
      <c r="J181" s="6">
        <v>46106</v>
      </c>
      <c r="K181" s="10" t="s">
        <v>24</v>
      </c>
      <c r="L181" s="16" t="str">
        <f t="shared" si="2"/>
        <v>Priority</v>
      </c>
    </row>
    <row r="182" spans="1:12" ht="15" thickBot="1" x14ac:dyDescent="0.4">
      <c r="A182" s="5">
        <v>1102</v>
      </c>
      <c r="B182" s="5" t="s">
        <v>54</v>
      </c>
      <c r="C182" s="5" t="s">
        <v>25</v>
      </c>
      <c r="D182" s="5" t="s">
        <v>34</v>
      </c>
      <c r="E182" s="5" t="s">
        <v>45</v>
      </c>
      <c r="F182" s="5">
        <v>12</v>
      </c>
      <c r="G182" s="5">
        <v>63402</v>
      </c>
      <c r="H182" s="5">
        <v>7</v>
      </c>
      <c r="I182" s="6">
        <v>46106</v>
      </c>
      <c r="J182" s="6">
        <v>46113</v>
      </c>
      <c r="K182" s="10" t="s">
        <v>51</v>
      </c>
      <c r="L182" s="16" t="str">
        <f t="shared" si="2"/>
        <v>Normal</v>
      </c>
    </row>
    <row r="183" spans="1:12" ht="15" thickBot="1" x14ac:dyDescent="0.4">
      <c r="A183" s="5">
        <v>1198</v>
      </c>
      <c r="B183" s="5" t="s">
        <v>58</v>
      </c>
      <c r="C183" s="5" t="s">
        <v>12</v>
      </c>
      <c r="D183" s="5" t="s">
        <v>13</v>
      </c>
      <c r="E183" s="5" t="s">
        <v>14</v>
      </c>
      <c r="F183" s="5">
        <v>12</v>
      </c>
      <c r="G183" s="5">
        <v>491</v>
      </c>
      <c r="H183" s="5">
        <v>2</v>
      </c>
      <c r="I183" s="6">
        <v>46106</v>
      </c>
      <c r="J183" s="6">
        <v>46109</v>
      </c>
      <c r="K183" s="10" t="s">
        <v>51</v>
      </c>
      <c r="L183" s="16" t="str">
        <f t="shared" si="2"/>
        <v>Normal</v>
      </c>
    </row>
    <row r="184" spans="1:12" ht="15" thickBot="1" x14ac:dyDescent="0.4">
      <c r="A184" s="5">
        <v>1379</v>
      </c>
      <c r="B184" s="5" t="s">
        <v>47</v>
      </c>
      <c r="C184" s="5" t="s">
        <v>17</v>
      </c>
      <c r="D184" s="5" t="s">
        <v>13</v>
      </c>
      <c r="E184" s="5" t="s">
        <v>14</v>
      </c>
      <c r="F184" s="5">
        <v>11</v>
      </c>
      <c r="G184" s="5">
        <v>136</v>
      </c>
      <c r="H184" s="5">
        <v>15</v>
      </c>
      <c r="I184" s="6">
        <v>46106</v>
      </c>
      <c r="J184" s="6">
        <v>46107</v>
      </c>
      <c r="K184" s="10" t="s">
        <v>20</v>
      </c>
      <c r="L184" s="16" t="str">
        <f t="shared" si="2"/>
        <v>Normal</v>
      </c>
    </row>
    <row r="185" spans="1:12" ht="15" thickBot="1" x14ac:dyDescent="0.4">
      <c r="A185" s="5">
        <v>1039</v>
      </c>
      <c r="B185" s="5" t="s">
        <v>48</v>
      </c>
      <c r="C185" s="5" t="s">
        <v>38</v>
      </c>
      <c r="D185" s="5" t="s">
        <v>34</v>
      </c>
      <c r="E185" s="5" t="s">
        <v>45</v>
      </c>
      <c r="F185" s="5">
        <v>5</v>
      </c>
      <c r="G185" s="5">
        <v>60236</v>
      </c>
      <c r="H185" s="5">
        <v>10</v>
      </c>
      <c r="I185" s="6">
        <v>46107</v>
      </c>
      <c r="J185" s="6">
        <v>46110</v>
      </c>
      <c r="K185" s="10" t="s">
        <v>20</v>
      </c>
      <c r="L185" s="16" t="str">
        <f t="shared" si="2"/>
        <v>Priority</v>
      </c>
    </row>
    <row r="186" spans="1:12" ht="15" thickBot="1" x14ac:dyDescent="0.4">
      <c r="A186" s="5">
        <v>1321</v>
      </c>
      <c r="B186" s="5" t="s">
        <v>32</v>
      </c>
      <c r="C186" s="5" t="s">
        <v>22</v>
      </c>
      <c r="D186" s="5" t="s">
        <v>18</v>
      </c>
      <c r="E186" s="5" t="s">
        <v>19</v>
      </c>
      <c r="F186" s="5">
        <v>8</v>
      </c>
      <c r="G186" s="5">
        <v>5619</v>
      </c>
      <c r="H186" s="5">
        <v>7</v>
      </c>
      <c r="I186" s="6">
        <v>46107</v>
      </c>
      <c r="J186" s="6">
        <v>46109</v>
      </c>
      <c r="K186" s="10" t="s">
        <v>51</v>
      </c>
      <c r="L186" s="16" t="str">
        <f t="shared" si="2"/>
        <v>Normal</v>
      </c>
    </row>
    <row r="187" spans="1:12" ht="15" thickBot="1" x14ac:dyDescent="0.4">
      <c r="A187" s="5">
        <v>1123</v>
      </c>
      <c r="B187" s="5" t="s">
        <v>32</v>
      </c>
      <c r="C187" s="5" t="s">
        <v>31</v>
      </c>
      <c r="D187" s="5" t="s">
        <v>34</v>
      </c>
      <c r="E187" s="5" t="s">
        <v>45</v>
      </c>
      <c r="F187" s="5">
        <v>16</v>
      </c>
      <c r="G187" s="5">
        <v>1332</v>
      </c>
      <c r="H187" s="5">
        <v>7</v>
      </c>
      <c r="I187" s="6">
        <v>46107</v>
      </c>
      <c r="J187" s="6">
        <v>46109</v>
      </c>
      <c r="K187" s="10" t="s">
        <v>29</v>
      </c>
      <c r="L187" s="16" t="str">
        <f t="shared" si="2"/>
        <v>Priority</v>
      </c>
    </row>
    <row r="188" spans="1:12" ht="15" thickBot="1" x14ac:dyDescent="0.4">
      <c r="A188" s="5">
        <v>1182</v>
      </c>
      <c r="B188" s="5" t="s">
        <v>42</v>
      </c>
      <c r="C188" s="5" t="s">
        <v>12</v>
      </c>
      <c r="D188" s="5" t="s">
        <v>34</v>
      </c>
      <c r="E188" s="5" t="s">
        <v>39</v>
      </c>
      <c r="F188" s="5">
        <v>8</v>
      </c>
      <c r="G188" s="5">
        <v>66022</v>
      </c>
      <c r="H188" s="5">
        <v>12</v>
      </c>
      <c r="I188" s="6">
        <v>46108</v>
      </c>
      <c r="J188" s="6">
        <v>46114</v>
      </c>
      <c r="K188" s="10" t="s">
        <v>24</v>
      </c>
      <c r="L188" s="16" t="str">
        <f t="shared" si="2"/>
        <v>Normal</v>
      </c>
    </row>
    <row r="189" spans="1:12" ht="15" thickBot="1" x14ac:dyDescent="0.4">
      <c r="A189" s="5">
        <v>1183</v>
      </c>
      <c r="B189" s="5" t="s">
        <v>52</v>
      </c>
      <c r="C189" s="5" t="s">
        <v>43</v>
      </c>
      <c r="D189" s="5" t="s">
        <v>13</v>
      </c>
      <c r="E189" s="5" t="s">
        <v>14</v>
      </c>
      <c r="F189" s="5">
        <v>2</v>
      </c>
      <c r="G189" s="5">
        <v>309</v>
      </c>
      <c r="H189" s="5">
        <v>2</v>
      </c>
      <c r="I189" s="6">
        <v>46109</v>
      </c>
      <c r="J189" s="6">
        <v>46111</v>
      </c>
      <c r="K189" s="10" t="s">
        <v>20</v>
      </c>
      <c r="L189" s="16" t="str">
        <f t="shared" si="2"/>
        <v>Normal</v>
      </c>
    </row>
    <row r="190" spans="1:12" ht="15" thickBot="1" x14ac:dyDescent="0.4">
      <c r="A190" s="5">
        <v>1328</v>
      </c>
      <c r="B190" s="5" t="s">
        <v>16</v>
      </c>
      <c r="C190" s="5" t="s">
        <v>38</v>
      </c>
      <c r="D190" s="5" t="s">
        <v>13</v>
      </c>
      <c r="E190" s="5" t="s">
        <v>36</v>
      </c>
      <c r="F190" s="5">
        <v>4</v>
      </c>
      <c r="G190" s="5">
        <v>132</v>
      </c>
      <c r="H190" s="5">
        <v>0</v>
      </c>
      <c r="I190" s="6">
        <v>46109</v>
      </c>
      <c r="J190" s="6">
        <v>46114</v>
      </c>
      <c r="K190" s="10" t="s">
        <v>29</v>
      </c>
      <c r="L190" s="16" t="str">
        <f t="shared" si="2"/>
        <v>Priority</v>
      </c>
    </row>
    <row r="191" spans="1:12" ht="15" thickBot="1" x14ac:dyDescent="0.4">
      <c r="A191" s="5">
        <v>1290</v>
      </c>
      <c r="B191" s="5" t="s">
        <v>26</v>
      </c>
      <c r="C191" s="5" t="s">
        <v>22</v>
      </c>
      <c r="D191" s="5" t="s">
        <v>34</v>
      </c>
      <c r="E191" s="5" t="s">
        <v>35</v>
      </c>
      <c r="F191" s="5">
        <v>3</v>
      </c>
      <c r="G191" s="5">
        <v>69793</v>
      </c>
      <c r="H191" s="5">
        <v>15</v>
      </c>
      <c r="I191" s="6">
        <v>46110</v>
      </c>
      <c r="J191" s="6">
        <v>46111</v>
      </c>
      <c r="K191" s="10" t="s">
        <v>29</v>
      </c>
      <c r="L191" s="16" t="str">
        <f t="shared" si="2"/>
        <v>Normal</v>
      </c>
    </row>
    <row r="192" spans="1:12" ht="15" thickBot="1" x14ac:dyDescent="0.4">
      <c r="A192" s="5">
        <v>1193</v>
      </c>
      <c r="B192" s="5" t="s">
        <v>57</v>
      </c>
      <c r="C192" s="5" t="s">
        <v>12</v>
      </c>
      <c r="D192" s="5" t="s">
        <v>18</v>
      </c>
      <c r="E192" s="5" t="s">
        <v>23</v>
      </c>
      <c r="F192" s="5">
        <v>19</v>
      </c>
      <c r="G192" s="5">
        <v>2699</v>
      </c>
      <c r="H192" s="5">
        <v>7</v>
      </c>
      <c r="I192" s="6">
        <v>46110</v>
      </c>
      <c r="J192" s="6">
        <v>46112</v>
      </c>
      <c r="K192" s="10" t="s">
        <v>29</v>
      </c>
      <c r="L192" s="16" t="str">
        <f t="shared" si="2"/>
        <v>Priority</v>
      </c>
    </row>
    <row r="193" spans="1:12" ht="15" thickBot="1" x14ac:dyDescent="0.4">
      <c r="A193" s="5">
        <v>1300</v>
      </c>
      <c r="B193" s="5" t="s">
        <v>47</v>
      </c>
      <c r="C193" s="5" t="s">
        <v>33</v>
      </c>
      <c r="D193" s="5" t="s">
        <v>34</v>
      </c>
      <c r="E193" s="5" t="s">
        <v>45</v>
      </c>
      <c r="F193" s="5">
        <v>20</v>
      </c>
      <c r="G193" s="5">
        <v>1392</v>
      </c>
      <c r="H193" s="5">
        <v>2</v>
      </c>
      <c r="I193" s="6">
        <v>46110</v>
      </c>
      <c r="J193" s="6">
        <v>46117</v>
      </c>
      <c r="K193" s="10" t="s">
        <v>24</v>
      </c>
      <c r="L193" s="16" t="str">
        <f t="shared" si="2"/>
        <v>Priority</v>
      </c>
    </row>
    <row r="194" spans="1:12" ht="15" thickBot="1" x14ac:dyDescent="0.4">
      <c r="A194" s="5">
        <v>1180</v>
      </c>
      <c r="B194" s="5" t="s">
        <v>40</v>
      </c>
      <c r="C194" s="5" t="s">
        <v>31</v>
      </c>
      <c r="D194" s="5" t="s">
        <v>18</v>
      </c>
      <c r="E194" s="5" t="s">
        <v>28</v>
      </c>
      <c r="F194" s="5">
        <v>2</v>
      </c>
      <c r="G194" s="5">
        <v>2076</v>
      </c>
      <c r="H194" s="5">
        <v>2</v>
      </c>
      <c r="I194" s="6">
        <v>46111</v>
      </c>
      <c r="J194" s="6">
        <v>46121</v>
      </c>
      <c r="K194" s="10" t="s">
        <v>29</v>
      </c>
      <c r="L194" s="16" t="str">
        <f t="shared" si="2"/>
        <v>Normal</v>
      </c>
    </row>
    <row r="195" spans="1:12" ht="15" thickBot="1" x14ac:dyDescent="0.4">
      <c r="A195" s="5">
        <v>1178</v>
      </c>
      <c r="B195" s="5" t="s">
        <v>57</v>
      </c>
      <c r="C195" s="5" t="s">
        <v>17</v>
      </c>
      <c r="D195" s="5" t="s">
        <v>13</v>
      </c>
      <c r="E195" s="5" t="s">
        <v>50</v>
      </c>
      <c r="F195" s="5">
        <v>5</v>
      </c>
      <c r="G195" s="5">
        <v>50</v>
      </c>
      <c r="H195" s="5">
        <v>0</v>
      </c>
      <c r="I195" s="6">
        <v>46111</v>
      </c>
      <c r="J195" s="6">
        <v>46117</v>
      </c>
      <c r="K195" s="10" t="s">
        <v>20</v>
      </c>
      <c r="L195" s="16" t="str">
        <f t="shared" ref="L195:L258" si="3">IF(OR(C195="Mumbai",F195&gt;=15),"Priority","Normal")</f>
        <v>Normal</v>
      </c>
    </row>
    <row r="196" spans="1:12" ht="15" thickBot="1" x14ac:dyDescent="0.4">
      <c r="A196" s="5">
        <v>1251</v>
      </c>
      <c r="B196" s="5" t="s">
        <v>55</v>
      </c>
      <c r="C196" s="5" t="s">
        <v>38</v>
      </c>
      <c r="D196" s="5" t="s">
        <v>34</v>
      </c>
      <c r="E196" s="5" t="s">
        <v>61</v>
      </c>
      <c r="F196" s="5">
        <v>19</v>
      </c>
      <c r="G196" s="5">
        <v>48548</v>
      </c>
      <c r="H196" s="5">
        <v>0</v>
      </c>
      <c r="I196" s="6">
        <v>46112</v>
      </c>
      <c r="J196" s="6">
        <v>46121</v>
      </c>
      <c r="K196" s="10" t="s">
        <v>51</v>
      </c>
      <c r="L196" s="16" t="str">
        <f t="shared" si="3"/>
        <v>Priority</v>
      </c>
    </row>
    <row r="197" spans="1:12" ht="15" thickBot="1" x14ac:dyDescent="0.4">
      <c r="A197" s="5">
        <v>1133</v>
      </c>
      <c r="B197" s="5" t="s">
        <v>11</v>
      </c>
      <c r="C197" s="5" t="s">
        <v>12</v>
      </c>
      <c r="D197" s="5" t="s">
        <v>18</v>
      </c>
      <c r="E197" s="5" t="s">
        <v>56</v>
      </c>
      <c r="F197" s="5">
        <v>6</v>
      </c>
      <c r="G197" s="5">
        <v>9037</v>
      </c>
      <c r="H197" s="5">
        <v>2</v>
      </c>
      <c r="I197" s="6">
        <v>46112</v>
      </c>
      <c r="J197" s="6">
        <v>46121</v>
      </c>
      <c r="K197" s="10" t="s">
        <v>51</v>
      </c>
      <c r="L197" s="16" t="str">
        <f t="shared" si="3"/>
        <v>Normal</v>
      </c>
    </row>
    <row r="198" spans="1:12" ht="15" thickBot="1" x14ac:dyDescent="0.4">
      <c r="A198" s="5">
        <v>1227</v>
      </c>
      <c r="B198" s="5" t="s">
        <v>58</v>
      </c>
      <c r="C198" s="5" t="s">
        <v>22</v>
      </c>
      <c r="D198" s="5" t="s">
        <v>34</v>
      </c>
      <c r="E198" s="5" t="s">
        <v>45</v>
      </c>
      <c r="F198" s="5">
        <v>16</v>
      </c>
      <c r="G198" s="5">
        <v>1321</v>
      </c>
      <c r="H198" s="5">
        <v>12</v>
      </c>
      <c r="I198" s="6">
        <v>46113</v>
      </c>
      <c r="J198" s="6">
        <v>46116</v>
      </c>
      <c r="K198" s="10" t="s">
        <v>15</v>
      </c>
      <c r="L198" s="16" t="str">
        <f t="shared" si="3"/>
        <v>Priority</v>
      </c>
    </row>
    <row r="199" spans="1:12" ht="15" thickBot="1" x14ac:dyDescent="0.4">
      <c r="A199" s="5">
        <v>1077</v>
      </c>
      <c r="B199" s="5" t="s">
        <v>55</v>
      </c>
      <c r="C199" s="5" t="s">
        <v>25</v>
      </c>
      <c r="D199" s="5" t="s">
        <v>13</v>
      </c>
      <c r="E199" s="5" t="s">
        <v>14</v>
      </c>
      <c r="F199" s="5">
        <v>1</v>
      </c>
      <c r="G199" s="5">
        <v>123</v>
      </c>
      <c r="H199" s="5">
        <v>10</v>
      </c>
      <c r="I199" s="6">
        <v>46113</v>
      </c>
      <c r="J199" s="6">
        <v>46121</v>
      </c>
      <c r="K199" s="10" t="s">
        <v>51</v>
      </c>
      <c r="L199" s="16" t="str">
        <f t="shared" si="3"/>
        <v>Normal</v>
      </c>
    </row>
    <row r="200" spans="1:12" ht="15" thickBot="1" x14ac:dyDescent="0.4">
      <c r="A200" s="5">
        <v>1059</v>
      </c>
      <c r="B200" s="5" t="s">
        <v>54</v>
      </c>
      <c r="C200" s="5" t="s">
        <v>25</v>
      </c>
      <c r="D200" s="5" t="s">
        <v>13</v>
      </c>
      <c r="E200" s="5" t="s">
        <v>50</v>
      </c>
      <c r="F200" s="5">
        <v>20</v>
      </c>
      <c r="G200" s="5">
        <v>112</v>
      </c>
      <c r="H200" s="5">
        <v>10</v>
      </c>
      <c r="I200" s="6">
        <v>46113</v>
      </c>
      <c r="J200" s="6">
        <v>46122</v>
      </c>
      <c r="K200" s="10" t="s">
        <v>51</v>
      </c>
      <c r="L200" s="16" t="str">
        <f t="shared" si="3"/>
        <v>Priority</v>
      </c>
    </row>
    <row r="201" spans="1:12" ht="15" thickBot="1" x14ac:dyDescent="0.4">
      <c r="A201" s="5">
        <v>1234</v>
      </c>
      <c r="B201" s="5" t="s">
        <v>11</v>
      </c>
      <c r="C201" s="5" t="s">
        <v>25</v>
      </c>
      <c r="D201" s="5" t="s">
        <v>18</v>
      </c>
      <c r="E201" s="5" t="s">
        <v>28</v>
      </c>
      <c r="F201" s="5">
        <v>1</v>
      </c>
      <c r="G201" s="5">
        <v>14320</v>
      </c>
      <c r="H201" s="5">
        <v>12</v>
      </c>
      <c r="I201" s="6">
        <v>46114</v>
      </c>
      <c r="J201" s="6">
        <v>46121</v>
      </c>
      <c r="K201" s="10" t="s">
        <v>51</v>
      </c>
      <c r="L201" s="16" t="str">
        <f t="shared" si="3"/>
        <v>Normal</v>
      </c>
    </row>
    <row r="202" spans="1:12" ht="15" thickBot="1" x14ac:dyDescent="0.4">
      <c r="A202" s="5">
        <v>1074</v>
      </c>
      <c r="B202" s="5" t="s">
        <v>26</v>
      </c>
      <c r="C202" s="5" t="s">
        <v>31</v>
      </c>
      <c r="D202" s="5" t="s">
        <v>13</v>
      </c>
      <c r="E202" s="5" t="s">
        <v>50</v>
      </c>
      <c r="F202" s="5">
        <v>11</v>
      </c>
      <c r="G202" s="5">
        <v>390</v>
      </c>
      <c r="H202" s="5">
        <v>15</v>
      </c>
      <c r="I202" s="6">
        <v>46114</v>
      </c>
      <c r="J202" s="6">
        <v>46123</v>
      </c>
      <c r="K202" s="10" t="s">
        <v>29</v>
      </c>
      <c r="L202" s="16" t="str">
        <f t="shared" si="3"/>
        <v>Normal</v>
      </c>
    </row>
    <row r="203" spans="1:12" ht="15" thickBot="1" x14ac:dyDescent="0.4">
      <c r="A203" s="5">
        <v>1213</v>
      </c>
      <c r="B203" s="5" t="s">
        <v>32</v>
      </c>
      <c r="C203" s="5" t="s">
        <v>38</v>
      </c>
      <c r="D203" s="5" t="s">
        <v>34</v>
      </c>
      <c r="E203" s="5" t="s">
        <v>45</v>
      </c>
      <c r="F203" s="5">
        <v>16</v>
      </c>
      <c r="G203" s="5">
        <v>27741</v>
      </c>
      <c r="H203" s="5">
        <v>12</v>
      </c>
      <c r="I203" s="6">
        <v>46116</v>
      </c>
      <c r="J203" s="6">
        <v>46119</v>
      </c>
      <c r="K203" s="10" t="s">
        <v>15</v>
      </c>
      <c r="L203" s="16" t="str">
        <f t="shared" si="3"/>
        <v>Priority</v>
      </c>
    </row>
    <row r="204" spans="1:12" ht="15" thickBot="1" x14ac:dyDescent="0.4">
      <c r="A204" s="5">
        <v>1028</v>
      </c>
      <c r="B204" s="5" t="s">
        <v>47</v>
      </c>
      <c r="C204" s="5" t="s">
        <v>22</v>
      </c>
      <c r="D204" s="5" t="s">
        <v>13</v>
      </c>
      <c r="E204" s="5" t="s">
        <v>36</v>
      </c>
      <c r="F204" s="5">
        <v>13</v>
      </c>
      <c r="G204" s="5">
        <v>433</v>
      </c>
      <c r="H204" s="5">
        <v>2</v>
      </c>
      <c r="I204" s="6">
        <v>46116</v>
      </c>
      <c r="J204" s="6">
        <v>46121</v>
      </c>
      <c r="K204" s="10" t="s">
        <v>24</v>
      </c>
      <c r="L204" s="16" t="str">
        <f t="shared" si="3"/>
        <v>Normal</v>
      </c>
    </row>
    <row r="205" spans="1:12" ht="15" thickBot="1" x14ac:dyDescent="0.4">
      <c r="A205" s="5">
        <v>1287</v>
      </c>
      <c r="B205" s="5" t="s">
        <v>59</v>
      </c>
      <c r="C205" s="5" t="s">
        <v>31</v>
      </c>
      <c r="D205" s="5" t="s">
        <v>13</v>
      </c>
      <c r="E205" s="5" t="s">
        <v>14</v>
      </c>
      <c r="F205" s="5">
        <v>15</v>
      </c>
      <c r="G205" s="5">
        <v>251</v>
      </c>
      <c r="H205" s="5">
        <v>2</v>
      </c>
      <c r="I205" s="6">
        <v>46116</v>
      </c>
      <c r="J205" s="6">
        <v>46122</v>
      </c>
      <c r="K205" s="10" t="s">
        <v>51</v>
      </c>
      <c r="L205" s="16" t="str">
        <f t="shared" si="3"/>
        <v>Priority</v>
      </c>
    </row>
    <row r="206" spans="1:12" ht="15" thickBot="1" x14ac:dyDescent="0.4">
      <c r="A206" s="5">
        <v>1022</v>
      </c>
      <c r="B206" s="5" t="s">
        <v>26</v>
      </c>
      <c r="C206" s="5" t="s">
        <v>17</v>
      </c>
      <c r="D206" s="5" t="s">
        <v>34</v>
      </c>
      <c r="E206" s="5" t="s">
        <v>45</v>
      </c>
      <c r="F206" s="5">
        <v>15</v>
      </c>
      <c r="G206" s="5">
        <v>11596</v>
      </c>
      <c r="H206" s="5">
        <v>0</v>
      </c>
      <c r="I206" s="6">
        <v>46117</v>
      </c>
      <c r="J206" s="6">
        <v>46121</v>
      </c>
      <c r="K206" s="10" t="s">
        <v>29</v>
      </c>
      <c r="L206" s="16" t="str">
        <f t="shared" si="3"/>
        <v>Priority</v>
      </c>
    </row>
    <row r="207" spans="1:12" ht="15" thickBot="1" x14ac:dyDescent="0.4">
      <c r="A207" s="5">
        <v>1265</v>
      </c>
      <c r="B207" s="5" t="s">
        <v>58</v>
      </c>
      <c r="C207" s="5" t="s">
        <v>22</v>
      </c>
      <c r="D207" s="5" t="s">
        <v>18</v>
      </c>
      <c r="E207" s="5" t="s">
        <v>19</v>
      </c>
      <c r="F207" s="5">
        <v>1</v>
      </c>
      <c r="G207" s="5">
        <v>1052</v>
      </c>
      <c r="H207" s="5">
        <v>7</v>
      </c>
      <c r="I207" s="6">
        <v>46117</v>
      </c>
      <c r="J207" s="6">
        <v>46127</v>
      </c>
      <c r="K207" s="10" t="s">
        <v>51</v>
      </c>
      <c r="L207" s="16" t="str">
        <f t="shared" si="3"/>
        <v>Normal</v>
      </c>
    </row>
    <row r="208" spans="1:12" ht="15" thickBot="1" x14ac:dyDescent="0.4">
      <c r="A208" s="5">
        <v>1354</v>
      </c>
      <c r="B208" s="5" t="s">
        <v>47</v>
      </c>
      <c r="C208" s="5" t="s">
        <v>43</v>
      </c>
      <c r="D208" s="5" t="s">
        <v>34</v>
      </c>
      <c r="E208" s="5" t="s">
        <v>35</v>
      </c>
      <c r="F208" s="5">
        <v>15</v>
      </c>
      <c r="G208" s="5">
        <v>14927</v>
      </c>
      <c r="H208" s="5">
        <v>15</v>
      </c>
      <c r="I208" s="6">
        <v>46118</v>
      </c>
      <c r="J208" s="6">
        <v>46120</v>
      </c>
      <c r="K208" s="10" t="s">
        <v>51</v>
      </c>
      <c r="L208" s="16" t="str">
        <f t="shared" si="3"/>
        <v>Priority</v>
      </c>
    </row>
    <row r="209" spans="1:12" ht="15" thickBot="1" x14ac:dyDescent="0.4">
      <c r="A209" s="5">
        <v>1108</v>
      </c>
      <c r="B209" s="5" t="s">
        <v>42</v>
      </c>
      <c r="C209" s="5" t="s">
        <v>33</v>
      </c>
      <c r="D209" s="5" t="s">
        <v>18</v>
      </c>
      <c r="E209" s="5" t="s">
        <v>28</v>
      </c>
      <c r="F209" s="5">
        <v>15</v>
      </c>
      <c r="G209" s="5">
        <v>13843</v>
      </c>
      <c r="H209" s="5">
        <v>7</v>
      </c>
      <c r="I209" s="6">
        <v>46119</v>
      </c>
      <c r="J209" s="6">
        <v>46127</v>
      </c>
      <c r="K209" s="10" t="s">
        <v>20</v>
      </c>
      <c r="L209" s="16" t="str">
        <f t="shared" si="3"/>
        <v>Priority</v>
      </c>
    </row>
    <row r="210" spans="1:12" ht="15" thickBot="1" x14ac:dyDescent="0.4">
      <c r="A210" s="5">
        <v>1241</v>
      </c>
      <c r="B210" s="5" t="s">
        <v>46</v>
      </c>
      <c r="C210" s="5" t="s">
        <v>31</v>
      </c>
      <c r="D210" s="5" t="s">
        <v>18</v>
      </c>
      <c r="E210" s="5" t="s">
        <v>44</v>
      </c>
      <c r="F210" s="5">
        <v>1</v>
      </c>
      <c r="G210" s="5">
        <v>12537</v>
      </c>
      <c r="H210" s="5">
        <v>0</v>
      </c>
      <c r="I210" s="6">
        <v>46119</v>
      </c>
      <c r="J210" s="6">
        <v>46122</v>
      </c>
      <c r="K210" s="10" t="s">
        <v>15</v>
      </c>
      <c r="L210" s="16" t="str">
        <f t="shared" si="3"/>
        <v>Normal</v>
      </c>
    </row>
    <row r="211" spans="1:12" ht="15" thickBot="1" x14ac:dyDescent="0.4">
      <c r="A211" s="5">
        <v>1203</v>
      </c>
      <c r="B211" s="5" t="s">
        <v>40</v>
      </c>
      <c r="C211" s="5" t="s">
        <v>22</v>
      </c>
      <c r="D211" s="5" t="s">
        <v>18</v>
      </c>
      <c r="E211" s="5" t="s">
        <v>23</v>
      </c>
      <c r="F211" s="5">
        <v>17</v>
      </c>
      <c r="G211" s="5">
        <v>6695</v>
      </c>
      <c r="H211" s="5">
        <v>2</v>
      </c>
      <c r="I211" s="6">
        <v>46119</v>
      </c>
      <c r="J211" s="6">
        <v>46122</v>
      </c>
      <c r="K211" s="10" t="s">
        <v>51</v>
      </c>
      <c r="L211" s="16" t="str">
        <f t="shared" si="3"/>
        <v>Priority</v>
      </c>
    </row>
    <row r="212" spans="1:12" ht="15" thickBot="1" x14ac:dyDescent="0.4">
      <c r="A212" s="5">
        <v>1261</v>
      </c>
      <c r="B212" s="5" t="s">
        <v>40</v>
      </c>
      <c r="C212" s="5" t="s">
        <v>17</v>
      </c>
      <c r="D212" s="5" t="s">
        <v>13</v>
      </c>
      <c r="E212" s="5" t="s">
        <v>50</v>
      </c>
      <c r="F212" s="5">
        <v>20</v>
      </c>
      <c r="G212" s="5">
        <v>162</v>
      </c>
      <c r="H212" s="5">
        <v>7</v>
      </c>
      <c r="I212" s="6">
        <v>46119</v>
      </c>
      <c r="J212" s="6">
        <v>46120</v>
      </c>
      <c r="K212" s="10" t="s">
        <v>51</v>
      </c>
      <c r="L212" s="16" t="str">
        <f t="shared" si="3"/>
        <v>Priority</v>
      </c>
    </row>
    <row r="213" spans="1:12" ht="15" thickBot="1" x14ac:dyDescent="0.4">
      <c r="A213" s="5">
        <v>1172</v>
      </c>
      <c r="B213" s="5" t="s">
        <v>16</v>
      </c>
      <c r="C213" s="5" t="s">
        <v>12</v>
      </c>
      <c r="D213" s="5" t="s">
        <v>34</v>
      </c>
      <c r="E213" s="5" t="s">
        <v>45</v>
      </c>
      <c r="F213" s="5">
        <v>13</v>
      </c>
      <c r="G213" s="5">
        <v>43163</v>
      </c>
      <c r="H213" s="5">
        <v>12</v>
      </c>
      <c r="I213" s="6">
        <v>46120</v>
      </c>
      <c r="J213" s="6">
        <v>46129</v>
      </c>
      <c r="K213" s="10" t="s">
        <v>24</v>
      </c>
      <c r="L213" s="16" t="str">
        <f t="shared" si="3"/>
        <v>Normal</v>
      </c>
    </row>
    <row r="214" spans="1:12" ht="15" thickBot="1" x14ac:dyDescent="0.4">
      <c r="A214" s="5">
        <v>1169</v>
      </c>
      <c r="B214" s="5" t="s">
        <v>47</v>
      </c>
      <c r="C214" s="5" t="s">
        <v>12</v>
      </c>
      <c r="D214" s="5" t="s">
        <v>18</v>
      </c>
      <c r="E214" s="5" t="s">
        <v>56</v>
      </c>
      <c r="F214" s="5">
        <v>12</v>
      </c>
      <c r="G214" s="5">
        <v>12104</v>
      </c>
      <c r="H214" s="5">
        <v>7</v>
      </c>
      <c r="I214" s="6">
        <v>46121</v>
      </c>
      <c r="J214" s="6">
        <v>46130</v>
      </c>
      <c r="K214" s="10" t="s">
        <v>24</v>
      </c>
      <c r="L214" s="16" t="str">
        <f t="shared" si="3"/>
        <v>Normal</v>
      </c>
    </row>
    <row r="215" spans="1:12" ht="15" thickBot="1" x14ac:dyDescent="0.4">
      <c r="A215" s="5">
        <v>1363</v>
      </c>
      <c r="B215" s="5" t="s">
        <v>27</v>
      </c>
      <c r="C215" s="5" t="s">
        <v>25</v>
      </c>
      <c r="D215" s="5" t="s">
        <v>34</v>
      </c>
      <c r="E215" s="5" t="s">
        <v>35</v>
      </c>
      <c r="F215" s="5">
        <v>7</v>
      </c>
      <c r="G215" s="5">
        <v>45381</v>
      </c>
      <c r="H215" s="5">
        <v>0</v>
      </c>
      <c r="I215" s="6">
        <v>46122</v>
      </c>
      <c r="J215" s="6">
        <v>46128</v>
      </c>
      <c r="K215" s="10" t="s">
        <v>15</v>
      </c>
      <c r="L215" s="16" t="str">
        <f t="shared" si="3"/>
        <v>Normal</v>
      </c>
    </row>
    <row r="216" spans="1:12" ht="15" thickBot="1" x14ac:dyDescent="0.4">
      <c r="A216" s="5">
        <v>1289</v>
      </c>
      <c r="B216" s="5" t="s">
        <v>26</v>
      </c>
      <c r="C216" s="5" t="s">
        <v>22</v>
      </c>
      <c r="D216" s="5" t="s">
        <v>34</v>
      </c>
      <c r="E216" s="5" t="s">
        <v>45</v>
      </c>
      <c r="F216" s="5">
        <v>19</v>
      </c>
      <c r="G216" s="5">
        <v>25336</v>
      </c>
      <c r="H216" s="5">
        <v>2</v>
      </c>
      <c r="I216" s="6">
        <v>46122</v>
      </c>
      <c r="J216" s="6">
        <v>46130</v>
      </c>
      <c r="K216" s="10" t="s">
        <v>24</v>
      </c>
      <c r="L216" s="16" t="str">
        <f t="shared" si="3"/>
        <v>Priority</v>
      </c>
    </row>
    <row r="217" spans="1:12" ht="15" thickBot="1" x14ac:dyDescent="0.4">
      <c r="A217" s="5">
        <v>1239</v>
      </c>
      <c r="B217" s="5" t="s">
        <v>48</v>
      </c>
      <c r="C217" s="5" t="s">
        <v>17</v>
      </c>
      <c r="D217" s="5" t="s">
        <v>18</v>
      </c>
      <c r="E217" s="5" t="s">
        <v>56</v>
      </c>
      <c r="F217" s="5">
        <v>2</v>
      </c>
      <c r="G217" s="5">
        <v>12330</v>
      </c>
      <c r="H217" s="5">
        <v>12</v>
      </c>
      <c r="I217" s="6">
        <v>46122</v>
      </c>
      <c r="J217" s="6">
        <v>46125</v>
      </c>
      <c r="K217" s="10" t="s">
        <v>15</v>
      </c>
      <c r="L217" s="16" t="str">
        <f t="shared" si="3"/>
        <v>Normal</v>
      </c>
    </row>
    <row r="218" spans="1:12" ht="15" thickBot="1" x14ac:dyDescent="0.4">
      <c r="A218" s="5">
        <v>1221</v>
      </c>
      <c r="B218" s="5" t="s">
        <v>11</v>
      </c>
      <c r="C218" s="5" t="s">
        <v>31</v>
      </c>
      <c r="D218" s="5" t="s">
        <v>18</v>
      </c>
      <c r="E218" s="5" t="s">
        <v>56</v>
      </c>
      <c r="F218" s="5">
        <v>18</v>
      </c>
      <c r="G218" s="5">
        <v>2681</v>
      </c>
      <c r="H218" s="5">
        <v>10</v>
      </c>
      <c r="I218" s="6">
        <v>46122</v>
      </c>
      <c r="J218" s="6">
        <v>46125</v>
      </c>
      <c r="K218" s="10" t="s">
        <v>51</v>
      </c>
      <c r="L218" s="16" t="str">
        <f t="shared" si="3"/>
        <v>Priority</v>
      </c>
    </row>
    <row r="219" spans="1:12" ht="15" thickBot="1" x14ac:dyDescent="0.4">
      <c r="A219" s="5">
        <v>1299</v>
      </c>
      <c r="B219" s="5" t="s">
        <v>26</v>
      </c>
      <c r="C219" s="5" t="s">
        <v>17</v>
      </c>
      <c r="D219" s="5" t="s">
        <v>18</v>
      </c>
      <c r="E219" s="5" t="s">
        <v>56</v>
      </c>
      <c r="F219" s="5">
        <v>8</v>
      </c>
      <c r="G219" s="5">
        <v>8783</v>
      </c>
      <c r="H219" s="5">
        <v>2</v>
      </c>
      <c r="I219" s="6">
        <v>46123</v>
      </c>
      <c r="J219" s="6">
        <v>46132</v>
      </c>
      <c r="K219" s="10" t="s">
        <v>15</v>
      </c>
      <c r="L219" s="16" t="str">
        <f t="shared" si="3"/>
        <v>Normal</v>
      </c>
    </row>
    <row r="220" spans="1:12" ht="15" thickBot="1" x14ac:dyDescent="0.4">
      <c r="A220" s="5">
        <v>1204</v>
      </c>
      <c r="B220" s="5" t="s">
        <v>16</v>
      </c>
      <c r="C220" s="5" t="s">
        <v>31</v>
      </c>
      <c r="D220" s="5" t="s">
        <v>13</v>
      </c>
      <c r="E220" s="5" t="s">
        <v>37</v>
      </c>
      <c r="F220" s="5">
        <v>13</v>
      </c>
      <c r="G220" s="5">
        <v>416</v>
      </c>
      <c r="H220" s="5">
        <v>10</v>
      </c>
      <c r="I220" s="6">
        <v>46123</v>
      </c>
      <c r="J220" s="6">
        <v>46132</v>
      </c>
      <c r="K220" s="10" t="s">
        <v>20</v>
      </c>
      <c r="L220" s="16" t="str">
        <f t="shared" si="3"/>
        <v>Normal</v>
      </c>
    </row>
    <row r="221" spans="1:12" ht="15" thickBot="1" x14ac:dyDescent="0.4">
      <c r="A221" s="5">
        <v>1279</v>
      </c>
      <c r="B221" s="5" t="s">
        <v>55</v>
      </c>
      <c r="C221" s="5" t="s">
        <v>33</v>
      </c>
      <c r="D221" s="5" t="s">
        <v>34</v>
      </c>
      <c r="E221" s="5" t="s">
        <v>45</v>
      </c>
      <c r="F221" s="5">
        <v>20</v>
      </c>
      <c r="G221" s="5">
        <v>49042</v>
      </c>
      <c r="H221" s="5">
        <v>2</v>
      </c>
      <c r="I221" s="6">
        <v>46124</v>
      </c>
      <c r="J221" s="6">
        <v>46126</v>
      </c>
      <c r="K221" s="10" t="s">
        <v>15</v>
      </c>
      <c r="L221" s="16" t="str">
        <f t="shared" si="3"/>
        <v>Priority</v>
      </c>
    </row>
    <row r="222" spans="1:12" ht="15" thickBot="1" x14ac:dyDescent="0.4">
      <c r="A222" s="5">
        <v>1392</v>
      </c>
      <c r="B222" s="5" t="s">
        <v>29</v>
      </c>
      <c r="C222" s="5" t="s">
        <v>43</v>
      </c>
      <c r="D222" s="5" t="s">
        <v>34</v>
      </c>
      <c r="E222" s="5" t="s">
        <v>35</v>
      </c>
      <c r="F222" s="5">
        <v>13</v>
      </c>
      <c r="G222" s="5">
        <v>23903</v>
      </c>
      <c r="H222" s="5">
        <v>5</v>
      </c>
      <c r="I222" s="6">
        <v>46124</v>
      </c>
      <c r="J222" s="6">
        <v>46125</v>
      </c>
      <c r="K222" s="10" t="s">
        <v>29</v>
      </c>
      <c r="L222" s="16" t="str">
        <f t="shared" si="3"/>
        <v>Normal</v>
      </c>
    </row>
    <row r="223" spans="1:12" ht="15" thickBot="1" x14ac:dyDescent="0.4">
      <c r="A223" s="5">
        <v>1303</v>
      </c>
      <c r="B223" s="5" t="s">
        <v>57</v>
      </c>
      <c r="C223" s="5" t="s">
        <v>38</v>
      </c>
      <c r="D223" s="5" t="s">
        <v>34</v>
      </c>
      <c r="E223" s="5" t="s">
        <v>35</v>
      </c>
      <c r="F223" s="5">
        <v>13</v>
      </c>
      <c r="G223" s="5">
        <v>5170</v>
      </c>
      <c r="H223" s="5">
        <v>2</v>
      </c>
      <c r="I223" s="6">
        <v>46124</v>
      </c>
      <c r="J223" s="6">
        <v>46127</v>
      </c>
      <c r="K223" s="10" t="s">
        <v>15</v>
      </c>
      <c r="L223" s="16" t="str">
        <f t="shared" si="3"/>
        <v>Priority</v>
      </c>
    </row>
    <row r="224" spans="1:12" ht="15" thickBot="1" x14ac:dyDescent="0.4">
      <c r="A224" s="5">
        <v>1225</v>
      </c>
      <c r="B224" s="5" t="s">
        <v>42</v>
      </c>
      <c r="C224" s="5" t="s">
        <v>31</v>
      </c>
      <c r="D224" s="5" t="s">
        <v>34</v>
      </c>
      <c r="E224" s="5" t="s">
        <v>35</v>
      </c>
      <c r="F224" s="5">
        <v>16</v>
      </c>
      <c r="G224" s="5">
        <v>32262</v>
      </c>
      <c r="H224" s="5">
        <v>12</v>
      </c>
      <c r="I224" s="6">
        <v>46125</v>
      </c>
      <c r="J224" s="6">
        <v>46126</v>
      </c>
      <c r="K224" s="10" t="s">
        <v>20</v>
      </c>
      <c r="L224" s="16" t="str">
        <f t="shared" si="3"/>
        <v>Priority</v>
      </c>
    </row>
    <row r="225" spans="1:12" ht="15" thickBot="1" x14ac:dyDescent="0.4">
      <c r="A225" s="5">
        <v>1130</v>
      </c>
      <c r="B225" s="5" t="s">
        <v>48</v>
      </c>
      <c r="C225" s="5" t="s">
        <v>33</v>
      </c>
      <c r="D225" s="5" t="s">
        <v>13</v>
      </c>
      <c r="E225" s="5" t="s">
        <v>14</v>
      </c>
      <c r="F225" s="5">
        <v>12</v>
      </c>
      <c r="G225" s="5">
        <v>50</v>
      </c>
      <c r="H225" s="5">
        <v>2</v>
      </c>
      <c r="I225" s="6">
        <v>46125</v>
      </c>
      <c r="J225" s="6">
        <v>46131</v>
      </c>
      <c r="K225" s="10" t="s">
        <v>24</v>
      </c>
      <c r="L225" s="16" t="str">
        <f t="shared" si="3"/>
        <v>Normal</v>
      </c>
    </row>
    <row r="226" spans="1:12" ht="15" thickBot="1" x14ac:dyDescent="0.4">
      <c r="A226" s="5">
        <v>1073</v>
      </c>
      <c r="B226" s="5" t="s">
        <v>58</v>
      </c>
      <c r="C226" s="5" t="s">
        <v>17</v>
      </c>
      <c r="D226" s="5" t="s">
        <v>18</v>
      </c>
      <c r="E226" s="5" t="s">
        <v>56</v>
      </c>
      <c r="F226" s="5">
        <v>4</v>
      </c>
      <c r="G226" s="5">
        <v>2453</v>
      </c>
      <c r="H226" s="5">
        <v>7</v>
      </c>
      <c r="I226" s="6">
        <v>46126</v>
      </c>
      <c r="J226" s="6">
        <v>46129</v>
      </c>
      <c r="K226" s="10" t="s">
        <v>51</v>
      </c>
      <c r="L226" s="16" t="str">
        <f t="shared" si="3"/>
        <v>Normal</v>
      </c>
    </row>
    <row r="227" spans="1:12" ht="15" thickBot="1" x14ac:dyDescent="0.4">
      <c r="A227" s="5">
        <v>1098</v>
      </c>
      <c r="B227" s="5" t="s">
        <v>26</v>
      </c>
      <c r="C227" s="5" t="s">
        <v>25</v>
      </c>
      <c r="D227" s="5" t="s">
        <v>13</v>
      </c>
      <c r="E227" s="5" t="s">
        <v>53</v>
      </c>
      <c r="F227" s="5">
        <v>17</v>
      </c>
      <c r="G227" s="5">
        <v>345</v>
      </c>
      <c r="H227" s="5">
        <v>2</v>
      </c>
      <c r="I227" s="6">
        <v>46126</v>
      </c>
      <c r="J227" s="6">
        <v>46127</v>
      </c>
      <c r="K227" s="10" t="s">
        <v>51</v>
      </c>
      <c r="L227" s="16" t="str">
        <f t="shared" si="3"/>
        <v>Priority</v>
      </c>
    </row>
    <row r="228" spans="1:12" ht="15" thickBot="1" x14ac:dyDescent="0.4">
      <c r="A228" s="5">
        <v>1329</v>
      </c>
      <c r="B228" s="5" t="s">
        <v>30</v>
      </c>
      <c r="C228" s="5" t="s">
        <v>43</v>
      </c>
      <c r="D228" s="5" t="s">
        <v>13</v>
      </c>
      <c r="E228" s="5" t="s">
        <v>53</v>
      </c>
      <c r="F228" s="5">
        <v>18</v>
      </c>
      <c r="G228" s="5">
        <v>227</v>
      </c>
      <c r="H228" s="5">
        <v>5</v>
      </c>
      <c r="I228" s="6">
        <v>46126</v>
      </c>
      <c r="J228" s="6">
        <v>46136</v>
      </c>
      <c r="K228" s="10" t="s">
        <v>29</v>
      </c>
      <c r="L228" s="16" t="str">
        <f t="shared" si="3"/>
        <v>Priority</v>
      </c>
    </row>
    <row r="229" spans="1:12" ht="15" thickBot="1" x14ac:dyDescent="0.4">
      <c r="A229" s="5">
        <v>1358</v>
      </c>
      <c r="B229" s="5" t="s">
        <v>40</v>
      </c>
      <c r="C229" s="5" t="s">
        <v>38</v>
      </c>
      <c r="D229" s="5" t="s">
        <v>18</v>
      </c>
      <c r="E229" s="5" t="s">
        <v>19</v>
      </c>
      <c r="F229" s="5">
        <v>7</v>
      </c>
      <c r="G229" s="5">
        <v>6618</v>
      </c>
      <c r="H229" s="5">
        <v>0</v>
      </c>
      <c r="I229" s="6">
        <v>46127</v>
      </c>
      <c r="J229" s="6">
        <v>46129</v>
      </c>
      <c r="K229" s="10" t="s">
        <v>20</v>
      </c>
      <c r="L229" s="16" t="str">
        <f t="shared" si="3"/>
        <v>Priority</v>
      </c>
    </row>
    <row r="230" spans="1:12" ht="15" thickBot="1" x14ac:dyDescent="0.4">
      <c r="A230" s="5">
        <v>1050</v>
      </c>
      <c r="B230" s="5" t="s">
        <v>32</v>
      </c>
      <c r="C230" s="5" t="s">
        <v>25</v>
      </c>
      <c r="D230" s="5" t="s">
        <v>13</v>
      </c>
      <c r="E230" s="5" t="s">
        <v>53</v>
      </c>
      <c r="F230" s="5">
        <v>12</v>
      </c>
      <c r="G230" s="5">
        <v>360</v>
      </c>
      <c r="H230" s="5">
        <v>5</v>
      </c>
      <c r="I230" s="6">
        <v>46127</v>
      </c>
      <c r="J230" s="6">
        <v>46137</v>
      </c>
      <c r="K230" s="10" t="s">
        <v>29</v>
      </c>
      <c r="L230" s="16" t="str">
        <f t="shared" si="3"/>
        <v>Normal</v>
      </c>
    </row>
    <row r="231" spans="1:12" ht="15" thickBot="1" x14ac:dyDescent="0.4">
      <c r="A231" s="5">
        <v>1380</v>
      </c>
      <c r="B231" s="5" t="s">
        <v>52</v>
      </c>
      <c r="C231" s="5" t="s">
        <v>43</v>
      </c>
      <c r="D231" s="5" t="s">
        <v>13</v>
      </c>
      <c r="E231" s="5" t="s">
        <v>53</v>
      </c>
      <c r="F231" s="5">
        <v>3</v>
      </c>
      <c r="G231" s="5">
        <v>412</v>
      </c>
      <c r="H231" s="5">
        <v>7</v>
      </c>
      <c r="I231" s="6">
        <v>46128</v>
      </c>
      <c r="J231" s="6">
        <v>46138</v>
      </c>
      <c r="K231" s="10" t="s">
        <v>24</v>
      </c>
      <c r="L231" s="16" t="str">
        <f t="shared" si="3"/>
        <v>Normal</v>
      </c>
    </row>
    <row r="232" spans="1:12" ht="15" thickBot="1" x14ac:dyDescent="0.4">
      <c r="A232" s="5">
        <v>1308</v>
      </c>
      <c r="B232" s="5" t="s">
        <v>30</v>
      </c>
      <c r="C232" s="5" t="s">
        <v>22</v>
      </c>
      <c r="D232" s="5" t="s">
        <v>34</v>
      </c>
      <c r="E232" s="5" t="s">
        <v>41</v>
      </c>
      <c r="F232" s="5">
        <v>12</v>
      </c>
      <c r="G232" s="5">
        <v>66075</v>
      </c>
      <c r="H232" s="5">
        <v>5</v>
      </c>
      <c r="I232" s="6">
        <v>46129</v>
      </c>
      <c r="J232" s="6">
        <v>46135</v>
      </c>
      <c r="K232" s="10" t="s">
        <v>20</v>
      </c>
      <c r="L232" s="16" t="str">
        <f t="shared" si="3"/>
        <v>Normal</v>
      </c>
    </row>
    <row r="233" spans="1:12" ht="15" thickBot="1" x14ac:dyDescent="0.4">
      <c r="A233" s="5">
        <v>1014</v>
      </c>
      <c r="B233" s="5" t="s">
        <v>40</v>
      </c>
      <c r="C233" s="5" t="s">
        <v>17</v>
      </c>
      <c r="D233" s="5" t="s">
        <v>34</v>
      </c>
      <c r="E233" s="5" t="s">
        <v>41</v>
      </c>
      <c r="F233" s="5">
        <v>19</v>
      </c>
      <c r="G233" s="5">
        <v>53683</v>
      </c>
      <c r="H233" s="5">
        <v>12</v>
      </c>
      <c r="I233" s="6">
        <v>46129</v>
      </c>
      <c r="J233" s="6">
        <v>46134</v>
      </c>
      <c r="K233" s="10" t="s">
        <v>29</v>
      </c>
      <c r="L233" s="16" t="str">
        <f t="shared" si="3"/>
        <v>Priority</v>
      </c>
    </row>
    <row r="234" spans="1:12" ht="15" thickBot="1" x14ac:dyDescent="0.4">
      <c r="A234" s="5">
        <v>1071</v>
      </c>
      <c r="B234" s="5" t="s">
        <v>59</v>
      </c>
      <c r="C234" s="5" t="s">
        <v>22</v>
      </c>
      <c r="D234" s="5" t="s">
        <v>34</v>
      </c>
      <c r="E234" s="5" t="s">
        <v>61</v>
      </c>
      <c r="F234" s="5">
        <v>18</v>
      </c>
      <c r="G234" s="5">
        <v>32197</v>
      </c>
      <c r="H234" s="5">
        <v>5</v>
      </c>
      <c r="I234" s="6">
        <v>46129</v>
      </c>
      <c r="J234" s="6">
        <v>46137</v>
      </c>
      <c r="K234" s="10" t="s">
        <v>20</v>
      </c>
      <c r="L234" s="16" t="str">
        <f t="shared" si="3"/>
        <v>Priority</v>
      </c>
    </row>
    <row r="235" spans="1:12" ht="15" thickBot="1" x14ac:dyDescent="0.4">
      <c r="A235" s="5">
        <v>1194</v>
      </c>
      <c r="B235" s="5" t="s">
        <v>57</v>
      </c>
      <c r="C235" s="5" t="s">
        <v>43</v>
      </c>
      <c r="D235" s="5" t="s">
        <v>18</v>
      </c>
      <c r="E235" s="5" t="s">
        <v>28</v>
      </c>
      <c r="F235" s="5">
        <v>13</v>
      </c>
      <c r="G235" s="5">
        <v>12856</v>
      </c>
      <c r="H235" s="5">
        <v>15</v>
      </c>
      <c r="I235" s="6">
        <v>46129</v>
      </c>
      <c r="J235" s="6">
        <v>46133</v>
      </c>
      <c r="K235" s="10" t="s">
        <v>51</v>
      </c>
      <c r="L235" s="16" t="str">
        <f t="shared" si="3"/>
        <v>Normal</v>
      </c>
    </row>
    <row r="236" spans="1:12" ht="15" thickBot="1" x14ac:dyDescent="0.4">
      <c r="A236" s="5">
        <v>1269</v>
      </c>
      <c r="B236" s="5" t="s">
        <v>52</v>
      </c>
      <c r="C236" s="5" t="s">
        <v>43</v>
      </c>
      <c r="D236" s="5" t="s">
        <v>18</v>
      </c>
      <c r="E236" s="5" t="s">
        <v>19</v>
      </c>
      <c r="F236" s="5">
        <v>14</v>
      </c>
      <c r="G236" s="5">
        <v>5704</v>
      </c>
      <c r="H236" s="5">
        <v>2</v>
      </c>
      <c r="I236" s="6">
        <v>46129</v>
      </c>
      <c r="J236" s="6">
        <v>46131</v>
      </c>
      <c r="K236" s="10" t="s">
        <v>15</v>
      </c>
      <c r="L236" s="16" t="str">
        <f t="shared" si="3"/>
        <v>Normal</v>
      </c>
    </row>
    <row r="237" spans="1:12" ht="15" thickBot="1" x14ac:dyDescent="0.4">
      <c r="A237" s="5">
        <v>1267</v>
      </c>
      <c r="B237" s="5" t="s">
        <v>27</v>
      </c>
      <c r="C237" s="5" t="s">
        <v>38</v>
      </c>
      <c r="D237" s="5" t="s">
        <v>13</v>
      </c>
      <c r="E237" s="5" t="s">
        <v>50</v>
      </c>
      <c r="F237" s="5">
        <v>1</v>
      </c>
      <c r="G237" s="5">
        <v>50</v>
      </c>
      <c r="H237" s="5">
        <v>0</v>
      </c>
      <c r="I237" s="6">
        <v>46129</v>
      </c>
      <c r="J237" s="6">
        <v>46138</v>
      </c>
      <c r="K237" s="10" t="s">
        <v>20</v>
      </c>
      <c r="L237" s="16" t="str">
        <f t="shared" si="3"/>
        <v>Priority</v>
      </c>
    </row>
    <row r="238" spans="1:12" ht="15" thickBot="1" x14ac:dyDescent="0.4">
      <c r="A238" s="5">
        <v>1382</v>
      </c>
      <c r="B238" s="5" t="s">
        <v>49</v>
      </c>
      <c r="C238" s="5" t="s">
        <v>33</v>
      </c>
      <c r="D238" s="5" t="s">
        <v>34</v>
      </c>
      <c r="E238" s="5" t="s">
        <v>60</v>
      </c>
      <c r="F238" s="5">
        <v>11</v>
      </c>
      <c r="G238" s="5">
        <v>36198</v>
      </c>
      <c r="H238" s="5">
        <v>0</v>
      </c>
      <c r="I238" s="6">
        <v>46130</v>
      </c>
      <c r="J238" s="6">
        <v>46134</v>
      </c>
      <c r="K238" s="10" t="s">
        <v>15</v>
      </c>
      <c r="L238" s="16" t="str">
        <f t="shared" si="3"/>
        <v>Normal</v>
      </c>
    </row>
    <row r="239" spans="1:12" ht="15" thickBot="1" x14ac:dyDescent="0.4">
      <c r="A239" s="5">
        <v>1263</v>
      </c>
      <c r="B239" s="5" t="s">
        <v>29</v>
      </c>
      <c r="C239" s="5" t="s">
        <v>38</v>
      </c>
      <c r="D239" s="5" t="s">
        <v>18</v>
      </c>
      <c r="E239" s="5" t="s">
        <v>28</v>
      </c>
      <c r="F239" s="5">
        <v>10</v>
      </c>
      <c r="G239" s="5">
        <v>1505</v>
      </c>
      <c r="H239" s="5">
        <v>0</v>
      </c>
      <c r="I239" s="6">
        <v>46130</v>
      </c>
      <c r="J239" s="6">
        <v>46138</v>
      </c>
      <c r="K239" s="10" t="s">
        <v>51</v>
      </c>
      <c r="L239" s="16" t="str">
        <f t="shared" si="3"/>
        <v>Priority</v>
      </c>
    </row>
    <row r="240" spans="1:12" ht="15" thickBot="1" x14ac:dyDescent="0.4">
      <c r="A240" s="5">
        <v>1168</v>
      </c>
      <c r="B240" s="5" t="s">
        <v>54</v>
      </c>
      <c r="C240" s="5" t="s">
        <v>12</v>
      </c>
      <c r="D240" s="5" t="s">
        <v>13</v>
      </c>
      <c r="E240" s="5" t="s">
        <v>37</v>
      </c>
      <c r="F240" s="5">
        <v>18</v>
      </c>
      <c r="G240" s="5">
        <v>335</v>
      </c>
      <c r="H240" s="5">
        <v>15</v>
      </c>
      <c r="I240" s="6">
        <v>46130</v>
      </c>
      <c r="J240" s="6">
        <v>46140</v>
      </c>
      <c r="K240" s="10" t="s">
        <v>29</v>
      </c>
      <c r="L240" s="16" t="str">
        <f t="shared" si="3"/>
        <v>Priority</v>
      </c>
    </row>
    <row r="241" spans="1:12" ht="15" thickBot="1" x14ac:dyDescent="0.4">
      <c r="A241" s="5">
        <v>1215</v>
      </c>
      <c r="B241" s="5" t="s">
        <v>27</v>
      </c>
      <c r="C241" s="5" t="s">
        <v>12</v>
      </c>
      <c r="D241" s="5" t="s">
        <v>18</v>
      </c>
      <c r="E241" s="5" t="s">
        <v>28</v>
      </c>
      <c r="F241" s="5">
        <v>6</v>
      </c>
      <c r="G241" s="5">
        <v>1254</v>
      </c>
      <c r="H241" s="5">
        <v>0</v>
      </c>
      <c r="I241" s="6">
        <v>46131</v>
      </c>
      <c r="J241" s="6">
        <v>46136</v>
      </c>
      <c r="K241" s="10" t="s">
        <v>29</v>
      </c>
      <c r="L241" s="16" t="str">
        <f t="shared" si="3"/>
        <v>Normal</v>
      </c>
    </row>
    <row r="242" spans="1:12" ht="15" thickBot="1" x14ac:dyDescent="0.4">
      <c r="A242" s="5">
        <v>1122</v>
      </c>
      <c r="B242" s="5" t="s">
        <v>40</v>
      </c>
      <c r="C242" s="5" t="s">
        <v>22</v>
      </c>
      <c r="D242" s="5" t="s">
        <v>34</v>
      </c>
      <c r="E242" s="5" t="s">
        <v>39</v>
      </c>
      <c r="F242" s="5">
        <v>14</v>
      </c>
      <c r="G242" s="5">
        <v>49990</v>
      </c>
      <c r="H242" s="5">
        <v>10</v>
      </c>
      <c r="I242" s="6">
        <v>46132</v>
      </c>
      <c r="J242" s="6">
        <v>46135</v>
      </c>
      <c r="K242" s="10" t="s">
        <v>29</v>
      </c>
      <c r="L242" s="16" t="str">
        <f t="shared" si="3"/>
        <v>Normal</v>
      </c>
    </row>
    <row r="243" spans="1:12" ht="15" thickBot="1" x14ac:dyDescent="0.4">
      <c r="A243" s="5">
        <v>1342</v>
      </c>
      <c r="B243" s="5" t="s">
        <v>59</v>
      </c>
      <c r="C243" s="5" t="s">
        <v>31</v>
      </c>
      <c r="D243" s="5" t="s">
        <v>34</v>
      </c>
      <c r="E243" s="5" t="s">
        <v>35</v>
      </c>
      <c r="F243" s="5">
        <v>13</v>
      </c>
      <c r="G243" s="5">
        <v>47881</v>
      </c>
      <c r="H243" s="5">
        <v>15</v>
      </c>
      <c r="I243" s="6">
        <v>46132</v>
      </c>
      <c r="J243" s="6">
        <v>46139</v>
      </c>
      <c r="K243" s="10" t="s">
        <v>29</v>
      </c>
      <c r="L243" s="16" t="str">
        <f t="shared" si="3"/>
        <v>Normal</v>
      </c>
    </row>
    <row r="244" spans="1:12" ht="15" thickBot="1" x14ac:dyDescent="0.4">
      <c r="A244" s="5">
        <v>1080</v>
      </c>
      <c r="B244" s="5" t="s">
        <v>21</v>
      </c>
      <c r="C244" s="5" t="s">
        <v>22</v>
      </c>
      <c r="D244" s="5" t="s">
        <v>34</v>
      </c>
      <c r="E244" s="5" t="s">
        <v>41</v>
      </c>
      <c r="F244" s="5">
        <v>12</v>
      </c>
      <c r="G244" s="5">
        <v>54161</v>
      </c>
      <c r="H244" s="5">
        <v>15</v>
      </c>
      <c r="I244" s="6">
        <v>46133</v>
      </c>
      <c r="J244" s="6">
        <v>46143</v>
      </c>
      <c r="K244" s="10" t="s">
        <v>24</v>
      </c>
      <c r="L244" s="16" t="str">
        <f t="shared" si="3"/>
        <v>Normal</v>
      </c>
    </row>
    <row r="245" spans="1:12" ht="15" thickBot="1" x14ac:dyDescent="0.4">
      <c r="A245" s="5">
        <v>1111</v>
      </c>
      <c r="B245" s="5" t="s">
        <v>47</v>
      </c>
      <c r="C245" s="5" t="s">
        <v>17</v>
      </c>
      <c r="D245" s="5" t="s">
        <v>34</v>
      </c>
      <c r="E245" s="5" t="s">
        <v>35</v>
      </c>
      <c r="F245" s="5">
        <v>5</v>
      </c>
      <c r="G245" s="5">
        <v>49945</v>
      </c>
      <c r="H245" s="5">
        <v>12</v>
      </c>
      <c r="I245" s="6">
        <v>46133</v>
      </c>
      <c r="J245" s="6">
        <v>46141</v>
      </c>
      <c r="K245" s="10" t="s">
        <v>29</v>
      </c>
      <c r="L245" s="16" t="str">
        <f t="shared" si="3"/>
        <v>Normal</v>
      </c>
    </row>
    <row r="246" spans="1:12" ht="15" thickBot="1" x14ac:dyDescent="0.4">
      <c r="A246" s="5">
        <v>1056</v>
      </c>
      <c r="B246" s="5" t="s">
        <v>11</v>
      </c>
      <c r="C246" s="5" t="s">
        <v>22</v>
      </c>
      <c r="D246" s="5" t="s">
        <v>18</v>
      </c>
      <c r="E246" s="5" t="s">
        <v>19</v>
      </c>
      <c r="F246" s="5">
        <v>3</v>
      </c>
      <c r="G246" s="5">
        <v>9771</v>
      </c>
      <c r="H246" s="5">
        <v>5</v>
      </c>
      <c r="I246" s="6">
        <v>46133</v>
      </c>
      <c r="J246" s="6">
        <v>46139</v>
      </c>
      <c r="K246" s="10" t="s">
        <v>24</v>
      </c>
      <c r="L246" s="16" t="str">
        <f t="shared" si="3"/>
        <v>Normal</v>
      </c>
    </row>
    <row r="247" spans="1:12" ht="15" thickBot="1" x14ac:dyDescent="0.4">
      <c r="A247" s="5">
        <v>1357</v>
      </c>
      <c r="B247" s="5" t="s">
        <v>59</v>
      </c>
      <c r="C247" s="5" t="s">
        <v>25</v>
      </c>
      <c r="D247" s="5" t="s">
        <v>13</v>
      </c>
      <c r="E247" s="5" t="s">
        <v>37</v>
      </c>
      <c r="F247" s="5">
        <v>6</v>
      </c>
      <c r="G247" s="5">
        <v>365</v>
      </c>
      <c r="H247" s="5">
        <v>7</v>
      </c>
      <c r="I247" s="6">
        <v>46133</v>
      </c>
      <c r="J247" s="6">
        <v>46140</v>
      </c>
      <c r="K247" s="10" t="s">
        <v>51</v>
      </c>
      <c r="L247" s="16" t="str">
        <f t="shared" si="3"/>
        <v>Normal</v>
      </c>
    </row>
    <row r="248" spans="1:12" ht="15" thickBot="1" x14ac:dyDescent="0.4">
      <c r="A248" s="5">
        <v>1125</v>
      </c>
      <c r="B248" s="5" t="s">
        <v>49</v>
      </c>
      <c r="C248" s="5" t="s">
        <v>33</v>
      </c>
      <c r="D248" s="5" t="s">
        <v>13</v>
      </c>
      <c r="E248" s="5" t="s">
        <v>14</v>
      </c>
      <c r="F248" s="5">
        <v>6</v>
      </c>
      <c r="G248" s="5">
        <v>30</v>
      </c>
      <c r="H248" s="5">
        <v>2</v>
      </c>
      <c r="I248" s="6">
        <v>46133</v>
      </c>
      <c r="J248" s="6">
        <v>46138</v>
      </c>
      <c r="K248" s="10" t="s">
        <v>24</v>
      </c>
      <c r="L248" s="16" t="str">
        <f t="shared" si="3"/>
        <v>Normal</v>
      </c>
    </row>
    <row r="249" spans="1:12" ht="15" thickBot="1" x14ac:dyDescent="0.4">
      <c r="A249" s="5">
        <v>1200</v>
      </c>
      <c r="B249" s="5" t="s">
        <v>29</v>
      </c>
      <c r="C249" s="5" t="s">
        <v>31</v>
      </c>
      <c r="D249" s="5" t="s">
        <v>34</v>
      </c>
      <c r="E249" s="5" t="s">
        <v>45</v>
      </c>
      <c r="F249" s="5">
        <v>13</v>
      </c>
      <c r="G249" s="5">
        <v>69422</v>
      </c>
      <c r="H249" s="5">
        <v>0</v>
      </c>
      <c r="I249" s="6">
        <v>46134</v>
      </c>
      <c r="J249" s="6">
        <v>46143</v>
      </c>
      <c r="K249" s="10" t="s">
        <v>29</v>
      </c>
      <c r="L249" s="16" t="str">
        <f t="shared" si="3"/>
        <v>Normal</v>
      </c>
    </row>
    <row r="250" spans="1:12" ht="15" thickBot="1" x14ac:dyDescent="0.4">
      <c r="A250" s="5">
        <v>1270</v>
      </c>
      <c r="B250" s="5" t="s">
        <v>49</v>
      </c>
      <c r="C250" s="5" t="s">
        <v>43</v>
      </c>
      <c r="D250" s="5" t="s">
        <v>34</v>
      </c>
      <c r="E250" s="5" t="s">
        <v>35</v>
      </c>
      <c r="F250" s="5">
        <v>16</v>
      </c>
      <c r="G250" s="5">
        <v>62941</v>
      </c>
      <c r="H250" s="5">
        <v>7</v>
      </c>
      <c r="I250" s="6">
        <v>46135</v>
      </c>
      <c r="J250" s="6">
        <v>46141</v>
      </c>
      <c r="K250" s="10" t="s">
        <v>51</v>
      </c>
      <c r="L250" s="16" t="str">
        <f t="shared" si="3"/>
        <v>Priority</v>
      </c>
    </row>
    <row r="251" spans="1:12" ht="15" thickBot="1" x14ac:dyDescent="0.4">
      <c r="A251" s="5">
        <v>1216</v>
      </c>
      <c r="B251" s="5" t="s">
        <v>40</v>
      </c>
      <c r="C251" s="5" t="s">
        <v>22</v>
      </c>
      <c r="D251" s="5" t="s">
        <v>34</v>
      </c>
      <c r="E251" s="5" t="s">
        <v>45</v>
      </c>
      <c r="F251" s="5">
        <v>10</v>
      </c>
      <c r="G251" s="5">
        <v>56709</v>
      </c>
      <c r="H251" s="5">
        <v>15</v>
      </c>
      <c r="I251" s="6">
        <v>46135</v>
      </c>
      <c r="J251" s="6">
        <v>46139</v>
      </c>
      <c r="K251" s="10" t="s">
        <v>29</v>
      </c>
      <c r="L251" s="16" t="str">
        <f t="shared" si="3"/>
        <v>Normal</v>
      </c>
    </row>
    <row r="252" spans="1:12" ht="15" thickBot="1" x14ac:dyDescent="0.4">
      <c r="A252" s="5">
        <v>1091</v>
      </c>
      <c r="B252" s="5" t="s">
        <v>55</v>
      </c>
      <c r="C252" s="5" t="s">
        <v>17</v>
      </c>
      <c r="D252" s="5" t="s">
        <v>13</v>
      </c>
      <c r="E252" s="5" t="s">
        <v>53</v>
      </c>
      <c r="F252" s="5">
        <v>2</v>
      </c>
      <c r="G252" s="5">
        <v>305</v>
      </c>
      <c r="H252" s="5">
        <v>0</v>
      </c>
      <c r="I252" s="6">
        <v>46136</v>
      </c>
      <c r="J252" s="6">
        <v>46144</v>
      </c>
      <c r="K252" s="10" t="s">
        <v>15</v>
      </c>
      <c r="L252" s="16" t="str">
        <f t="shared" si="3"/>
        <v>Normal</v>
      </c>
    </row>
    <row r="253" spans="1:12" ht="15" thickBot="1" x14ac:dyDescent="0.4">
      <c r="A253" s="5">
        <v>1016</v>
      </c>
      <c r="B253" s="5" t="s">
        <v>32</v>
      </c>
      <c r="C253" s="5" t="s">
        <v>33</v>
      </c>
      <c r="D253" s="5" t="s">
        <v>34</v>
      </c>
      <c r="E253" s="5" t="s">
        <v>45</v>
      </c>
      <c r="F253" s="5">
        <v>16</v>
      </c>
      <c r="G253" s="5">
        <v>30234</v>
      </c>
      <c r="H253" s="5">
        <v>15</v>
      </c>
      <c r="I253" s="6">
        <v>46137</v>
      </c>
      <c r="J253" s="6">
        <v>46140</v>
      </c>
      <c r="K253" s="10" t="s">
        <v>24</v>
      </c>
      <c r="L253" s="16" t="str">
        <f t="shared" si="3"/>
        <v>Priority</v>
      </c>
    </row>
    <row r="254" spans="1:12" ht="15" thickBot="1" x14ac:dyDescent="0.4">
      <c r="A254" s="5">
        <v>1237</v>
      </c>
      <c r="B254" s="5" t="s">
        <v>46</v>
      </c>
      <c r="C254" s="5" t="s">
        <v>38</v>
      </c>
      <c r="D254" s="5" t="s">
        <v>18</v>
      </c>
      <c r="E254" s="5" t="s">
        <v>56</v>
      </c>
      <c r="F254" s="5">
        <v>8</v>
      </c>
      <c r="G254" s="5">
        <v>12123</v>
      </c>
      <c r="H254" s="5">
        <v>2</v>
      </c>
      <c r="I254" s="6">
        <v>46137</v>
      </c>
      <c r="J254" s="6">
        <v>46145</v>
      </c>
      <c r="K254" s="10" t="s">
        <v>15</v>
      </c>
      <c r="L254" s="16" t="str">
        <f t="shared" si="3"/>
        <v>Priority</v>
      </c>
    </row>
    <row r="255" spans="1:12" ht="15" thickBot="1" x14ac:dyDescent="0.4">
      <c r="A255" s="5">
        <v>1258</v>
      </c>
      <c r="B255" s="5" t="s">
        <v>32</v>
      </c>
      <c r="C255" s="5" t="s">
        <v>31</v>
      </c>
      <c r="D255" s="5" t="s">
        <v>34</v>
      </c>
      <c r="E255" s="5" t="s">
        <v>60</v>
      </c>
      <c r="F255" s="5">
        <v>1</v>
      </c>
      <c r="G255" s="5">
        <v>10600</v>
      </c>
      <c r="H255" s="5">
        <v>5</v>
      </c>
      <c r="I255" s="6">
        <v>46137</v>
      </c>
      <c r="J255" s="6">
        <v>46138</v>
      </c>
      <c r="K255" s="10" t="s">
        <v>29</v>
      </c>
      <c r="L255" s="16" t="str">
        <f t="shared" si="3"/>
        <v>Normal</v>
      </c>
    </row>
    <row r="256" spans="1:12" ht="15" thickBot="1" x14ac:dyDescent="0.4">
      <c r="A256" s="5">
        <v>1188</v>
      </c>
      <c r="B256" s="5" t="s">
        <v>29</v>
      </c>
      <c r="C256" s="5" t="s">
        <v>22</v>
      </c>
      <c r="D256" s="5" t="s">
        <v>18</v>
      </c>
      <c r="E256" s="5" t="s">
        <v>56</v>
      </c>
      <c r="F256" s="5">
        <v>6</v>
      </c>
      <c r="G256" s="5">
        <v>10368</v>
      </c>
      <c r="H256" s="5">
        <v>7</v>
      </c>
      <c r="I256" s="6">
        <v>46137</v>
      </c>
      <c r="J256" s="6">
        <v>46142</v>
      </c>
      <c r="K256" s="10" t="s">
        <v>15</v>
      </c>
      <c r="L256" s="16" t="str">
        <f t="shared" si="3"/>
        <v>Normal</v>
      </c>
    </row>
    <row r="257" spans="1:12" ht="15" thickBot="1" x14ac:dyDescent="0.4">
      <c r="A257" s="5">
        <v>1291</v>
      </c>
      <c r="B257" s="5" t="s">
        <v>21</v>
      </c>
      <c r="C257" s="5" t="s">
        <v>17</v>
      </c>
      <c r="D257" s="5" t="s">
        <v>13</v>
      </c>
      <c r="E257" s="5" t="s">
        <v>36</v>
      </c>
      <c r="F257" s="5">
        <v>17</v>
      </c>
      <c r="G257" s="5">
        <v>415</v>
      </c>
      <c r="H257" s="5">
        <v>5</v>
      </c>
      <c r="I257" s="6">
        <v>46137</v>
      </c>
      <c r="J257" s="6">
        <v>46141</v>
      </c>
      <c r="K257" s="10" t="s">
        <v>20</v>
      </c>
      <c r="L257" s="16" t="str">
        <f t="shared" si="3"/>
        <v>Priority</v>
      </c>
    </row>
    <row r="258" spans="1:12" ht="15" thickBot="1" x14ac:dyDescent="0.4">
      <c r="A258" s="5">
        <v>1144</v>
      </c>
      <c r="B258" s="5" t="s">
        <v>42</v>
      </c>
      <c r="C258" s="5" t="s">
        <v>25</v>
      </c>
      <c r="D258" s="5" t="s">
        <v>13</v>
      </c>
      <c r="E258" s="5" t="s">
        <v>14</v>
      </c>
      <c r="F258" s="5">
        <v>16</v>
      </c>
      <c r="G258" s="5">
        <v>219</v>
      </c>
      <c r="H258" s="5">
        <v>7</v>
      </c>
      <c r="I258" s="6">
        <v>46138</v>
      </c>
      <c r="J258" s="6">
        <v>46140</v>
      </c>
      <c r="K258" s="10" t="s">
        <v>20</v>
      </c>
      <c r="L258" s="16" t="str">
        <f t="shared" si="3"/>
        <v>Priority</v>
      </c>
    </row>
    <row r="259" spans="1:12" ht="15" thickBot="1" x14ac:dyDescent="0.4">
      <c r="A259" s="5">
        <v>1214</v>
      </c>
      <c r="B259" s="5" t="s">
        <v>42</v>
      </c>
      <c r="C259" s="5" t="s">
        <v>25</v>
      </c>
      <c r="D259" s="5" t="s">
        <v>18</v>
      </c>
      <c r="E259" s="5" t="s">
        <v>28</v>
      </c>
      <c r="F259" s="5">
        <v>19</v>
      </c>
      <c r="G259" s="5">
        <v>13832</v>
      </c>
      <c r="H259" s="5">
        <v>0</v>
      </c>
      <c r="I259" s="6">
        <v>46140</v>
      </c>
      <c r="J259" s="6">
        <v>46145</v>
      </c>
      <c r="K259" s="10" t="s">
        <v>51</v>
      </c>
      <c r="L259" s="16" t="str">
        <f t="shared" ref="L259:L322" si="4">IF(OR(C259="Mumbai",F259&gt;=15),"Priority","Normal")</f>
        <v>Priority</v>
      </c>
    </row>
    <row r="260" spans="1:12" ht="15" thickBot="1" x14ac:dyDescent="0.4">
      <c r="A260" s="5">
        <v>1346</v>
      </c>
      <c r="B260" s="5" t="s">
        <v>32</v>
      </c>
      <c r="C260" s="5" t="s">
        <v>22</v>
      </c>
      <c r="D260" s="5" t="s">
        <v>18</v>
      </c>
      <c r="E260" s="5" t="s">
        <v>19</v>
      </c>
      <c r="F260" s="5">
        <v>16</v>
      </c>
      <c r="G260" s="5">
        <v>6910</v>
      </c>
      <c r="H260" s="5">
        <v>15</v>
      </c>
      <c r="I260" s="6">
        <v>46140</v>
      </c>
      <c r="J260" s="6">
        <v>46142</v>
      </c>
      <c r="K260" s="10" t="s">
        <v>29</v>
      </c>
      <c r="L260" s="16" t="str">
        <f t="shared" si="4"/>
        <v>Priority</v>
      </c>
    </row>
    <row r="261" spans="1:12" ht="15" thickBot="1" x14ac:dyDescent="0.4">
      <c r="A261" s="5">
        <v>1101</v>
      </c>
      <c r="B261" s="5" t="s">
        <v>27</v>
      </c>
      <c r="C261" s="5" t="s">
        <v>22</v>
      </c>
      <c r="D261" s="5" t="s">
        <v>34</v>
      </c>
      <c r="E261" s="5" t="s">
        <v>61</v>
      </c>
      <c r="F261" s="5">
        <v>9</v>
      </c>
      <c r="G261" s="5">
        <v>37361</v>
      </c>
      <c r="H261" s="5">
        <v>10</v>
      </c>
      <c r="I261" s="6">
        <v>46141</v>
      </c>
      <c r="J261" s="6">
        <v>46142</v>
      </c>
      <c r="K261" s="10" t="s">
        <v>24</v>
      </c>
      <c r="L261" s="16" t="str">
        <f t="shared" si="4"/>
        <v>Normal</v>
      </c>
    </row>
    <row r="262" spans="1:12" ht="15" thickBot="1" x14ac:dyDescent="0.4">
      <c r="A262" s="5">
        <v>1322</v>
      </c>
      <c r="B262" s="5" t="s">
        <v>27</v>
      </c>
      <c r="C262" s="5" t="s">
        <v>12</v>
      </c>
      <c r="D262" s="5" t="s">
        <v>18</v>
      </c>
      <c r="E262" s="5" t="s">
        <v>23</v>
      </c>
      <c r="F262" s="5">
        <v>14</v>
      </c>
      <c r="G262" s="5">
        <v>9081</v>
      </c>
      <c r="H262" s="5">
        <v>15</v>
      </c>
      <c r="I262" s="6">
        <v>46141</v>
      </c>
      <c r="J262" s="6">
        <v>46146</v>
      </c>
      <c r="K262" s="10" t="s">
        <v>15</v>
      </c>
      <c r="L262" s="16" t="str">
        <f t="shared" si="4"/>
        <v>Normal</v>
      </c>
    </row>
    <row r="263" spans="1:12" ht="15" thickBot="1" x14ac:dyDescent="0.4">
      <c r="A263" s="5">
        <v>1361</v>
      </c>
      <c r="B263" s="5" t="s">
        <v>42</v>
      </c>
      <c r="C263" s="5" t="s">
        <v>17</v>
      </c>
      <c r="D263" s="5" t="s">
        <v>18</v>
      </c>
      <c r="E263" s="5" t="s">
        <v>23</v>
      </c>
      <c r="F263" s="5">
        <v>2</v>
      </c>
      <c r="G263" s="5">
        <v>1822</v>
      </c>
      <c r="H263" s="5">
        <v>5</v>
      </c>
      <c r="I263" s="6">
        <v>46141</v>
      </c>
      <c r="J263" s="6">
        <v>46145</v>
      </c>
      <c r="K263" s="10" t="s">
        <v>20</v>
      </c>
      <c r="L263" s="16" t="str">
        <f t="shared" si="4"/>
        <v>Normal</v>
      </c>
    </row>
    <row r="264" spans="1:12" ht="15" thickBot="1" x14ac:dyDescent="0.4">
      <c r="A264" s="5">
        <v>1254</v>
      </c>
      <c r="B264" s="5" t="s">
        <v>52</v>
      </c>
      <c r="C264" s="5" t="s">
        <v>22</v>
      </c>
      <c r="D264" s="5" t="s">
        <v>13</v>
      </c>
      <c r="E264" s="5" t="s">
        <v>50</v>
      </c>
      <c r="F264" s="5">
        <v>18</v>
      </c>
      <c r="G264" s="5">
        <v>447</v>
      </c>
      <c r="H264" s="5">
        <v>15</v>
      </c>
      <c r="I264" s="6">
        <v>46141</v>
      </c>
      <c r="J264" s="6">
        <v>46149</v>
      </c>
      <c r="K264" s="10" t="s">
        <v>24</v>
      </c>
      <c r="L264" s="16" t="str">
        <f t="shared" si="4"/>
        <v>Priority</v>
      </c>
    </row>
    <row r="265" spans="1:12" ht="15" thickBot="1" x14ac:dyDescent="0.4">
      <c r="A265" s="5">
        <v>1160</v>
      </c>
      <c r="B265" s="5" t="s">
        <v>59</v>
      </c>
      <c r="C265" s="5" t="s">
        <v>22</v>
      </c>
      <c r="D265" s="5" t="s">
        <v>34</v>
      </c>
      <c r="E265" s="5" t="s">
        <v>39</v>
      </c>
      <c r="F265" s="5">
        <v>7</v>
      </c>
      <c r="G265" s="5">
        <v>53986</v>
      </c>
      <c r="H265" s="5">
        <v>10</v>
      </c>
      <c r="I265" s="6">
        <v>46142</v>
      </c>
      <c r="J265" s="6">
        <v>46147</v>
      </c>
      <c r="K265" s="10" t="s">
        <v>51</v>
      </c>
      <c r="L265" s="16" t="str">
        <f t="shared" si="4"/>
        <v>Normal</v>
      </c>
    </row>
    <row r="266" spans="1:12" ht="15" thickBot="1" x14ac:dyDescent="0.4">
      <c r="A266" s="5">
        <v>1240</v>
      </c>
      <c r="B266" s="5" t="s">
        <v>55</v>
      </c>
      <c r="C266" s="5" t="s">
        <v>33</v>
      </c>
      <c r="D266" s="5" t="s">
        <v>18</v>
      </c>
      <c r="E266" s="5" t="s">
        <v>23</v>
      </c>
      <c r="F266" s="5">
        <v>2</v>
      </c>
      <c r="G266" s="5">
        <v>5475</v>
      </c>
      <c r="H266" s="5">
        <v>2</v>
      </c>
      <c r="I266" s="6">
        <v>46142</v>
      </c>
      <c r="J266" s="6">
        <v>46146</v>
      </c>
      <c r="K266" s="10" t="s">
        <v>29</v>
      </c>
      <c r="L266" s="16" t="str">
        <f t="shared" si="4"/>
        <v>Normal</v>
      </c>
    </row>
    <row r="267" spans="1:12" ht="15" thickBot="1" x14ac:dyDescent="0.4">
      <c r="A267" s="5">
        <v>1339</v>
      </c>
      <c r="B267" s="5" t="s">
        <v>32</v>
      </c>
      <c r="C267" s="5" t="s">
        <v>25</v>
      </c>
      <c r="D267" s="5" t="s">
        <v>13</v>
      </c>
      <c r="E267" s="5" t="s">
        <v>14</v>
      </c>
      <c r="F267" s="5">
        <v>6</v>
      </c>
      <c r="G267" s="5">
        <v>302</v>
      </c>
      <c r="H267" s="5">
        <v>5</v>
      </c>
      <c r="I267" s="6">
        <v>46142</v>
      </c>
      <c r="J267" s="6">
        <v>46148</v>
      </c>
      <c r="K267" s="10" t="s">
        <v>20</v>
      </c>
      <c r="L267" s="16" t="str">
        <f t="shared" si="4"/>
        <v>Normal</v>
      </c>
    </row>
    <row r="268" spans="1:12" ht="15" thickBot="1" x14ac:dyDescent="0.4">
      <c r="A268" s="5">
        <v>1150</v>
      </c>
      <c r="B268" s="5" t="s">
        <v>42</v>
      </c>
      <c r="C268" s="5" t="s">
        <v>12</v>
      </c>
      <c r="D268" s="5" t="s">
        <v>18</v>
      </c>
      <c r="E268" s="5" t="s">
        <v>56</v>
      </c>
      <c r="F268" s="5">
        <v>10</v>
      </c>
      <c r="G268" s="5">
        <v>5323</v>
      </c>
      <c r="H268" s="5">
        <v>7</v>
      </c>
      <c r="I268" s="6">
        <v>46143</v>
      </c>
      <c r="J268" s="6">
        <v>46153</v>
      </c>
      <c r="K268" s="10" t="s">
        <v>24</v>
      </c>
      <c r="L268" s="16" t="str">
        <f t="shared" si="4"/>
        <v>Normal</v>
      </c>
    </row>
    <row r="269" spans="1:12" ht="15" thickBot="1" x14ac:dyDescent="0.4">
      <c r="A269" s="5">
        <v>1218</v>
      </c>
      <c r="B269" s="5" t="s">
        <v>55</v>
      </c>
      <c r="C269" s="5" t="s">
        <v>38</v>
      </c>
      <c r="D269" s="5" t="s">
        <v>13</v>
      </c>
      <c r="E269" s="5" t="s">
        <v>14</v>
      </c>
      <c r="F269" s="5">
        <v>1</v>
      </c>
      <c r="G269" s="5">
        <v>134</v>
      </c>
      <c r="H269" s="5">
        <v>10</v>
      </c>
      <c r="I269" s="6">
        <v>46143</v>
      </c>
      <c r="J269" s="6">
        <v>46151</v>
      </c>
      <c r="K269" s="10" t="s">
        <v>51</v>
      </c>
      <c r="L269" s="16" t="str">
        <f t="shared" si="4"/>
        <v>Priority</v>
      </c>
    </row>
    <row r="270" spans="1:12" ht="15" thickBot="1" x14ac:dyDescent="0.4">
      <c r="A270" s="5">
        <v>1021</v>
      </c>
      <c r="B270" s="5" t="s">
        <v>48</v>
      </c>
      <c r="C270" s="5" t="s">
        <v>43</v>
      </c>
      <c r="D270" s="5" t="s">
        <v>13</v>
      </c>
      <c r="E270" s="5" t="s">
        <v>14</v>
      </c>
      <c r="F270" s="5">
        <v>3</v>
      </c>
      <c r="G270" s="5">
        <v>484</v>
      </c>
      <c r="H270" s="5">
        <v>2</v>
      </c>
      <c r="I270" s="6">
        <v>46144</v>
      </c>
      <c r="J270" s="6">
        <v>46148</v>
      </c>
      <c r="K270" s="10" t="s">
        <v>24</v>
      </c>
      <c r="L270" s="16" t="str">
        <f t="shared" si="4"/>
        <v>Normal</v>
      </c>
    </row>
    <row r="271" spans="1:12" ht="15" thickBot="1" x14ac:dyDescent="0.4">
      <c r="A271" s="5">
        <v>1184</v>
      </c>
      <c r="B271" s="5" t="s">
        <v>40</v>
      </c>
      <c r="C271" s="5" t="s">
        <v>31</v>
      </c>
      <c r="D271" s="5" t="s">
        <v>34</v>
      </c>
      <c r="E271" s="5" t="s">
        <v>39</v>
      </c>
      <c r="F271" s="5">
        <v>12</v>
      </c>
      <c r="G271" s="5">
        <v>50517</v>
      </c>
      <c r="H271" s="5">
        <v>15</v>
      </c>
      <c r="I271" s="6">
        <v>46145</v>
      </c>
      <c r="J271" s="6">
        <v>46153</v>
      </c>
      <c r="K271" s="10" t="s">
        <v>29</v>
      </c>
      <c r="L271" s="16" t="str">
        <f t="shared" si="4"/>
        <v>Normal</v>
      </c>
    </row>
    <row r="272" spans="1:12" ht="15" thickBot="1" x14ac:dyDescent="0.4">
      <c r="A272" s="5">
        <v>1333</v>
      </c>
      <c r="B272" s="5" t="s">
        <v>29</v>
      </c>
      <c r="C272" s="5" t="s">
        <v>38</v>
      </c>
      <c r="D272" s="5" t="s">
        <v>13</v>
      </c>
      <c r="E272" s="5" t="s">
        <v>53</v>
      </c>
      <c r="F272" s="5">
        <v>20</v>
      </c>
      <c r="G272" s="5">
        <v>416</v>
      </c>
      <c r="H272" s="5">
        <v>12</v>
      </c>
      <c r="I272" s="6">
        <v>46145</v>
      </c>
      <c r="J272" s="6">
        <v>46146</v>
      </c>
      <c r="K272" s="10" t="s">
        <v>51</v>
      </c>
      <c r="L272" s="16" t="str">
        <f t="shared" si="4"/>
        <v>Priority</v>
      </c>
    </row>
    <row r="273" spans="1:12" ht="15" thickBot="1" x14ac:dyDescent="0.4">
      <c r="A273" s="5">
        <v>1085</v>
      </c>
      <c r="B273" s="5" t="s">
        <v>32</v>
      </c>
      <c r="C273" s="5" t="s">
        <v>38</v>
      </c>
      <c r="D273" s="5" t="s">
        <v>34</v>
      </c>
      <c r="E273" s="5" t="s">
        <v>60</v>
      </c>
      <c r="F273" s="5">
        <v>19</v>
      </c>
      <c r="G273" s="5">
        <v>45307</v>
      </c>
      <c r="H273" s="5">
        <v>12</v>
      </c>
      <c r="I273" s="6">
        <v>46146</v>
      </c>
      <c r="J273" s="6">
        <v>46150</v>
      </c>
      <c r="K273" s="10" t="s">
        <v>24</v>
      </c>
      <c r="L273" s="16" t="str">
        <f t="shared" si="4"/>
        <v>Priority</v>
      </c>
    </row>
    <row r="274" spans="1:12" ht="15" thickBot="1" x14ac:dyDescent="0.4">
      <c r="A274" s="5">
        <v>1305</v>
      </c>
      <c r="B274" s="5" t="s">
        <v>58</v>
      </c>
      <c r="C274" s="5" t="s">
        <v>31</v>
      </c>
      <c r="D274" s="5" t="s">
        <v>34</v>
      </c>
      <c r="E274" s="5" t="s">
        <v>60</v>
      </c>
      <c r="F274" s="5">
        <v>20</v>
      </c>
      <c r="G274" s="5">
        <v>31406</v>
      </c>
      <c r="H274" s="5">
        <v>15</v>
      </c>
      <c r="I274" s="6">
        <v>46146</v>
      </c>
      <c r="J274" s="6">
        <v>46154</v>
      </c>
      <c r="K274" s="10" t="s">
        <v>51</v>
      </c>
      <c r="L274" s="16" t="str">
        <f t="shared" si="4"/>
        <v>Priority</v>
      </c>
    </row>
    <row r="275" spans="1:12" ht="15" thickBot="1" x14ac:dyDescent="0.4">
      <c r="A275" s="5">
        <v>1360</v>
      </c>
      <c r="B275" s="5" t="s">
        <v>11</v>
      </c>
      <c r="C275" s="5" t="s">
        <v>43</v>
      </c>
      <c r="D275" s="5" t="s">
        <v>18</v>
      </c>
      <c r="E275" s="5" t="s">
        <v>23</v>
      </c>
      <c r="F275" s="5">
        <v>19</v>
      </c>
      <c r="G275" s="5">
        <v>6681</v>
      </c>
      <c r="H275" s="5">
        <v>2</v>
      </c>
      <c r="I275" s="6">
        <v>46146</v>
      </c>
      <c r="J275" s="6">
        <v>46150</v>
      </c>
      <c r="K275" s="10" t="s">
        <v>15</v>
      </c>
      <c r="L275" s="16" t="str">
        <f t="shared" si="4"/>
        <v>Priority</v>
      </c>
    </row>
    <row r="276" spans="1:12" ht="15" thickBot="1" x14ac:dyDescent="0.4">
      <c r="A276" s="5">
        <v>1117</v>
      </c>
      <c r="B276" s="5" t="s">
        <v>55</v>
      </c>
      <c r="C276" s="5" t="s">
        <v>43</v>
      </c>
      <c r="D276" s="5" t="s">
        <v>34</v>
      </c>
      <c r="E276" s="5" t="s">
        <v>39</v>
      </c>
      <c r="F276" s="5">
        <v>16</v>
      </c>
      <c r="G276" s="5">
        <v>33162</v>
      </c>
      <c r="H276" s="5">
        <v>7</v>
      </c>
      <c r="I276" s="6">
        <v>46147</v>
      </c>
      <c r="J276" s="6">
        <v>46155</v>
      </c>
      <c r="K276" s="10" t="s">
        <v>29</v>
      </c>
      <c r="L276" s="16" t="str">
        <f t="shared" si="4"/>
        <v>Priority</v>
      </c>
    </row>
    <row r="277" spans="1:12" ht="15" thickBot="1" x14ac:dyDescent="0.4">
      <c r="A277" s="5">
        <v>1063</v>
      </c>
      <c r="B277" s="5" t="s">
        <v>54</v>
      </c>
      <c r="C277" s="5" t="s">
        <v>22</v>
      </c>
      <c r="D277" s="5" t="s">
        <v>34</v>
      </c>
      <c r="E277" s="5" t="s">
        <v>45</v>
      </c>
      <c r="F277" s="5">
        <v>7</v>
      </c>
      <c r="G277" s="5">
        <v>66744</v>
      </c>
      <c r="H277" s="5">
        <v>7</v>
      </c>
      <c r="I277" s="6">
        <v>46148</v>
      </c>
      <c r="J277" s="6">
        <v>46155</v>
      </c>
      <c r="K277" s="10" t="s">
        <v>15</v>
      </c>
      <c r="L277" s="16" t="str">
        <f t="shared" si="4"/>
        <v>Normal</v>
      </c>
    </row>
    <row r="278" spans="1:12" ht="15" thickBot="1" x14ac:dyDescent="0.4">
      <c r="A278" s="5">
        <v>1134</v>
      </c>
      <c r="B278" s="5" t="s">
        <v>57</v>
      </c>
      <c r="C278" s="5" t="s">
        <v>31</v>
      </c>
      <c r="D278" s="5" t="s">
        <v>34</v>
      </c>
      <c r="E278" s="5" t="s">
        <v>61</v>
      </c>
      <c r="F278" s="5">
        <v>10</v>
      </c>
      <c r="G278" s="5">
        <v>29217</v>
      </c>
      <c r="H278" s="5">
        <v>15</v>
      </c>
      <c r="I278" s="6">
        <v>46148</v>
      </c>
      <c r="J278" s="6">
        <v>46150</v>
      </c>
      <c r="K278" s="10" t="s">
        <v>24</v>
      </c>
      <c r="L278" s="16" t="str">
        <f t="shared" si="4"/>
        <v>Normal</v>
      </c>
    </row>
    <row r="279" spans="1:12" ht="15" thickBot="1" x14ac:dyDescent="0.4">
      <c r="A279" s="5">
        <v>1312</v>
      </c>
      <c r="B279" s="5" t="s">
        <v>57</v>
      </c>
      <c r="C279" s="5" t="s">
        <v>22</v>
      </c>
      <c r="D279" s="5" t="s">
        <v>18</v>
      </c>
      <c r="E279" s="5" t="s">
        <v>56</v>
      </c>
      <c r="F279" s="5">
        <v>20</v>
      </c>
      <c r="G279" s="5">
        <v>3274</v>
      </c>
      <c r="H279" s="5">
        <v>2</v>
      </c>
      <c r="I279" s="6">
        <v>46148</v>
      </c>
      <c r="J279" s="6">
        <v>46156</v>
      </c>
      <c r="K279" s="10" t="s">
        <v>24</v>
      </c>
      <c r="L279" s="16" t="str">
        <f t="shared" si="4"/>
        <v>Priority</v>
      </c>
    </row>
    <row r="280" spans="1:12" ht="15" thickBot="1" x14ac:dyDescent="0.4">
      <c r="A280" s="5">
        <v>1191</v>
      </c>
      <c r="B280" s="5" t="s">
        <v>52</v>
      </c>
      <c r="C280" s="5" t="s">
        <v>33</v>
      </c>
      <c r="D280" s="5" t="s">
        <v>18</v>
      </c>
      <c r="E280" s="5" t="s">
        <v>56</v>
      </c>
      <c r="F280" s="5">
        <v>9</v>
      </c>
      <c r="G280" s="5">
        <v>8631</v>
      </c>
      <c r="H280" s="5">
        <v>10</v>
      </c>
      <c r="I280" s="6">
        <v>46149</v>
      </c>
      <c r="J280" s="6">
        <v>46156</v>
      </c>
      <c r="K280" s="10" t="s">
        <v>20</v>
      </c>
      <c r="L280" s="16" t="str">
        <f t="shared" si="4"/>
        <v>Normal</v>
      </c>
    </row>
    <row r="281" spans="1:12" ht="15" thickBot="1" x14ac:dyDescent="0.4">
      <c r="A281" s="5">
        <v>1115</v>
      </c>
      <c r="B281" s="5" t="s">
        <v>59</v>
      </c>
      <c r="C281" s="5" t="s">
        <v>43</v>
      </c>
      <c r="D281" s="5" t="s">
        <v>13</v>
      </c>
      <c r="E281" s="5" t="s">
        <v>50</v>
      </c>
      <c r="F281" s="5">
        <v>9</v>
      </c>
      <c r="G281" s="5">
        <v>303</v>
      </c>
      <c r="H281" s="5">
        <v>10</v>
      </c>
      <c r="I281" s="6">
        <v>46149</v>
      </c>
      <c r="J281" s="6">
        <v>46157</v>
      </c>
      <c r="K281" s="10" t="s">
        <v>29</v>
      </c>
      <c r="L281" s="16" t="str">
        <f t="shared" si="4"/>
        <v>Normal</v>
      </c>
    </row>
    <row r="282" spans="1:12" ht="15" thickBot="1" x14ac:dyDescent="0.4">
      <c r="A282" s="5">
        <v>1327</v>
      </c>
      <c r="B282" s="5" t="s">
        <v>48</v>
      </c>
      <c r="C282" s="5" t="s">
        <v>12</v>
      </c>
      <c r="D282" s="5" t="s">
        <v>13</v>
      </c>
      <c r="E282" s="5" t="s">
        <v>53</v>
      </c>
      <c r="F282" s="5">
        <v>15</v>
      </c>
      <c r="G282" s="5">
        <v>449</v>
      </c>
      <c r="H282" s="5">
        <v>5</v>
      </c>
      <c r="I282" s="6">
        <v>46152</v>
      </c>
      <c r="J282" s="6">
        <v>46153</v>
      </c>
      <c r="K282" s="10" t="s">
        <v>15</v>
      </c>
      <c r="L282" s="16" t="str">
        <f t="shared" si="4"/>
        <v>Priority</v>
      </c>
    </row>
    <row r="283" spans="1:12" ht="15" thickBot="1" x14ac:dyDescent="0.4">
      <c r="A283" s="5">
        <v>1046</v>
      </c>
      <c r="B283" s="5" t="s">
        <v>57</v>
      </c>
      <c r="C283" s="5" t="s">
        <v>38</v>
      </c>
      <c r="D283" s="5" t="s">
        <v>34</v>
      </c>
      <c r="E283" s="5" t="s">
        <v>45</v>
      </c>
      <c r="F283" s="5">
        <v>3</v>
      </c>
      <c r="G283" s="5">
        <v>19443</v>
      </c>
      <c r="H283" s="5">
        <v>10</v>
      </c>
      <c r="I283" s="6">
        <v>46153</v>
      </c>
      <c r="J283" s="6">
        <v>46158</v>
      </c>
      <c r="K283" s="10" t="s">
        <v>29</v>
      </c>
      <c r="L283" s="16" t="str">
        <f t="shared" si="4"/>
        <v>Priority</v>
      </c>
    </row>
    <row r="284" spans="1:12" ht="15" thickBot="1" x14ac:dyDescent="0.4">
      <c r="A284" s="5">
        <v>1185</v>
      </c>
      <c r="B284" s="5" t="s">
        <v>58</v>
      </c>
      <c r="C284" s="5" t="s">
        <v>22</v>
      </c>
      <c r="D284" s="5" t="s">
        <v>34</v>
      </c>
      <c r="E284" s="5" t="s">
        <v>60</v>
      </c>
      <c r="F284" s="5">
        <v>16</v>
      </c>
      <c r="G284" s="5">
        <v>15536</v>
      </c>
      <c r="H284" s="5">
        <v>2</v>
      </c>
      <c r="I284" s="6">
        <v>46153</v>
      </c>
      <c r="J284" s="6">
        <v>46156</v>
      </c>
      <c r="K284" s="10" t="s">
        <v>15</v>
      </c>
      <c r="L284" s="16" t="str">
        <f t="shared" si="4"/>
        <v>Priority</v>
      </c>
    </row>
    <row r="285" spans="1:12" ht="15" thickBot="1" x14ac:dyDescent="0.4">
      <c r="A285" s="5">
        <v>1147</v>
      </c>
      <c r="B285" s="5" t="s">
        <v>11</v>
      </c>
      <c r="C285" s="5" t="s">
        <v>22</v>
      </c>
      <c r="D285" s="5" t="s">
        <v>18</v>
      </c>
      <c r="E285" s="5" t="s">
        <v>28</v>
      </c>
      <c r="F285" s="5">
        <v>7</v>
      </c>
      <c r="G285" s="5">
        <v>9581</v>
      </c>
      <c r="H285" s="5">
        <v>5</v>
      </c>
      <c r="I285" s="6">
        <v>46154</v>
      </c>
      <c r="J285" s="6">
        <v>46155</v>
      </c>
      <c r="K285" s="10" t="s">
        <v>20</v>
      </c>
      <c r="L285" s="16" t="str">
        <f t="shared" si="4"/>
        <v>Normal</v>
      </c>
    </row>
    <row r="286" spans="1:12" ht="15" thickBot="1" x14ac:dyDescent="0.4">
      <c r="A286" s="5">
        <v>1222</v>
      </c>
      <c r="B286" s="5" t="s">
        <v>30</v>
      </c>
      <c r="C286" s="5" t="s">
        <v>33</v>
      </c>
      <c r="D286" s="5" t="s">
        <v>18</v>
      </c>
      <c r="E286" s="5" t="s">
        <v>23</v>
      </c>
      <c r="F286" s="5">
        <v>9</v>
      </c>
      <c r="G286" s="5">
        <v>2712</v>
      </c>
      <c r="H286" s="5">
        <v>12</v>
      </c>
      <c r="I286" s="6">
        <v>46154</v>
      </c>
      <c r="J286" s="6">
        <v>46163</v>
      </c>
      <c r="K286" s="10" t="s">
        <v>15</v>
      </c>
      <c r="L286" s="16" t="str">
        <f t="shared" si="4"/>
        <v>Normal</v>
      </c>
    </row>
    <row r="287" spans="1:12" ht="15" thickBot="1" x14ac:dyDescent="0.4">
      <c r="A287" s="5">
        <v>1332</v>
      </c>
      <c r="B287" s="5" t="s">
        <v>29</v>
      </c>
      <c r="C287" s="5" t="s">
        <v>43</v>
      </c>
      <c r="D287" s="5" t="s">
        <v>13</v>
      </c>
      <c r="E287" s="5" t="s">
        <v>50</v>
      </c>
      <c r="F287" s="5">
        <v>7</v>
      </c>
      <c r="G287" s="5">
        <v>439</v>
      </c>
      <c r="H287" s="5">
        <v>2</v>
      </c>
      <c r="I287" s="6">
        <v>46154</v>
      </c>
      <c r="J287" s="6">
        <v>46157</v>
      </c>
      <c r="K287" s="10" t="s">
        <v>15</v>
      </c>
      <c r="L287" s="16" t="str">
        <f t="shared" si="4"/>
        <v>Normal</v>
      </c>
    </row>
    <row r="288" spans="1:12" ht="15" thickBot="1" x14ac:dyDescent="0.4">
      <c r="A288" s="5">
        <v>1179</v>
      </c>
      <c r="B288" s="5" t="s">
        <v>47</v>
      </c>
      <c r="C288" s="5" t="s">
        <v>17</v>
      </c>
      <c r="D288" s="5" t="s">
        <v>34</v>
      </c>
      <c r="E288" s="5" t="s">
        <v>39</v>
      </c>
      <c r="F288" s="5">
        <v>6</v>
      </c>
      <c r="G288" s="5">
        <v>10400</v>
      </c>
      <c r="H288" s="5">
        <v>2</v>
      </c>
      <c r="I288" s="6">
        <v>46155</v>
      </c>
      <c r="J288" s="6">
        <v>46158</v>
      </c>
      <c r="K288" s="10" t="s">
        <v>15</v>
      </c>
      <c r="L288" s="16" t="str">
        <f t="shared" si="4"/>
        <v>Normal</v>
      </c>
    </row>
    <row r="289" spans="1:12" ht="15" thickBot="1" x14ac:dyDescent="0.4">
      <c r="A289" s="5">
        <v>1196</v>
      </c>
      <c r="B289" s="5" t="s">
        <v>48</v>
      </c>
      <c r="C289" s="5" t="s">
        <v>22</v>
      </c>
      <c r="D289" s="5" t="s">
        <v>34</v>
      </c>
      <c r="E289" s="5" t="s">
        <v>35</v>
      </c>
      <c r="F289" s="5">
        <v>20</v>
      </c>
      <c r="G289" s="5">
        <v>3172</v>
      </c>
      <c r="H289" s="5">
        <v>5</v>
      </c>
      <c r="I289" s="6">
        <v>46155</v>
      </c>
      <c r="J289" s="6">
        <v>46159</v>
      </c>
      <c r="K289" s="10" t="s">
        <v>20</v>
      </c>
      <c r="L289" s="16" t="str">
        <f t="shared" si="4"/>
        <v>Priority</v>
      </c>
    </row>
    <row r="290" spans="1:12" ht="15" thickBot="1" x14ac:dyDescent="0.4">
      <c r="A290" s="5">
        <v>1027</v>
      </c>
      <c r="B290" s="5" t="s">
        <v>29</v>
      </c>
      <c r="C290" s="5" t="s">
        <v>43</v>
      </c>
      <c r="D290" s="5" t="s">
        <v>13</v>
      </c>
      <c r="E290" s="5" t="s">
        <v>50</v>
      </c>
      <c r="F290" s="5">
        <v>4</v>
      </c>
      <c r="G290" s="5">
        <v>264</v>
      </c>
      <c r="H290" s="5">
        <v>0</v>
      </c>
      <c r="I290" s="6">
        <v>46155</v>
      </c>
      <c r="J290" s="6">
        <v>46161</v>
      </c>
      <c r="K290" s="10" t="s">
        <v>51</v>
      </c>
      <c r="L290" s="16" t="str">
        <f t="shared" si="4"/>
        <v>Normal</v>
      </c>
    </row>
    <row r="291" spans="1:12" ht="15" thickBot="1" x14ac:dyDescent="0.4">
      <c r="A291" s="5">
        <v>1344</v>
      </c>
      <c r="B291" s="5" t="s">
        <v>30</v>
      </c>
      <c r="C291" s="5" t="s">
        <v>17</v>
      </c>
      <c r="D291" s="5" t="s">
        <v>13</v>
      </c>
      <c r="E291" s="5" t="s">
        <v>53</v>
      </c>
      <c r="F291" s="5">
        <v>18</v>
      </c>
      <c r="G291" s="5">
        <v>240</v>
      </c>
      <c r="H291" s="5">
        <v>10</v>
      </c>
      <c r="I291" s="6">
        <v>46155</v>
      </c>
      <c r="J291" s="6">
        <v>46156</v>
      </c>
      <c r="K291" s="10" t="s">
        <v>24</v>
      </c>
      <c r="L291" s="16" t="str">
        <f t="shared" si="4"/>
        <v>Priority</v>
      </c>
    </row>
    <row r="292" spans="1:12" ht="15" thickBot="1" x14ac:dyDescent="0.4">
      <c r="A292" s="5">
        <v>1171</v>
      </c>
      <c r="B292" s="5" t="s">
        <v>57</v>
      </c>
      <c r="C292" s="5" t="s">
        <v>25</v>
      </c>
      <c r="D292" s="5" t="s">
        <v>13</v>
      </c>
      <c r="E292" s="5" t="s">
        <v>50</v>
      </c>
      <c r="F292" s="5">
        <v>17</v>
      </c>
      <c r="G292" s="5">
        <v>147</v>
      </c>
      <c r="H292" s="5">
        <v>12</v>
      </c>
      <c r="I292" s="6">
        <v>46155</v>
      </c>
      <c r="J292" s="6">
        <v>46160</v>
      </c>
      <c r="K292" s="10" t="s">
        <v>20</v>
      </c>
      <c r="L292" s="16" t="str">
        <f t="shared" si="4"/>
        <v>Priority</v>
      </c>
    </row>
    <row r="293" spans="1:12" ht="15" thickBot="1" x14ac:dyDescent="0.4">
      <c r="A293" s="5">
        <v>1295</v>
      </c>
      <c r="B293" s="5" t="s">
        <v>52</v>
      </c>
      <c r="C293" s="5" t="s">
        <v>38</v>
      </c>
      <c r="D293" s="5" t="s">
        <v>18</v>
      </c>
      <c r="E293" s="5" t="s">
        <v>28</v>
      </c>
      <c r="F293" s="5">
        <v>16</v>
      </c>
      <c r="G293" s="5">
        <v>11935</v>
      </c>
      <c r="H293" s="5">
        <v>12</v>
      </c>
      <c r="I293" s="6">
        <v>46157</v>
      </c>
      <c r="J293" s="6">
        <v>46162</v>
      </c>
      <c r="K293" s="10" t="s">
        <v>15</v>
      </c>
      <c r="L293" s="16" t="str">
        <f t="shared" si="4"/>
        <v>Priority</v>
      </c>
    </row>
    <row r="294" spans="1:12" ht="15" thickBot="1" x14ac:dyDescent="0.4">
      <c r="A294" s="5">
        <v>1367</v>
      </c>
      <c r="B294" s="5" t="s">
        <v>54</v>
      </c>
      <c r="C294" s="5" t="s">
        <v>25</v>
      </c>
      <c r="D294" s="5" t="s">
        <v>13</v>
      </c>
      <c r="E294" s="5" t="s">
        <v>53</v>
      </c>
      <c r="F294" s="5">
        <v>1</v>
      </c>
      <c r="G294" s="5">
        <v>371</v>
      </c>
      <c r="H294" s="5">
        <v>5</v>
      </c>
      <c r="I294" s="6">
        <v>46158</v>
      </c>
      <c r="J294" s="6">
        <v>46168</v>
      </c>
      <c r="K294" s="10" t="s">
        <v>29</v>
      </c>
      <c r="L294" s="16" t="str">
        <f t="shared" si="4"/>
        <v>Normal</v>
      </c>
    </row>
    <row r="295" spans="1:12" ht="15" thickBot="1" x14ac:dyDescent="0.4">
      <c r="A295" s="5">
        <v>1317</v>
      </c>
      <c r="B295" s="5" t="s">
        <v>59</v>
      </c>
      <c r="C295" s="5" t="s">
        <v>33</v>
      </c>
      <c r="D295" s="5" t="s">
        <v>34</v>
      </c>
      <c r="E295" s="5" t="s">
        <v>41</v>
      </c>
      <c r="F295" s="5">
        <v>7</v>
      </c>
      <c r="G295" s="5">
        <v>67339</v>
      </c>
      <c r="H295" s="5">
        <v>5</v>
      </c>
      <c r="I295" s="6">
        <v>46159</v>
      </c>
      <c r="J295" s="6">
        <v>46169</v>
      </c>
      <c r="K295" s="10" t="s">
        <v>51</v>
      </c>
      <c r="L295" s="16" t="str">
        <f t="shared" si="4"/>
        <v>Normal</v>
      </c>
    </row>
    <row r="296" spans="1:12" ht="15" thickBot="1" x14ac:dyDescent="0.4">
      <c r="A296" s="5">
        <v>1052</v>
      </c>
      <c r="B296" s="5" t="s">
        <v>55</v>
      </c>
      <c r="C296" s="5" t="s">
        <v>12</v>
      </c>
      <c r="D296" s="5" t="s">
        <v>13</v>
      </c>
      <c r="E296" s="5" t="s">
        <v>14</v>
      </c>
      <c r="F296" s="5">
        <v>17</v>
      </c>
      <c r="G296" s="5">
        <v>172</v>
      </c>
      <c r="H296" s="5">
        <v>10</v>
      </c>
      <c r="I296" s="6">
        <v>46159</v>
      </c>
      <c r="J296" s="6">
        <v>46165</v>
      </c>
      <c r="K296" s="10" t="s">
        <v>20</v>
      </c>
      <c r="L296" s="16" t="str">
        <f t="shared" si="4"/>
        <v>Priority</v>
      </c>
    </row>
    <row r="297" spans="1:12" ht="15" thickBot="1" x14ac:dyDescent="0.4">
      <c r="A297" s="5">
        <v>1143</v>
      </c>
      <c r="B297" s="5" t="s">
        <v>29</v>
      </c>
      <c r="C297" s="5" t="s">
        <v>17</v>
      </c>
      <c r="D297" s="5" t="s">
        <v>13</v>
      </c>
      <c r="E297" s="5" t="s">
        <v>37</v>
      </c>
      <c r="F297" s="5">
        <v>13</v>
      </c>
      <c r="G297" s="5">
        <v>456</v>
      </c>
      <c r="H297" s="5">
        <v>2</v>
      </c>
      <c r="I297" s="6">
        <v>46160</v>
      </c>
      <c r="J297" s="6">
        <v>46167</v>
      </c>
      <c r="K297" s="10" t="s">
        <v>24</v>
      </c>
      <c r="L297" s="16" t="str">
        <f t="shared" si="4"/>
        <v>Normal</v>
      </c>
    </row>
    <row r="298" spans="1:12" ht="15" thickBot="1" x14ac:dyDescent="0.4">
      <c r="A298" s="5">
        <v>1167</v>
      </c>
      <c r="B298" s="5" t="s">
        <v>48</v>
      </c>
      <c r="C298" s="5" t="s">
        <v>17</v>
      </c>
      <c r="D298" s="5" t="s">
        <v>13</v>
      </c>
      <c r="E298" s="5" t="s">
        <v>37</v>
      </c>
      <c r="F298" s="5">
        <v>20</v>
      </c>
      <c r="G298" s="5">
        <v>251</v>
      </c>
      <c r="H298" s="5">
        <v>5</v>
      </c>
      <c r="I298" s="6">
        <v>46160</v>
      </c>
      <c r="J298" s="6">
        <v>46170</v>
      </c>
      <c r="K298" s="10" t="s">
        <v>29</v>
      </c>
      <c r="L298" s="16" t="str">
        <f t="shared" si="4"/>
        <v>Priority</v>
      </c>
    </row>
    <row r="299" spans="1:12" ht="15" thickBot="1" x14ac:dyDescent="0.4">
      <c r="A299" s="5">
        <v>1129</v>
      </c>
      <c r="B299" s="5" t="s">
        <v>58</v>
      </c>
      <c r="C299" s="5" t="s">
        <v>17</v>
      </c>
      <c r="D299" s="5" t="s">
        <v>13</v>
      </c>
      <c r="E299" s="5" t="s">
        <v>50</v>
      </c>
      <c r="F299" s="5">
        <v>15</v>
      </c>
      <c r="G299" s="5">
        <v>75</v>
      </c>
      <c r="H299" s="5">
        <v>7</v>
      </c>
      <c r="I299" s="6">
        <v>46160</v>
      </c>
      <c r="J299" s="6">
        <v>46164</v>
      </c>
      <c r="K299" s="10" t="s">
        <v>29</v>
      </c>
      <c r="L299" s="16" t="str">
        <f t="shared" si="4"/>
        <v>Priority</v>
      </c>
    </row>
    <row r="300" spans="1:12" ht="15" thickBot="1" x14ac:dyDescent="0.4">
      <c r="A300" s="5">
        <v>1257</v>
      </c>
      <c r="B300" s="5" t="s">
        <v>54</v>
      </c>
      <c r="C300" s="5" t="s">
        <v>25</v>
      </c>
      <c r="D300" s="5" t="s">
        <v>34</v>
      </c>
      <c r="E300" s="5" t="s">
        <v>61</v>
      </c>
      <c r="F300" s="5">
        <v>7</v>
      </c>
      <c r="G300" s="5">
        <v>53243</v>
      </c>
      <c r="H300" s="5">
        <v>12</v>
      </c>
      <c r="I300" s="6">
        <v>46161</v>
      </c>
      <c r="J300" s="6">
        <v>46171</v>
      </c>
      <c r="K300" s="10" t="s">
        <v>15</v>
      </c>
      <c r="L300" s="16" t="str">
        <f t="shared" si="4"/>
        <v>Normal</v>
      </c>
    </row>
    <row r="301" spans="1:12" ht="15" thickBot="1" x14ac:dyDescent="0.4">
      <c r="A301" s="5">
        <v>1372</v>
      </c>
      <c r="B301" s="5" t="s">
        <v>48</v>
      </c>
      <c r="C301" s="5" t="s">
        <v>17</v>
      </c>
      <c r="D301" s="5" t="s">
        <v>34</v>
      </c>
      <c r="E301" s="5" t="s">
        <v>39</v>
      </c>
      <c r="F301" s="5">
        <v>9</v>
      </c>
      <c r="G301" s="5">
        <v>9551</v>
      </c>
      <c r="H301" s="5">
        <v>10</v>
      </c>
      <c r="I301" s="6">
        <v>46161</v>
      </c>
      <c r="J301" s="6">
        <v>46168</v>
      </c>
      <c r="K301" s="10" t="s">
        <v>15</v>
      </c>
      <c r="L301" s="16" t="str">
        <f t="shared" si="4"/>
        <v>Normal</v>
      </c>
    </row>
    <row r="302" spans="1:12" ht="15" thickBot="1" x14ac:dyDescent="0.4">
      <c r="A302" s="5">
        <v>1024</v>
      </c>
      <c r="B302" s="5" t="s">
        <v>32</v>
      </c>
      <c r="C302" s="5" t="s">
        <v>38</v>
      </c>
      <c r="D302" s="5" t="s">
        <v>34</v>
      </c>
      <c r="E302" s="5" t="s">
        <v>41</v>
      </c>
      <c r="F302" s="5">
        <v>12</v>
      </c>
      <c r="G302" s="5">
        <v>1682</v>
      </c>
      <c r="H302" s="5">
        <v>5</v>
      </c>
      <c r="I302" s="6">
        <v>46161</v>
      </c>
      <c r="J302" s="6">
        <v>46165</v>
      </c>
      <c r="K302" s="10" t="s">
        <v>15</v>
      </c>
      <c r="L302" s="16" t="str">
        <f t="shared" si="4"/>
        <v>Priority</v>
      </c>
    </row>
    <row r="303" spans="1:12" ht="15" thickBot="1" x14ac:dyDescent="0.4">
      <c r="A303" s="5">
        <v>1248</v>
      </c>
      <c r="B303" s="5" t="s">
        <v>27</v>
      </c>
      <c r="C303" s="5" t="s">
        <v>43</v>
      </c>
      <c r="D303" s="5" t="s">
        <v>13</v>
      </c>
      <c r="E303" s="5" t="s">
        <v>37</v>
      </c>
      <c r="F303" s="5">
        <v>5</v>
      </c>
      <c r="G303" s="5">
        <v>398</v>
      </c>
      <c r="H303" s="5">
        <v>7</v>
      </c>
      <c r="I303" s="6">
        <v>46161</v>
      </c>
      <c r="J303" s="6">
        <v>46171</v>
      </c>
      <c r="K303" s="10" t="s">
        <v>29</v>
      </c>
      <c r="L303" s="16" t="str">
        <f t="shared" si="4"/>
        <v>Normal</v>
      </c>
    </row>
    <row r="304" spans="1:12" ht="15" thickBot="1" x14ac:dyDescent="0.4">
      <c r="A304" s="5">
        <v>1011</v>
      </c>
      <c r="B304" s="5" t="s">
        <v>11</v>
      </c>
      <c r="C304" s="5" t="s">
        <v>17</v>
      </c>
      <c r="D304" s="5" t="s">
        <v>13</v>
      </c>
      <c r="E304" s="5" t="s">
        <v>37</v>
      </c>
      <c r="F304" s="5">
        <v>14</v>
      </c>
      <c r="G304" s="5">
        <v>88</v>
      </c>
      <c r="H304" s="5">
        <v>12</v>
      </c>
      <c r="I304" s="6">
        <v>46161</v>
      </c>
      <c r="J304" s="6">
        <v>46163</v>
      </c>
      <c r="K304" s="10" t="s">
        <v>15</v>
      </c>
      <c r="L304" s="16" t="str">
        <f t="shared" si="4"/>
        <v>Normal</v>
      </c>
    </row>
    <row r="305" spans="1:12" ht="15" thickBot="1" x14ac:dyDescent="0.4">
      <c r="A305" s="5">
        <v>1386</v>
      </c>
      <c r="B305" s="5" t="s">
        <v>27</v>
      </c>
      <c r="C305" s="5" t="s">
        <v>31</v>
      </c>
      <c r="D305" s="5" t="s">
        <v>18</v>
      </c>
      <c r="E305" s="5" t="s">
        <v>28</v>
      </c>
      <c r="F305" s="5">
        <v>9</v>
      </c>
      <c r="G305" s="5">
        <v>7509</v>
      </c>
      <c r="H305" s="5">
        <v>5</v>
      </c>
      <c r="I305" s="6">
        <v>46162</v>
      </c>
      <c r="J305" s="6">
        <v>46171</v>
      </c>
      <c r="K305" s="10" t="s">
        <v>51</v>
      </c>
      <c r="L305" s="16" t="str">
        <f t="shared" si="4"/>
        <v>Normal</v>
      </c>
    </row>
    <row r="306" spans="1:12" ht="15" thickBot="1" x14ac:dyDescent="0.4">
      <c r="A306" s="5">
        <v>1007</v>
      </c>
      <c r="B306" s="5" t="s">
        <v>21</v>
      </c>
      <c r="C306" s="5" t="s">
        <v>22</v>
      </c>
      <c r="D306" s="5" t="s">
        <v>13</v>
      </c>
      <c r="E306" s="5" t="s">
        <v>14</v>
      </c>
      <c r="F306" s="5">
        <v>19</v>
      </c>
      <c r="G306" s="5">
        <v>149</v>
      </c>
      <c r="H306" s="5">
        <v>7</v>
      </c>
      <c r="I306" s="6">
        <v>46162</v>
      </c>
      <c r="J306" s="6">
        <v>46168</v>
      </c>
      <c r="K306" s="10" t="s">
        <v>24</v>
      </c>
      <c r="L306" s="16" t="str">
        <f t="shared" si="4"/>
        <v>Priority</v>
      </c>
    </row>
    <row r="307" spans="1:12" ht="15" thickBot="1" x14ac:dyDescent="0.4">
      <c r="A307" s="5">
        <v>1032</v>
      </c>
      <c r="B307" s="5" t="s">
        <v>54</v>
      </c>
      <c r="C307" s="5" t="s">
        <v>43</v>
      </c>
      <c r="D307" s="5" t="s">
        <v>34</v>
      </c>
      <c r="E307" s="5" t="s">
        <v>39</v>
      </c>
      <c r="F307" s="5">
        <v>20</v>
      </c>
      <c r="G307" s="5">
        <v>11305</v>
      </c>
      <c r="H307" s="5">
        <v>2</v>
      </c>
      <c r="I307" s="6">
        <v>46163</v>
      </c>
      <c r="J307" s="6">
        <v>46165</v>
      </c>
      <c r="K307" s="10" t="s">
        <v>29</v>
      </c>
      <c r="L307" s="16" t="str">
        <f t="shared" si="4"/>
        <v>Priority</v>
      </c>
    </row>
    <row r="308" spans="1:12" ht="15" thickBot="1" x14ac:dyDescent="0.4">
      <c r="A308" s="5">
        <v>1302</v>
      </c>
      <c r="B308" s="5" t="s">
        <v>57</v>
      </c>
      <c r="C308" s="5" t="s">
        <v>12</v>
      </c>
      <c r="D308" s="5" t="s">
        <v>34</v>
      </c>
      <c r="E308" s="5" t="s">
        <v>35</v>
      </c>
      <c r="F308" s="5">
        <v>9</v>
      </c>
      <c r="G308" s="5">
        <v>8500</v>
      </c>
      <c r="H308" s="5">
        <v>15</v>
      </c>
      <c r="I308" s="6">
        <v>46163</v>
      </c>
      <c r="J308" s="6">
        <v>46172</v>
      </c>
      <c r="K308" s="10" t="s">
        <v>24</v>
      </c>
      <c r="L308" s="16" t="str">
        <f t="shared" si="4"/>
        <v>Normal</v>
      </c>
    </row>
    <row r="309" spans="1:12" ht="15" thickBot="1" x14ac:dyDescent="0.4">
      <c r="A309" s="5">
        <v>1249</v>
      </c>
      <c r="B309" s="5" t="s">
        <v>16</v>
      </c>
      <c r="C309" s="5" t="s">
        <v>25</v>
      </c>
      <c r="D309" s="5" t="s">
        <v>34</v>
      </c>
      <c r="E309" s="5" t="s">
        <v>41</v>
      </c>
      <c r="F309" s="5">
        <v>18</v>
      </c>
      <c r="G309" s="5">
        <v>6360</v>
      </c>
      <c r="H309" s="5">
        <v>12</v>
      </c>
      <c r="I309" s="6">
        <v>46163</v>
      </c>
      <c r="J309" s="6">
        <v>46165</v>
      </c>
      <c r="K309" s="10" t="s">
        <v>20</v>
      </c>
      <c r="L309" s="16" t="str">
        <f t="shared" si="4"/>
        <v>Priority</v>
      </c>
    </row>
    <row r="310" spans="1:12" ht="15" thickBot="1" x14ac:dyDescent="0.4">
      <c r="A310" s="5">
        <v>1207</v>
      </c>
      <c r="B310" s="5" t="s">
        <v>55</v>
      </c>
      <c r="C310" s="5" t="s">
        <v>25</v>
      </c>
      <c r="D310" s="5" t="s">
        <v>13</v>
      </c>
      <c r="E310" s="5" t="s">
        <v>53</v>
      </c>
      <c r="F310" s="5">
        <v>7</v>
      </c>
      <c r="G310" s="5">
        <v>244</v>
      </c>
      <c r="H310" s="5">
        <v>2</v>
      </c>
      <c r="I310" s="6">
        <v>46164</v>
      </c>
      <c r="J310" s="6">
        <v>46173</v>
      </c>
      <c r="K310" s="10" t="s">
        <v>24</v>
      </c>
      <c r="L310" s="16" t="str">
        <f t="shared" si="4"/>
        <v>Normal</v>
      </c>
    </row>
    <row r="311" spans="1:12" ht="15" thickBot="1" x14ac:dyDescent="0.4">
      <c r="A311" s="5">
        <v>1236</v>
      </c>
      <c r="B311" s="5" t="s">
        <v>54</v>
      </c>
      <c r="C311" s="5" t="s">
        <v>43</v>
      </c>
      <c r="D311" s="5" t="s">
        <v>13</v>
      </c>
      <c r="E311" s="5" t="s">
        <v>37</v>
      </c>
      <c r="F311" s="5">
        <v>12</v>
      </c>
      <c r="G311" s="5">
        <v>189</v>
      </c>
      <c r="H311" s="5">
        <v>7</v>
      </c>
      <c r="I311" s="6">
        <v>46164</v>
      </c>
      <c r="J311" s="6">
        <v>46169</v>
      </c>
      <c r="K311" s="10" t="s">
        <v>29</v>
      </c>
      <c r="L311" s="16" t="str">
        <f t="shared" si="4"/>
        <v>Normal</v>
      </c>
    </row>
    <row r="312" spans="1:12" ht="15" thickBot="1" x14ac:dyDescent="0.4">
      <c r="A312" s="5">
        <v>1326</v>
      </c>
      <c r="B312" s="5" t="s">
        <v>26</v>
      </c>
      <c r="C312" s="5" t="s">
        <v>17</v>
      </c>
      <c r="D312" s="5" t="s">
        <v>18</v>
      </c>
      <c r="E312" s="5" t="s">
        <v>44</v>
      </c>
      <c r="F312" s="5">
        <v>18</v>
      </c>
      <c r="G312" s="5">
        <v>1830</v>
      </c>
      <c r="H312" s="5">
        <v>10</v>
      </c>
      <c r="I312" s="6">
        <v>46165</v>
      </c>
      <c r="J312" s="6">
        <v>46172</v>
      </c>
      <c r="K312" s="10" t="s">
        <v>15</v>
      </c>
      <c r="L312" s="16" t="str">
        <f t="shared" si="4"/>
        <v>Priority</v>
      </c>
    </row>
    <row r="313" spans="1:12" ht="15" thickBot="1" x14ac:dyDescent="0.4">
      <c r="A313" s="5">
        <v>1252</v>
      </c>
      <c r="B313" s="5" t="s">
        <v>47</v>
      </c>
      <c r="C313" s="5" t="s">
        <v>25</v>
      </c>
      <c r="D313" s="5" t="s">
        <v>13</v>
      </c>
      <c r="E313" s="5" t="s">
        <v>36</v>
      </c>
      <c r="F313" s="5">
        <v>15</v>
      </c>
      <c r="G313" s="5">
        <v>257</v>
      </c>
      <c r="H313" s="5">
        <v>5</v>
      </c>
      <c r="I313" s="6">
        <v>46166</v>
      </c>
      <c r="J313" s="6">
        <v>46173</v>
      </c>
      <c r="K313" s="10" t="s">
        <v>20</v>
      </c>
      <c r="L313" s="16" t="str">
        <f t="shared" si="4"/>
        <v>Priority</v>
      </c>
    </row>
    <row r="314" spans="1:12" ht="15" thickBot="1" x14ac:dyDescent="0.4">
      <c r="A314" s="5">
        <v>1206</v>
      </c>
      <c r="B314" s="5" t="s">
        <v>55</v>
      </c>
      <c r="C314" s="5" t="s">
        <v>33</v>
      </c>
      <c r="D314" s="5" t="s">
        <v>13</v>
      </c>
      <c r="E314" s="5" t="s">
        <v>14</v>
      </c>
      <c r="F314" s="5">
        <v>9</v>
      </c>
      <c r="G314" s="5">
        <v>60</v>
      </c>
      <c r="H314" s="5">
        <v>0</v>
      </c>
      <c r="I314" s="6">
        <v>46166</v>
      </c>
      <c r="J314" s="6">
        <v>46174</v>
      </c>
      <c r="K314" s="10" t="s">
        <v>15</v>
      </c>
      <c r="L314" s="16" t="str">
        <f t="shared" si="4"/>
        <v>Normal</v>
      </c>
    </row>
    <row r="315" spans="1:12" ht="15" thickBot="1" x14ac:dyDescent="0.4">
      <c r="A315" s="5">
        <v>1095</v>
      </c>
      <c r="B315" s="5" t="s">
        <v>47</v>
      </c>
      <c r="C315" s="5" t="s">
        <v>25</v>
      </c>
      <c r="D315" s="5" t="s">
        <v>34</v>
      </c>
      <c r="E315" s="5" t="s">
        <v>41</v>
      </c>
      <c r="F315" s="5">
        <v>18</v>
      </c>
      <c r="G315" s="5">
        <v>587</v>
      </c>
      <c r="H315" s="5">
        <v>2</v>
      </c>
      <c r="I315" s="6">
        <v>46167</v>
      </c>
      <c r="J315" s="6">
        <v>46171</v>
      </c>
      <c r="K315" s="10" t="s">
        <v>20</v>
      </c>
      <c r="L315" s="16" t="str">
        <f t="shared" si="4"/>
        <v>Priority</v>
      </c>
    </row>
    <row r="316" spans="1:12" ht="15" thickBot="1" x14ac:dyDescent="0.4">
      <c r="A316" s="5">
        <v>1131</v>
      </c>
      <c r="B316" s="5" t="s">
        <v>21</v>
      </c>
      <c r="C316" s="5" t="s">
        <v>31</v>
      </c>
      <c r="D316" s="5" t="s">
        <v>18</v>
      </c>
      <c r="E316" s="5" t="s">
        <v>23</v>
      </c>
      <c r="F316" s="5">
        <v>13</v>
      </c>
      <c r="G316" s="5">
        <v>3083</v>
      </c>
      <c r="H316" s="5">
        <v>7</v>
      </c>
      <c r="I316" s="6">
        <v>46168</v>
      </c>
      <c r="J316" s="6">
        <v>46173</v>
      </c>
      <c r="K316" s="10" t="s">
        <v>51</v>
      </c>
      <c r="L316" s="16" t="str">
        <f t="shared" si="4"/>
        <v>Normal</v>
      </c>
    </row>
    <row r="317" spans="1:12" ht="15" thickBot="1" x14ac:dyDescent="0.4">
      <c r="A317" s="5">
        <v>1335</v>
      </c>
      <c r="B317" s="5" t="s">
        <v>47</v>
      </c>
      <c r="C317" s="5" t="s">
        <v>17</v>
      </c>
      <c r="D317" s="5" t="s">
        <v>18</v>
      </c>
      <c r="E317" s="5" t="s">
        <v>19</v>
      </c>
      <c r="F317" s="5">
        <v>9</v>
      </c>
      <c r="G317" s="5">
        <v>1495</v>
      </c>
      <c r="H317" s="5">
        <v>12</v>
      </c>
      <c r="I317" s="6">
        <v>46168</v>
      </c>
      <c r="J317" s="6">
        <v>46173</v>
      </c>
      <c r="K317" s="10" t="s">
        <v>15</v>
      </c>
      <c r="L317" s="16" t="str">
        <f t="shared" si="4"/>
        <v>Normal</v>
      </c>
    </row>
    <row r="318" spans="1:12" ht="15" thickBot="1" x14ac:dyDescent="0.4">
      <c r="A318" s="5">
        <v>1286</v>
      </c>
      <c r="B318" s="5" t="s">
        <v>46</v>
      </c>
      <c r="C318" s="5" t="s">
        <v>17</v>
      </c>
      <c r="D318" s="5" t="s">
        <v>18</v>
      </c>
      <c r="E318" s="5" t="s">
        <v>56</v>
      </c>
      <c r="F318" s="5">
        <v>9</v>
      </c>
      <c r="G318" s="5">
        <v>1340</v>
      </c>
      <c r="H318" s="5">
        <v>2</v>
      </c>
      <c r="I318" s="6">
        <v>46168</v>
      </c>
      <c r="J318" s="6">
        <v>46173</v>
      </c>
      <c r="K318" s="10" t="s">
        <v>15</v>
      </c>
      <c r="L318" s="16" t="str">
        <f t="shared" si="4"/>
        <v>Normal</v>
      </c>
    </row>
    <row r="319" spans="1:12" ht="15" thickBot="1" x14ac:dyDescent="0.4">
      <c r="A319" s="5">
        <v>1177</v>
      </c>
      <c r="B319" s="5" t="s">
        <v>29</v>
      </c>
      <c r="C319" s="5" t="s">
        <v>22</v>
      </c>
      <c r="D319" s="5" t="s">
        <v>18</v>
      </c>
      <c r="E319" s="5" t="s">
        <v>19</v>
      </c>
      <c r="F319" s="5">
        <v>14</v>
      </c>
      <c r="G319" s="5">
        <v>7501</v>
      </c>
      <c r="H319" s="5">
        <v>7</v>
      </c>
      <c r="I319" s="6">
        <v>46169</v>
      </c>
      <c r="J319" s="6">
        <v>46179</v>
      </c>
      <c r="K319" s="10" t="s">
        <v>20</v>
      </c>
      <c r="L319" s="16" t="str">
        <f t="shared" si="4"/>
        <v>Normal</v>
      </c>
    </row>
    <row r="320" spans="1:12" ht="15" thickBot="1" x14ac:dyDescent="0.4">
      <c r="A320" s="5">
        <v>1318</v>
      </c>
      <c r="B320" s="5" t="s">
        <v>11</v>
      </c>
      <c r="C320" s="5" t="s">
        <v>43</v>
      </c>
      <c r="D320" s="5" t="s">
        <v>13</v>
      </c>
      <c r="E320" s="5" t="s">
        <v>50</v>
      </c>
      <c r="F320" s="5">
        <v>4</v>
      </c>
      <c r="G320" s="5">
        <v>38</v>
      </c>
      <c r="H320" s="5">
        <v>12</v>
      </c>
      <c r="I320" s="6">
        <v>46169</v>
      </c>
      <c r="J320" s="6">
        <v>46175</v>
      </c>
      <c r="K320" s="10" t="s">
        <v>29</v>
      </c>
      <c r="L320" s="16" t="str">
        <f t="shared" si="4"/>
        <v>Normal</v>
      </c>
    </row>
    <row r="321" spans="1:12" ht="15" thickBot="1" x14ac:dyDescent="0.4">
      <c r="A321" s="5">
        <v>1079</v>
      </c>
      <c r="B321" s="5" t="s">
        <v>26</v>
      </c>
      <c r="C321" s="5" t="s">
        <v>38</v>
      </c>
      <c r="D321" s="5" t="s">
        <v>34</v>
      </c>
      <c r="E321" s="5" t="s">
        <v>41</v>
      </c>
      <c r="F321" s="5">
        <v>19</v>
      </c>
      <c r="G321" s="5">
        <v>48956</v>
      </c>
      <c r="H321" s="5">
        <v>12</v>
      </c>
      <c r="I321" s="6">
        <v>46170</v>
      </c>
      <c r="J321" s="6">
        <v>46177</v>
      </c>
      <c r="K321" s="10" t="s">
        <v>51</v>
      </c>
      <c r="L321" s="16" t="str">
        <f t="shared" si="4"/>
        <v>Priority</v>
      </c>
    </row>
    <row r="322" spans="1:12" ht="15" thickBot="1" x14ac:dyDescent="0.4">
      <c r="A322" s="5">
        <v>1127</v>
      </c>
      <c r="B322" s="5" t="s">
        <v>26</v>
      </c>
      <c r="C322" s="5" t="s">
        <v>33</v>
      </c>
      <c r="D322" s="5" t="s">
        <v>18</v>
      </c>
      <c r="E322" s="5" t="s">
        <v>28</v>
      </c>
      <c r="F322" s="5">
        <v>15</v>
      </c>
      <c r="G322" s="5">
        <v>11694</v>
      </c>
      <c r="H322" s="5">
        <v>12</v>
      </c>
      <c r="I322" s="6">
        <v>46170</v>
      </c>
      <c r="J322" s="6">
        <v>46179</v>
      </c>
      <c r="K322" s="10" t="s">
        <v>29</v>
      </c>
      <c r="L322" s="16" t="str">
        <f t="shared" si="4"/>
        <v>Priority</v>
      </c>
    </row>
    <row r="323" spans="1:12" ht="15" thickBot="1" x14ac:dyDescent="0.4">
      <c r="A323" s="5">
        <v>1398</v>
      </c>
      <c r="B323" s="5" t="s">
        <v>58</v>
      </c>
      <c r="C323" s="5" t="s">
        <v>43</v>
      </c>
      <c r="D323" s="5" t="s">
        <v>34</v>
      </c>
      <c r="E323" s="5" t="s">
        <v>39</v>
      </c>
      <c r="F323" s="5">
        <v>12</v>
      </c>
      <c r="G323" s="5">
        <v>10668</v>
      </c>
      <c r="H323" s="5">
        <v>0</v>
      </c>
      <c r="I323" s="6">
        <v>46170</v>
      </c>
      <c r="J323" s="6">
        <v>46176</v>
      </c>
      <c r="K323" s="10" t="s">
        <v>15</v>
      </c>
      <c r="L323" s="16" t="str">
        <f t="shared" ref="L323:L386" si="5">IF(OR(C323="Mumbai",F323&gt;=15),"Priority","Normal")</f>
        <v>Normal</v>
      </c>
    </row>
    <row r="324" spans="1:12" ht="15" thickBot="1" x14ac:dyDescent="0.4">
      <c r="A324" s="5">
        <v>1220</v>
      </c>
      <c r="B324" s="5" t="s">
        <v>11</v>
      </c>
      <c r="C324" s="5" t="s">
        <v>25</v>
      </c>
      <c r="D324" s="5" t="s">
        <v>18</v>
      </c>
      <c r="E324" s="5" t="s">
        <v>56</v>
      </c>
      <c r="F324" s="5">
        <v>2</v>
      </c>
      <c r="G324" s="5">
        <v>8861</v>
      </c>
      <c r="H324" s="5">
        <v>2</v>
      </c>
      <c r="I324" s="6">
        <v>46170</v>
      </c>
      <c r="J324" s="6">
        <v>46174</v>
      </c>
      <c r="K324" s="10" t="s">
        <v>24</v>
      </c>
      <c r="L324" s="16" t="str">
        <f t="shared" si="5"/>
        <v>Normal</v>
      </c>
    </row>
    <row r="325" spans="1:12" ht="15" thickBot="1" x14ac:dyDescent="0.4">
      <c r="A325" s="5">
        <v>1040</v>
      </c>
      <c r="B325" s="5" t="s">
        <v>49</v>
      </c>
      <c r="C325" s="5" t="s">
        <v>38</v>
      </c>
      <c r="D325" s="5" t="s">
        <v>18</v>
      </c>
      <c r="E325" s="5" t="s">
        <v>28</v>
      </c>
      <c r="F325" s="5">
        <v>10</v>
      </c>
      <c r="G325" s="5">
        <v>7531</v>
      </c>
      <c r="H325" s="5">
        <v>2</v>
      </c>
      <c r="I325" s="6">
        <v>46171</v>
      </c>
      <c r="J325" s="6">
        <v>46178</v>
      </c>
      <c r="K325" s="10" t="s">
        <v>24</v>
      </c>
      <c r="L325" s="16" t="str">
        <f t="shared" si="5"/>
        <v>Priority</v>
      </c>
    </row>
    <row r="326" spans="1:12" ht="15" thickBot="1" x14ac:dyDescent="0.4">
      <c r="A326" s="5">
        <v>1087</v>
      </c>
      <c r="B326" s="5" t="s">
        <v>11</v>
      </c>
      <c r="C326" s="5" t="s">
        <v>31</v>
      </c>
      <c r="D326" s="5" t="s">
        <v>13</v>
      </c>
      <c r="E326" s="5" t="s">
        <v>37</v>
      </c>
      <c r="F326" s="5">
        <v>13</v>
      </c>
      <c r="G326" s="5">
        <v>387</v>
      </c>
      <c r="H326" s="5">
        <v>7</v>
      </c>
      <c r="I326" s="6">
        <v>46171</v>
      </c>
      <c r="J326" s="6">
        <v>46176</v>
      </c>
      <c r="K326" s="10" t="s">
        <v>24</v>
      </c>
      <c r="L326" s="16" t="str">
        <f t="shared" si="5"/>
        <v>Normal</v>
      </c>
    </row>
    <row r="327" spans="1:12" ht="15" thickBot="1" x14ac:dyDescent="0.4">
      <c r="A327" s="5">
        <v>1005</v>
      </c>
      <c r="B327" s="5" t="s">
        <v>26</v>
      </c>
      <c r="C327" s="5" t="s">
        <v>17</v>
      </c>
      <c r="D327" s="5" t="s">
        <v>13</v>
      </c>
      <c r="E327" s="5" t="s">
        <v>14</v>
      </c>
      <c r="F327" s="5">
        <v>18</v>
      </c>
      <c r="G327" s="5">
        <v>70</v>
      </c>
      <c r="H327" s="5">
        <v>0</v>
      </c>
      <c r="I327" s="6">
        <v>46171</v>
      </c>
      <c r="J327" s="6">
        <v>46179</v>
      </c>
      <c r="K327" s="10" t="s">
        <v>24</v>
      </c>
      <c r="L327" s="16" t="str">
        <f t="shared" si="5"/>
        <v>Priority</v>
      </c>
    </row>
    <row r="328" spans="1:12" ht="15" thickBot="1" x14ac:dyDescent="0.4">
      <c r="A328" s="5">
        <v>1217</v>
      </c>
      <c r="B328" s="5" t="s">
        <v>30</v>
      </c>
      <c r="C328" s="5" t="s">
        <v>22</v>
      </c>
      <c r="D328" s="5" t="s">
        <v>13</v>
      </c>
      <c r="E328" s="5" t="s">
        <v>50</v>
      </c>
      <c r="F328" s="5">
        <v>18</v>
      </c>
      <c r="G328" s="5">
        <v>60</v>
      </c>
      <c r="H328" s="5">
        <v>0</v>
      </c>
      <c r="I328" s="6">
        <v>46171</v>
      </c>
      <c r="J328" s="6">
        <v>46172</v>
      </c>
      <c r="K328" s="10" t="s">
        <v>29</v>
      </c>
      <c r="L328" s="16" t="str">
        <f t="shared" si="5"/>
        <v>Priority</v>
      </c>
    </row>
    <row r="329" spans="1:12" ht="15" thickBot="1" x14ac:dyDescent="0.4">
      <c r="A329" s="5">
        <v>1259</v>
      </c>
      <c r="B329" s="5" t="s">
        <v>42</v>
      </c>
      <c r="C329" s="5" t="s">
        <v>22</v>
      </c>
      <c r="D329" s="5" t="s">
        <v>34</v>
      </c>
      <c r="E329" s="5" t="s">
        <v>45</v>
      </c>
      <c r="F329" s="5">
        <v>10</v>
      </c>
      <c r="G329" s="5">
        <v>38771</v>
      </c>
      <c r="H329" s="5">
        <v>15</v>
      </c>
      <c r="I329" s="6">
        <v>46172</v>
      </c>
      <c r="J329" s="6">
        <v>46182</v>
      </c>
      <c r="K329" s="10" t="s">
        <v>15</v>
      </c>
      <c r="L329" s="16" t="str">
        <f t="shared" si="5"/>
        <v>Normal</v>
      </c>
    </row>
    <row r="330" spans="1:12" ht="15" thickBot="1" x14ac:dyDescent="0.4">
      <c r="A330" s="5">
        <v>1273</v>
      </c>
      <c r="B330" s="5" t="s">
        <v>46</v>
      </c>
      <c r="C330" s="5" t="s">
        <v>25</v>
      </c>
      <c r="D330" s="5" t="s">
        <v>34</v>
      </c>
      <c r="E330" s="5" t="s">
        <v>39</v>
      </c>
      <c r="F330" s="5">
        <v>12</v>
      </c>
      <c r="G330" s="5">
        <v>20618</v>
      </c>
      <c r="H330" s="5">
        <v>12</v>
      </c>
      <c r="I330" s="6">
        <v>46172</v>
      </c>
      <c r="J330" s="6">
        <v>46174</v>
      </c>
      <c r="K330" s="10" t="s">
        <v>20</v>
      </c>
      <c r="L330" s="16" t="str">
        <f t="shared" si="5"/>
        <v>Normal</v>
      </c>
    </row>
    <row r="331" spans="1:12" ht="15" thickBot="1" x14ac:dyDescent="0.4">
      <c r="A331" s="5">
        <v>1235</v>
      </c>
      <c r="B331" s="5" t="s">
        <v>57</v>
      </c>
      <c r="C331" s="5" t="s">
        <v>25</v>
      </c>
      <c r="D331" s="5" t="s">
        <v>13</v>
      </c>
      <c r="E331" s="5" t="s">
        <v>50</v>
      </c>
      <c r="F331" s="5">
        <v>15</v>
      </c>
      <c r="G331" s="5">
        <v>267</v>
      </c>
      <c r="H331" s="5">
        <v>15</v>
      </c>
      <c r="I331" s="6">
        <v>46172</v>
      </c>
      <c r="J331" s="6">
        <v>46177</v>
      </c>
      <c r="K331" s="10" t="s">
        <v>29</v>
      </c>
      <c r="L331" s="16" t="str">
        <f t="shared" si="5"/>
        <v>Priority</v>
      </c>
    </row>
    <row r="332" spans="1:12" ht="15" thickBot="1" x14ac:dyDescent="0.4">
      <c r="A332" s="5">
        <v>1044</v>
      </c>
      <c r="B332" s="5" t="s">
        <v>48</v>
      </c>
      <c r="C332" s="5" t="s">
        <v>38</v>
      </c>
      <c r="D332" s="5" t="s">
        <v>18</v>
      </c>
      <c r="E332" s="5" t="s">
        <v>19</v>
      </c>
      <c r="F332" s="5">
        <v>4</v>
      </c>
      <c r="G332" s="5">
        <v>14731</v>
      </c>
      <c r="H332" s="5">
        <v>2</v>
      </c>
      <c r="I332" s="6">
        <v>46173</v>
      </c>
      <c r="J332" s="6">
        <v>46176</v>
      </c>
      <c r="K332" s="10" t="s">
        <v>20</v>
      </c>
      <c r="L332" s="16" t="str">
        <f t="shared" si="5"/>
        <v>Priority</v>
      </c>
    </row>
    <row r="333" spans="1:12" ht="15" thickBot="1" x14ac:dyDescent="0.4">
      <c r="A333" s="5">
        <v>1247</v>
      </c>
      <c r="B333" s="5" t="s">
        <v>26</v>
      </c>
      <c r="C333" s="5" t="s">
        <v>12</v>
      </c>
      <c r="D333" s="5" t="s">
        <v>13</v>
      </c>
      <c r="E333" s="5" t="s">
        <v>50</v>
      </c>
      <c r="F333" s="5">
        <v>10</v>
      </c>
      <c r="G333" s="5">
        <v>336</v>
      </c>
      <c r="H333" s="5">
        <v>7</v>
      </c>
      <c r="I333" s="6">
        <v>46173</v>
      </c>
      <c r="J333" s="6">
        <v>46175</v>
      </c>
      <c r="K333" s="10" t="s">
        <v>20</v>
      </c>
      <c r="L333" s="16" t="str">
        <f t="shared" si="5"/>
        <v>Normal</v>
      </c>
    </row>
    <row r="334" spans="1:12" ht="15" thickBot="1" x14ac:dyDescent="0.4">
      <c r="A334" s="5">
        <v>1311</v>
      </c>
      <c r="B334" s="5" t="s">
        <v>55</v>
      </c>
      <c r="C334" s="5" t="s">
        <v>12</v>
      </c>
      <c r="D334" s="5" t="s">
        <v>13</v>
      </c>
      <c r="E334" s="5" t="s">
        <v>14</v>
      </c>
      <c r="F334" s="5">
        <v>2</v>
      </c>
      <c r="G334" s="5">
        <v>209</v>
      </c>
      <c r="H334" s="5">
        <v>0</v>
      </c>
      <c r="I334" s="6">
        <v>46173</v>
      </c>
      <c r="J334" s="6">
        <v>46176</v>
      </c>
      <c r="K334" s="10" t="s">
        <v>20</v>
      </c>
      <c r="L334" s="16" t="str">
        <f t="shared" si="5"/>
        <v>Normal</v>
      </c>
    </row>
    <row r="335" spans="1:12" ht="15" thickBot="1" x14ac:dyDescent="0.4">
      <c r="A335" s="5">
        <v>1343</v>
      </c>
      <c r="B335" s="5" t="s">
        <v>59</v>
      </c>
      <c r="C335" s="5" t="s">
        <v>31</v>
      </c>
      <c r="D335" s="5" t="s">
        <v>34</v>
      </c>
      <c r="E335" s="5" t="s">
        <v>39</v>
      </c>
      <c r="F335" s="5">
        <v>14</v>
      </c>
      <c r="G335" s="5">
        <v>32719</v>
      </c>
      <c r="H335" s="5">
        <v>15</v>
      </c>
      <c r="I335" s="6">
        <v>46174</v>
      </c>
      <c r="J335" s="6">
        <v>46179</v>
      </c>
      <c r="K335" s="10" t="s">
        <v>15</v>
      </c>
      <c r="L335" s="16" t="str">
        <f t="shared" si="5"/>
        <v>Normal</v>
      </c>
    </row>
    <row r="336" spans="1:12" ht="15" thickBot="1" x14ac:dyDescent="0.4">
      <c r="A336" s="5">
        <v>1002</v>
      </c>
      <c r="B336" s="5" t="s">
        <v>16</v>
      </c>
      <c r="C336" s="5" t="s">
        <v>17</v>
      </c>
      <c r="D336" s="5" t="s">
        <v>18</v>
      </c>
      <c r="E336" s="5" t="s">
        <v>19</v>
      </c>
      <c r="F336" s="5">
        <v>7</v>
      </c>
      <c r="G336" s="5">
        <v>8448</v>
      </c>
      <c r="H336" s="5">
        <v>12</v>
      </c>
      <c r="I336" s="6">
        <v>46174</v>
      </c>
      <c r="J336" s="6">
        <v>46179</v>
      </c>
      <c r="K336" s="10" t="s">
        <v>20</v>
      </c>
      <c r="L336" s="16" t="str">
        <f t="shared" si="5"/>
        <v>Normal</v>
      </c>
    </row>
    <row r="337" spans="1:12" ht="15" thickBot="1" x14ac:dyDescent="0.4">
      <c r="A337" s="5">
        <v>1262</v>
      </c>
      <c r="B337" s="5" t="s">
        <v>16</v>
      </c>
      <c r="C337" s="5" t="s">
        <v>22</v>
      </c>
      <c r="D337" s="5" t="s">
        <v>18</v>
      </c>
      <c r="E337" s="5" t="s">
        <v>28</v>
      </c>
      <c r="F337" s="5">
        <v>9</v>
      </c>
      <c r="G337" s="5">
        <v>2231</v>
      </c>
      <c r="H337" s="5">
        <v>15</v>
      </c>
      <c r="I337" s="6">
        <v>46174</v>
      </c>
      <c r="J337" s="6">
        <v>46183</v>
      </c>
      <c r="K337" s="10" t="s">
        <v>15</v>
      </c>
      <c r="L337" s="16" t="str">
        <f t="shared" si="5"/>
        <v>Normal</v>
      </c>
    </row>
    <row r="338" spans="1:12" ht="15" thickBot="1" x14ac:dyDescent="0.4">
      <c r="A338" s="5">
        <v>1015</v>
      </c>
      <c r="B338" s="5" t="s">
        <v>42</v>
      </c>
      <c r="C338" s="5" t="s">
        <v>43</v>
      </c>
      <c r="D338" s="5" t="s">
        <v>18</v>
      </c>
      <c r="E338" s="5" t="s">
        <v>44</v>
      </c>
      <c r="F338" s="5">
        <v>11</v>
      </c>
      <c r="G338" s="5">
        <v>14511</v>
      </c>
      <c r="H338" s="5">
        <v>2</v>
      </c>
      <c r="I338" s="6">
        <v>46175</v>
      </c>
      <c r="J338" s="6">
        <v>46185</v>
      </c>
      <c r="K338" s="10" t="s">
        <v>20</v>
      </c>
      <c r="L338" s="16" t="str">
        <f t="shared" si="5"/>
        <v>Normal</v>
      </c>
    </row>
    <row r="339" spans="1:12" ht="15" thickBot="1" x14ac:dyDescent="0.4">
      <c r="A339" s="5">
        <v>1093</v>
      </c>
      <c r="B339" s="5" t="s">
        <v>47</v>
      </c>
      <c r="C339" s="5" t="s">
        <v>25</v>
      </c>
      <c r="D339" s="5" t="s">
        <v>18</v>
      </c>
      <c r="E339" s="5" t="s">
        <v>23</v>
      </c>
      <c r="F339" s="5">
        <v>6</v>
      </c>
      <c r="G339" s="5">
        <v>8224</v>
      </c>
      <c r="H339" s="5">
        <v>15</v>
      </c>
      <c r="I339" s="6">
        <v>46175</v>
      </c>
      <c r="J339" s="6">
        <v>46185</v>
      </c>
      <c r="K339" s="10" t="s">
        <v>51</v>
      </c>
      <c r="L339" s="16" t="str">
        <f t="shared" si="5"/>
        <v>Normal</v>
      </c>
    </row>
    <row r="340" spans="1:12" ht="15" thickBot="1" x14ac:dyDescent="0.4">
      <c r="A340" s="5">
        <v>1025</v>
      </c>
      <c r="B340" s="5" t="s">
        <v>21</v>
      </c>
      <c r="C340" s="5" t="s">
        <v>12</v>
      </c>
      <c r="D340" s="5" t="s">
        <v>18</v>
      </c>
      <c r="E340" s="5" t="s">
        <v>19</v>
      </c>
      <c r="F340" s="5">
        <v>18</v>
      </c>
      <c r="G340" s="5">
        <v>7924</v>
      </c>
      <c r="H340" s="5">
        <v>0</v>
      </c>
      <c r="I340" s="6">
        <v>46175</v>
      </c>
      <c r="J340" s="6">
        <v>46181</v>
      </c>
      <c r="K340" s="10" t="s">
        <v>15</v>
      </c>
      <c r="L340" s="16" t="str">
        <f t="shared" si="5"/>
        <v>Priority</v>
      </c>
    </row>
    <row r="341" spans="1:12" ht="15" thickBot="1" x14ac:dyDescent="0.4">
      <c r="A341" s="5">
        <v>1211</v>
      </c>
      <c r="B341" s="5" t="s">
        <v>48</v>
      </c>
      <c r="C341" s="5" t="s">
        <v>17</v>
      </c>
      <c r="D341" s="5" t="s">
        <v>34</v>
      </c>
      <c r="E341" s="5" t="s">
        <v>35</v>
      </c>
      <c r="F341" s="5">
        <v>3</v>
      </c>
      <c r="G341" s="5">
        <v>5962</v>
      </c>
      <c r="H341" s="5">
        <v>7</v>
      </c>
      <c r="I341" s="6">
        <v>46175</v>
      </c>
      <c r="J341" s="6">
        <v>46183</v>
      </c>
      <c r="K341" s="10" t="s">
        <v>15</v>
      </c>
      <c r="L341" s="16" t="str">
        <f t="shared" si="5"/>
        <v>Normal</v>
      </c>
    </row>
    <row r="342" spans="1:12" ht="15" thickBot="1" x14ac:dyDescent="0.4">
      <c r="A342" s="5">
        <v>1245</v>
      </c>
      <c r="B342" s="5" t="s">
        <v>55</v>
      </c>
      <c r="C342" s="5" t="s">
        <v>43</v>
      </c>
      <c r="D342" s="5" t="s">
        <v>34</v>
      </c>
      <c r="E342" s="5" t="s">
        <v>41</v>
      </c>
      <c r="F342" s="5">
        <v>19</v>
      </c>
      <c r="G342" s="5">
        <v>69029</v>
      </c>
      <c r="H342" s="5">
        <v>7</v>
      </c>
      <c r="I342" s="6">
        <v>46176</v>
      </c>
      <c r="J342" s="6">
        <v>46179</v>
      </c>
      <c r="K342" s="10" t="s">
        <v>29</v>
      </c>
      <c r="L342" s="16" t="str">
        <f t="shared" si="5"/>
        <v>Priority</v>
      </c>
    </row>
    <row r="343" spans="1:12" ht="15" thickBot="1" x14ac:dyDescent="0.4">
      <c r="A343" s="5">
        <v>1282</v>
      </c>
      <c r="B343" s="5" t="s">
        <v>57</v>
      </c>
      <c r="C343" s="5" t="s">
        <v>43</v>
      </c>
      <c r="D343" s="5" t="s">
        <v>18</v>
      </c>
      <c r="E343" s="5" t="s">
        <v>44</v>
      </c>
      <c r="F343" s="5">
        <v>12</v>
      </c>
      <c r="G343" s="5">
        <v>3178</v>
      </c>
      <c r="H343" s="5">
        <v>10</v>
      </c>
      <c r="I343" s="6">
        <v>46176</v>
      </c>
      <c r="J343" s="6">
        <v>46177</v>
      </c>
      <c r="K343" s="10" t="s">
        <v>29</v>
      </c>
      <c r="L343" s="16" t="str">
        <f t="shared" si="5"/>
        <v>Normal</v>
      </c>
    </row>
    <row r="344" spans="1:12" ht="15" thickBot="1" x14ac:dyDescent="0.4">
      <c r="A344" s="5">
        <v>1338</v>
      </c>
      <c r="B344" s="5" t="s">
        <v>59</v>
      </c>
      <c r="C344" s="5" t="s">
        <v>25</v>
      </c>
      <c r="D344" s="5" t="s">
        <v>34</v>
      </c>
      <c r="E344" s="5" t="s">
        <v>60</v>
      </c>
      <c r="F344" s="5">
        <v>10</v>
      </c>
      <c r="G344" s="5">
        <v>16719</v>
      </c>
      <c r="H344" s="5">
        <v>5</v>
      </c>
      <c r="I344" s="6">
        <v>46177</v>
      </c>
      <c r="J344" s="6">
        <v>46179</v>
      </c>
      <c r="K344" s="10" t="s">
        <v>15</v>
      </c>
      <c r="L344" s="16" t="str">
        <f t="shared" si="5"/>
        <v>Normal</v>
      </c>
    </row>
    <row r="345" spans="1:12" ht="15" thickBot="1" x14ac:dyDescent="0.4">
      <c r="A345" s="5">
        <v>1187</v>
      </c>
      <c r="B345" s="5" t="s">
        <v>54</v>
      </c>
      <c r="C345" s="5" t="s">
        <v>22</v>
      </c>
      <c r="D345" s="5" t="s">
        <v>34</v>
      </c>
      <c r="E345" s="5" t="s">
        <v>45</v>
      </c>
      <c r="F345" s="5">
        <v>18</v>
      </c>
      <c r="G345" s="5">
        <v>68527</v>
      </c>
      <c r="H345" s="5">
        <v>12</v>
      </c>
      <c r="I345" s="6">
        <v>46178</v>
      </c>
      <c r="J345" s="6">
        <v>46184</v>
      </c>
      <c r="K345" s="10" t="s">
        <v>51</v>
      </c>
      <c r="L345" s="16" t="str">
        <f t="shared" si="5"/>
        <v>Priority</v>
      </c>
    </row>
    <row r="346" spans="1:12" ht="15" thickBot="1" x14ac:dyDescent="0.4">
      <c r="A346" s="5">
        <v>1297</v>
      </c>
      <c r="B346" s="5" t="s">
        <v>54</v>
      </c>
      <c r="C346" s="5" t="s">
        <v>25</v>
      </c>
      <c r="D346" s="5" t="s">
        <v>34</v>
      </c>
      <c r="E346" s="5" t="s">
        <v>35</v>
      </c>
      <c r="F346" s="5">
        <v>14</v>
      </c>
      <c r="G346" s="5">
        <v>24524</v>
      </c>
      <c r="H346" s="5">
        <v>10</v>
      </c>
      <c r="I346" s="6">
        <v>46178</v>
      </c>
      <c r="J346" s="6">
        <v>46187</v>
      </c>
      <c r="K346" s="10" t="s">
        <v>29</v>
      </c>
      <c r="L346" s="16" t="str">
        <f t="shared" si="5"/>
        <v>Normal</v>
      </c>
    </row>
    <row r="347" spans="1:12" ht="15" thickBot="1" x14ac:dyDescent="0.4">
      <c r="A347" s="5">
        <v>1231</v>
      </c>
      <c r="B347" s="5" t="s">
        <v>48</v>
      </c>
      <c r="C347" s="5" t="s">
        <v>38</v>
      </c>
      <c r="D347" s="5" t="s">
        <v>18</v>
      </c>
      <c r="E347" s="5" t="s">
        <v>19</v>
      </c>
      <c r="F347" s="5">
        <v>13</v>
      </c>
      <c r="G347" s="5">
        <v>10297</v>
      </c>
      <c r="H347" s="5">
        <v>12</v>
      </c>
      <c r="I347" s="6">
        <v>46178</v>
      </c>
      <c r="J347" s="6">
        <v>46186</v>
      </c>
      <c r="K347" s="10" t="s">
        <v>20</v>
      </c>
      <c r="L347" s="16" t="str">
        <f t="shared" si="5"/>
        <v>Priority</v>
      </c>
    </row>
    <row r="348" spans="1:12" ht="15" thickBot="1" x14ac:dyDescent="0.4">
      <c r="A348" s="5">
        <v>1118</v>
      </c>
      <c r="B348" s="5" t="s">
        <v>21</v>
      </c>
      <c r="C348" s="5" t="s">
        <v>22</v>
      </c>
      <c r="D348" s="5" t="s">
        <v>18</v>
      </c>
      <c r="E348" s="5" t="s">
        <v>23</v>
      </c>
      <c r="F348" s="5">
        <v>18</v>
      </c>
      <c r="G348" s="5">
        <v>9118</v>
      </c>
      <c r="H348" s="5">
        <v>5</v>
      </c>
      <c r="I348" s="6">
        <v>46178</v>
      </c>
      <c r="J348" s="6">
        <v>46187</v>
      </c>
      <c r="K348" s="10" t="s">
        <v>29</v>
      </c>
      <c r="L348" s="16" t="str">
        <f t="shared" si="5"/>
        <v>Priority</v>
      </c>
    </row>
    <row r="349" spans="1:12" ht="15" thickBot="1" x14ac:dyDescent="0.4">
      <c r="A349" s="5">
        <v>1154</v>
      </c>
      <c r="B349" s="5" t="s">
        <v>32</v>
      </c>
      <c r="C349" s="5" t="s">
        <v>17</v>
      </c>
      <c r="D349" s="5" t="s">
        <v>18</v>
      </c>
      <c r="E349" s="5" t="s">
        <v>56</v>
      </c>
      <c r="F349" s="5">
        <v>15</v>
      </c>
      <c r="G349" s="5">
        <v>6101</v>
      </c>
      <c r="H349" s="5">
        <v>0</v>
      </c>
      <c r="I349" s="6">
        <v>46178</v>
      </c>
      <c r="J349" s="6">
        <v>46183</v>
      </c>
      <c r="K349" s="10" t="s">
        <v>51</v>
      </c>
      <c r="L349" s="16" t="str">
        <f t="shared" si="5"/>
        <v>Priority</v>
      </c>
    </row>
    <row r="350" spans="1:12" ht="15" thickBot="1" x14ac:dyDescent="0.4">
      <c r="A350" s="5">
        <v>1199</v>
      </c>
      <c r="B350" s="5" t="s">
        <v>11</v>
      </c>
      <c r="C350" s="5" t="s">
        <v>25</v>
      </c>
      <c r="D350" s="5" t="s">
        <v>34</v>
      </c>
      <c r="E350" s="5" t="s">
        <v>45</v>
      </c>
      <c r="F350" s="5">
        <v>2</v>
      </c>
      <c r="G350" s="5">
        <v>4375</v>
      </c>
      <c r="H350" s="5">
        <v>7</v>
      </c>
      <c r="I350" s="6">
        <v>46178</v>
      </c>
      <c r="J350" s="6">
        <v>46180</v>
      </c>
      <c r="K350" s="10" t="s">
        <v>24</v>
      </c>
      <c r="L350" s="16" t="str">
        <f t="shared" si="5"/>
        <v>Normal</v>
      </c>
    </row>
    <row r="351" spans="1:12" ht="15" thickBot="1" x14ac:dyDescent="0.4">
      <c r="A351" s="5">
        <v>1376</v>
      </c>
      <c r="B351" s="5" t="s">
        <v>52</v>
      </c>
      <c r="C351" s="5" t="s">
        <v>31</v>
      </c>
      <c r="D351" s="5" t="s">
        <v>13</v>
      </c>
      <c r="E351" s="5" t="s">
        <v>50</v>
      </c>
      <c r="F351" s="5">
        <v>20</v>
      </c>
      <c r="G351" s="5">
        <v>429</v>
      </c>
      <c r="H351" s="5">
        <v>5</v>
      </c>
      <c r="I351" s="6">
        <v>46178</v>
      </c>
      <c r="J351" s="6">
        <v>46184</v>
      </c>
      <c r="K351" s="10" t="s">
        <v>20</v>
      </c>
      <c r="L351" s="16" t="str">
        <f t="shared" si="5"/>
        <v>Priority</v>
      </c>
    </row>
    <row r="352" spans="1:12" ht="15" thickBot="1" x14ac:dyDescent="0.4">
      <c r="A352" s="5">
        <v>1274</v>
      </c>
      <c r="B352" s="5" t="s">
        <v>26</v>
      </c>
      <c r="C352" s="5" t="s">
        <v>25</v>
      </c>
      <c r="D352" s="5" t="s">
        <v>34</v>
      </c>
      <c r="E352" s="5" t="s">
        <v>41</v>
      </c>
      <c r="F352" s="5">
        <v>13</v>
      </c>
      <c r="G352" s="5">
        <v>36652</v>
      </c>
      <c r="H352" s="5">
        <v>12</v>
      </c>
      <c r="I352" s="6">
        <v>46179</v>
      </c>
      <c r="J352" s="6">
        <v>46186</v>
      </c>
      <c r="K352" s="10" t="s">
        <v>20</v>
      </c>
      <c r="L352" s="16" t="str">
        <f t="shared" si="5"/>
        <v>Normal</v>
      </c>
    </row>
    <row r="353" spans="1:12" ht="15" thickBot="1" x14ac:dyDescent="0.4">
      <c r="A353" s="5">
        <v>1288</v>
      </c>
      <c r="B353" s="5" t="s">
        <v>54</v>
      </c>
      <c r="C353" s="5" t="s">
        <v>22</v>
      </c>
      <c r="D353" s="5" t="s">
        <v>34</v>
      </c>
      <c r="E353" s="5" t="s">
        <v>60</v>
      </c>
      <c r="F353" s="5">
        <v>14</v>
      </c>
      <c r="G353" s="5">
        <v>35601</v>
      </c>
      <c r="H353" s="5">
        <v>10</v>
      </c>
      <c r="I353" s="6">
        <v>46179</v>
      </c>
      <c r="J353" s="6">
        <v>46187</v>
      </c>
      <c r="K353" s="10" t="s">
        <v>29</v>
      </c>
      <c r="L353" s="16" t="str">
        <f t="shared" si="5"/>
        <v>Normal</v>
      </c>
    </row>
    <row r="354" spans="1:12" ht="15" thickBot="1" x14ac:dyDescent="0.4">
      <c r="A354" s="5">
        <v>1278</v>
      </c>
      <c r="B354" s="5" t="s">
        <v>47</v>
      </c>
      <c r="C354" s="5" t="s">
        <v>22</v>
      </c>
      <c r="D354" s="5" t="s">
        <v>34</v>
      </c>
      <c r="E354" s="5" t="s">
        <v>61</v>
      </c>
      <c r="F354" s="5">
        <v>4</v>
      </c>
      <c r="G354" s="5">
        <v>20639</v>
      </c>
      <c r="H354" s="5">
        <v>7</v>
      </c>
      <c r="I354" s="6">
        <v>46180</v>
      </c>
      <c r="J354" s="6">
        <v>46186</v>
      </c>
      <c r="K354" s="10" t="s">
        <v>20</v>
      </c>
      <c r="L354" s="16" t="str">
        <f t="shared" si="5"/>
        <v>Normal</v>
      </c>
    </row>
    <row r="355" spans="1:12" ht="15" thickBot="1" x14ac:dyDescent="0.4">
      <c r="A355" s="5">
        <v>1048</v>
      </c>
      <c r="B355" s="5" t="s">
        <v>59</v>
      </c>
      <c r="C355" s="5" t="s">
        <v>25</v>
      </c>
      <c r="D355" s="5" t="s">
        <v>34</v>
      </c>
      <c r="E355" s="5" t="s">
        <v>60</v>
      </c>
      <c r="F355" s="5">
        <v>14</v>
      </c>
      <c r="G355" s="5">
        <v>11762</v>
      </c>
      <c r="H355" s="5">
        <v>7</v>
      </c>
      <c r="I355" s="6">
        <v>46180</v>
      </c>
      <c r="J355" s="6">
        <v>46186</v>
      </c>
      <c r="K355" s="10" t="s">
        <v>24</v>
      </c>
      <c r="L355" s="16" t="str">
        <f t="shared" si="5"/>
        <v>Normal</v>
      </c>
    </row>
    <row r="356" spans="1:12" ht="15" thickBot="1" x14ac:dyDescent="0.4">
      <c r="A356" s="5">
        <v>1294</v>
      </c>
      <c r="B356" s="5" t="s">
        <v>21</v>
      </c>
      <c r="C356" s="5" t="s">
        <v>12</v>
      </c>
      <c r="D356" s="5" t="s">
        <v>18</v>
      </c>
      <c r="E356" s="5" t="s">
        <v>19</v>
      </c>
      <c r="F356" s="5">
        <v>8</v>
      </c>
      <c r="G356" s="5">
        <v>14448</v>
      </c>
      <c r="H356" s="5">
        <v>10</v>
      </c>
      <c r="I356" s="6">
        <v>46181</v>
      </c>
      <c r="J356" s="6">
        <v>46189</v>
      </c>
      <c r="K356" s="10" t="s">
        <v>15</v>
      </c>
      <c r="L356" s="16" t="str">
        <f t="shared" si="5"/>
        <v>Normal</v>
      </c>
    </row>
    <row r="357" spans="1:12" ht="15" thickBot="1" x14ac:dyDescent="0.4">
      <c r="A357" s="5">
        <v>1310</v>
      </c>
      <c r="B357" s="5" t="s">
        <v>49</v>
      </c>
      <c r="C357" s="5" t="s">
        <v>17</v>
      </c>
      <c r="D357" s="5" t="s">
        <v>18</v>
      </c>
      <c r="E357" s="5" t="s">
        <v>56</v>
      </c>
      <c r="F357" s="5">
        <v>19</v>
      </c>
      <c r="G357" s="5">
        <v>12691</v>
      </c>
      <c r="H357" s="5">
        <v>0</v>
      </c>
      <c r="I357" s="6">
        <v>46181</v>
      </c>
      <c r="J357" s="6">
        <v>46189</v>
      </c>
      <c r="K357" s="10" t="s">
        <v>29</v>
      </c>
      <c r="L357" s="16" t="str">
        <f t="shared" si="5"/>
        <v>Priority</v>
      </c>
    </row>
    <row r="358" spans="1:12" ht="15" thickBot="1" x14ac:dyDescent="0.4">
      <c r="A358" s="5">
        <v>1124</v>
      </c>
      <c r="B358" s="5" t="s">
        <v>27</v>
      </c>
      <c r="C358" s="5" t="s">
        <v>38</v>
      </c>
      <c r="D358" s="5" t="s">
        <v>18</v>
      </c>
      <c r="E358" s="5" t="s">
        <v>56</v>
      </c>
      <c r="F358" s="5">
        <v>4</v>
      </c>
      <c r="G358" s="5">
        <v>14195</v>
      </c>
      <c r="H358" s="5">
        <v>15</v>
      </c>
      <c r="I358" s="6">
        <v>46182</v>
      </c>
      <c r="J358" s="6">
        <v>46189</v>
      </c>
      <c r="K358" s="10" t="s">
        <v>51</v>
      </c>
      <c r="L358" s="16" t="str">
        <f t="shared" si="5"/>
        <v>Priority</v>
      </c>
    </row>
    <row r="359" spans="1:12" ht="15" thickBot="1" x14ac:dyDescent="0.4">
      <c r="A359" s="5">
        <v>1009</v>
      </c>
      <c r="B359" s="5" t="s">
        <v>32</v>
      </c>
      <c r="C359" s="5" t="s">
        <v>33</v>
      </c>
      <c r="D359" s="5" t="s">
        <v>34</v>
      </c>
      <c r="E359" s="5" t="s">
        <v>35</v>
      </c>
      <c r="F359" s="5">
        <v>10</v>
      </c>
      <c r="G359" s="5">
        <v>40671</v>
      </c>
      <c r="H359" s="5">
        <v>12</v>
      </c>
      <c r="I359" s="6">
        <v>46183</v>
      </c>
      <c r="J359" s="6">
        <v>46193</v>
      </c>
      <c r="K359" s="10" t="s">
        <v>24</v>
      </c>
      <c r="L359" s="16" t="str">
        <f t="shared" si="5"/>
        <v>Normal</v>
      </c>
    </row>
    <row r="360" spans="1:12" ht="15" thickBot="1" x14ac:dyDescent="0.4">
      <c r="A360" s="5">
        <v>1003</v>
      </c>
      <c r="B360" s="5" t="s">
        <v>21</v>
      </c>
      <c r="C360" s="5" t="s">
        <v>22</v>
      </c>
      <c r="D360" s="5" t="s">
        <v>18</v>
      </c>
      <c r="E360" s="5" t="s">
        <v>23</v>
      </c>
      <c r="F360" s="5">
        <v>20</v>
      </c>
      <c r="G360" s="5">
        <v>2123</v>
      </c>
      <c r="H360" s="5">
        <v>15</v>
      </c>
      <c r="I360" s="6">
        <v>46183</v>
      </c>
      <c r="J360" s="6">
        <v>46192</v>
      </c>
      <c r="K360" s="10" t="s">
        <v>24</v>
      </c>
      <c r="L360" s="16" t="str">
        <f t="shared" si="5"/>
        <v>Priority</v>
      </c>
    </row>
    <row r="361" spans="1:12" ht="15" thickBot="1" x14ac:dyDescent="0.4">
      <c r="A361" s="5">
        <v>1320</v>
      </c>
      <c r="B361" s="5" t="s">
        <v>47</v>
      </c>
      <c r="C361" s="5" t="s">
        <v>38</v>
      </c>
      <c r="D361" s="5" t="s">
        <v>13</v>
      </c>
      <c r="E361" s="5" t="s">
        <v>36</v>
      </c>
      <c r="F361" s="5">
        <v>20</v>
      </c>
      <c r="G361" s="5">
        <v>55</v>
      </c>
      <c r="H361" s="5">
        <v>7</v>
      </c>
      <c r="I361" s="6">
        <v>46183</v>
      </c>
      <c r="J361" s="6">
        <v>46186</v>
      </c>
      <c r="K361" s="10" t="s">
        <v>20</v>
      </c>
      <c r="L361" s="16" t="str">
        <f t="shared" si="5"/>
        <v>Priority</v>
      </c>
    </row>
    <row r="362" spans="1:12" ht="15" thickBot="1" x14ac:dyDescent="0.4">
      <c r="A362" s="5">
        <v>1159</v>
      </c>
      <c r="B362" s="5" t="s">
        <v>32</v>
      </c>
      <c r="C362" s="5" t="s">
        <v>43</v>
      </c>
      <c r="D362" s="5" t="s">
        <v>18</v>
      </c>
      <c r="E362" s="5" t="s">
        <v>28</v>
      </c>
      <c r="F362" s="5">
        <v>20</v>
      </c>
      <c r="G362" s="5">
        <v>14000</v>
      </c>
      <c r="H362" s="5">
        <v>15</v>
      </c>
      <c r="I362" s="6">
        <v>46184</v>
      </c>
      <c r="J362" s="6">
        <v>46187</v>
      </c>
      <c r="K362" s="10" t="s">
        <v>15</v>
      </c>
      <c r="L362" s="16" t="str">
        <f t="shared" si="5"/>
        <v>Priority</v>
      </c>
    </row>
    <row r="363" spans="1:12" ht="15" thickBot="1" x14ac:dyDescent="0.4">
      <c r="A363" s="5">
        <v>1189</v>
      </c>
      <c r="B363" s="5" t="s">
        <v>49</v>
      </c>
      <c r="C363" s="5" t="s">
        <v>31</v>
      </c>
      <c r="D363" s="5" t="s">
        <v>18</v>
      </c>
      <c r="E363" s="5" t="s">
        <v>56</v>
      </c>
      <c r="F363" s="5">
        <v>12</v>
      </c>
      <c r="G363" s="5">
        <v>8327</v>
      </c>
      <c r="H363" s="5">
        <v>10</v>
      </c>
      <c r="I363" s="6">
        <v>46184</v>
      </c>
      <c r="J363" s="6">
        <v>46185</v>
      </c>
      <c r="K363" s="10" t="s">
        <v>29</v>
      </c>
      <c r="L363" s="16" t="str">
        <f t="shared" si="5"/>
        <v>Normal</v>
      </c>
    </row>
    <row r="364" spans="1:12" ht="15" thickBot="1" x14ac:dyDescent="0.4">
      <c r="A364" s="5">
        <v>1119</v>
      </c>
      <c r="B364" s="5" t="s">
        <v>30</v>
      </c>
      <c r="C364" s="5" t="s">
        <v>43</v>
      </c>
      <c r="D364" s="5" t="s">
        <v>18</v>
      </c>
      <c r="E364" s="5" t="s">
        <v>28</v>
      </c>
      <c r="F364" s="5">
        <v>2</v>
      </c>
      <c r="G364" s="5">
        <v>3706</v>
      </c>
      <c r="H364" s="5">
        <v>5</v>
      </c>
      <c r="I364" s="6">
        <v>46184</v>
      </c>
      <c r="J364" s="6">
        <v>46192</v>
      </c>
      <c r="K364" s="10" t="s">
        <v>51</v>
      </c>
      <c r="L364" s="16" t="str">
        <f t="shared" si="5"/>
        <v>Normal</v>
      </c>
    </row>
    <row r="365" spans="1:12" ht="15" thickBot="1" x14ac:dyDescent="0.4">
      <c r="A365" s="5">
        <v>1370</v>
      </c>
      <c r="B365" s="5" t="s">
        <v>59</v>
      </c>
      <c r="C365" s="5" t="s">
        <v>38</v>
      </c>
      <c r="D365" s="5" t="s">
        <v>13</v>
      </c>
      <c r="E365" s="5" t="s">
        <v>53</v>
      </c>
      <c r="F365" s="5">
        <v>13</v>
      </c>
      <c r="G365" s="5">
        <v>337</v>
      </c>
      <c r="H365" s="5">
        <v>7</v>
      </c>
      <c r="I365" s="6">
        <v>46184</v>
      </c>
      <c r="J365" s="6">
        <v>46188</v>
      </c>
      <c r="K365" s="10" t="s">
        <v>15</v>
      </c>
      <c r="L365" s="16" t="str">
        <f t="shared" si="5"/>
        <v>Priority</v>
      </c>
    </row>
    <row r="366" spans="1:12" ht="15" thickBot="1" x14ac:dyDescent="0.4">
      <c r="A366" s="5">
        <v>1137</v>
      </c>
      <c r="B366" s="5" t="s">
        <v>52</v>
      </c>
      <c r="C366" s="5" t="s">
        <v>12</v>
      </c>
      <c r="D366" s="5" t="s">
        <v>13</v>
      </c>
      <c r="E366" s="5" t="s">
        <v>37</v>
      </c>
      <c r="F366" s="5">
        <v>16</v>
      </c>
      <c r="G366" s="5">
        <v>270</v>
      </c>
      <c r="H366" s="5">
        <v>10</v>
      </c>
      <c r="I366" s="6">
        <v>46184</v>
      </c>
      <c r="J366" s="6">
        <v>46190</v>
      </c>
      <c r="K366" s="10" t="s">
        <v>29</v>
      </c>
      <c r="L366" s="16" t="str">
        <f t="shared" si="5"/>
        <v>Priority</v>
      </c>
    </row>
    <row r="367" spans="1:12" ht="15" thickBot="1" x14ac:dyDescent="0.4">
      <c r="A367" s="5">
        <v>1075</v>
      </c>
      <c r="B367" s="5" t="s">
        <v>42</v>
      </c>
      <c r="C367" s="5" t="s">
        <v>43</v>
      </c>
      <c r="D367" s="5" t="s">
        <v>34</v>
      </c>
      <c r="E367" s="5" t="s">
        <v>61</v>
      </c>
      <c r="F367" s="5">
        <v>4</v>
      </c>
      <c r="G367" s="5">
        <v>64773</v>
      </c>
      <c r="H367" s="5">
        <v>10</v>
      </c>
      <c r="I367" s="6">
        <v>46185</v>
      </c>
      <c r="J367" s="6">
        <v>46186</v>
      </c>
      <c r="K367" s="10" t="s">
        <v>51</v>
      </c>
      <c r="L367" s="16" t="str">
        <f t="shared" si="5"/>
        <v>Normal</v>
      </c>
    </row>
    <row r="368" spans="1:12" ht="15" thickBot="1" x14ac:dyDescent="0.4">
      <c r="A368" s="5">
        <v>1350</v>
      </c>
      <c r="B368" s="5" t="s">
        <v>26</v>
      </c>
      <c r="C368" s="5" t="s">
        <v>43</v>
      </c>
      <c r="D368" s="5" t="s">
        <v>18</v>
      </c>
      <c r="E368" s="5" t="s">
        <v>28</v>
      </c>
      <c r="F368" s="5">
        <v>16</v>
      </c>
      <c r="G368" s="5">
        <v>11790</v>
      </c>
      <c r="H368" s="5">
        <v>12</v>
      </c>
      <c r="I368" s="6">
        <v>46185</v>
      </c>
      <c r="J368" s="6">
        <v>46190</v>
      </c>
      <c r="K368" s="10" t="s">
        <v>29</v>
      </c>
      <c r="L368" s="16" t="str">
        <f t="shared" si="5"/>
        <v>Priority</v>
      </c>
    </row>
    <row r="369" spans="1:12" ht="15" thickBot="1" x14ac:dyDescent="0.4">
      <c r="A369" s="5">
        <v>1083</v>
      </c>
      <c r="B369" s="5" t="s">
        <v>55</v>
      </c>
      <c r="C369" s="5" t="s">
        <v>33</v>
      </c>
      <c r="D369" s="5" t="s">
        <v>13</v>
      </c>
      <c r="E369" s="5" t="s">
        <v>53</v>
      </c>
      <c r="F369" s="5">
        <v>4</v>
      </c>
      <c r="G369" s="5">
        <v>397</v>
      </c>
      <c r="H369" s="5">
        <v>7</v>
      </c>
      <c r="I369" s="6">
        <v>46185</v>
      </c>
      <c r="J369" s="6">
        <v>46193</v>
      </c>
      <c r="K369" s="10" t="s">
        <v>15</v>
      </c>
      <c r="L369" s="16" t="str">
        <f t="shared" si="5"/>
        <v>Normal</v>
      </c>
    </row>
    <row r="370" spans="1:12" ht="15" thickBot="1" x14ac:dyDescent="0.4">
      <c r="A370" s="5">
        <v>1064</v>
      </c>
      <c r="B370" s="5" t="s">
        <v>26</v>
      </c>
      <c r="C370" s="5" t="s">
        <v>17</v>
      </c>
      <c r="D370" s="5" t="s">
        <v>13</v>
      </c>
      <c r="E370" s="5" t="s">
        <v>50</v>
      </c>
      <c r="F370" s="5">
        <v>20</v>
      </c>
      <c r="G370" s="5">
        <v>191</v>
      </c>
      <c r="H370" s="5">
        <v>7</v>
      </c>
      <c r="I370" s="6">
        <v>46185</v>
      </c>
      <c r="J370" s="6">
        <v>46195</v>
      </c>
      <c r="K370" s="10" t="s">
        <v>29</v>
      </c>
      <c r="L370" s="16" t="str">
        <f t="shared" si="5"/>
        <v>Priority</v>
      </c>
    </row>
    <row r="371" spans="1:12" ht="15" thickBot="1" x14ac:dyDescent="0.4">
      <c r="A371" s="5">
        <v>1041</v>
      </c>
      <c r="B371" s="5" t="s">
        <v>54</v>
      </c>
      <c r="C371" s="5" t="s">
        <v>38</v>
      </c>
      <c r="D371" s="5" t="s">
        <v>13</v>
      </c>
      <c r="E371" s="5" t="s">
        <v>50</v>
      </c>
      <c r="F371" s="5">
        <v>9</v>
      </c>
      <c r="G371" s="5">
        <v>71</v>
      </c>
      <c r="H371" s="5">
        <v>7</v>
      </c>
      <c r="I371" s="6">
        <v>46185</v>
      </c>
      <c r="J371" s="6">
        <v>46188</v>
      </c>
      <c r="K371" s="10" t="s">
        <v>15</v>
      </c>
      <c r="L371" s="16" t="str">
        <f t="shared" si="5"/>
        <v>Priority</v>
      </c>
    </row>
    <row r="372" spans="1:12" ht="15" thickBot="1" x14ac:dyDescent="0.4">
      <c r="A372" s="5">
        <v>1315</v>
      </c>
      <c r="B372" s="5" t="s">
        <v>49</v>
      </c>
      <c r="C372" s="5" t="s">
        <v>31</v>
      </c>
      <c r="D372" s="5" t="s">
        <v>34</v>
      </c>
      <c r="E372" s="5" t="s">
        <v>41</v>
      </c>
      <c r="F372" s="5">
        <v>14</v>
      </c>
      <c r="G372" s="5">
        <v>57670</v>
      </c>
      <c r="H372" s="5">
        <v>2</v>
      </c>
      <c r="I372" s="6">
        <v>46186</v>
      </c>
      <c r="J372" s="6">
        <v>46196</v>
      </c>
      <c r="K372" s="10" t="s">
        <v>15</v>
      </c>
      <c r="L372" s="16" t="str">
        <f t="shared" si="5"/>
        <v>Normal</v>
      </c>
    </row>
    <row r="373" spans="1:12" ht="15" thickBot="1" x14ac:dyDescent="0.4">
      <c r="A373" s="5">
        <v>1292</v>
      </c>
      <c r="B373" s="5" t="s">
        <v>54</v>
      </c>
      <c r="C373" s="5" t="s">
        <v>33</v>
      </c>
      <c r="D373" s="5" t="s">
        <v>34</v>
      </c>
      <c r="E373" s="5" t="s">
        <v>61</v>
      </c>
      <c r="F373" s="5">
        <v>11</v>
      </c>
      <c r="G373" s="5">
        <v>25158</v>
      </c>
      <c r="H373" s="5">
        <v>5</v>
      </c>
      <c r="I373" s="6">
        <v>46186</v>
      </c>
      <c r="J373" s="6">
        <v>46193</v>
      </c>
      <c r="K373" s="10" t="s">
        <v>20</v>
      </c>
      <c r="L373" s="16" t="str">
        <f t="shared" si="5"/>
        <v>Normal</v>
      </c>
    </row>
    <row r="374" spans="1:12" ht="15" thickBot="1" x14ac:dyDescent="0.4">
      <c r="A374" s="5">
        <v>1186</v>
      </c>
      <c r="B374" s="5" t="s">
        <v>16</v>
      </c>
      <c r="C374" s="5" t="s">
        <v>25</v>
      </c>
      <c r="D374" s="5" t="s">
        <v>18</v>
      </c>
      <c r="E374" s="5" t="s">
        <v>44</v>
      </c>
      <c r="F374" s="5">
        <v>10</v>
      </c>
      <c r="G374" s="5">
        <v>14951</v>
      </c>
      <c r="H374" s="5">
        <v>2</v>
      </c>
      <c r="I374" s="6">
        <v>46188</v>
      </c>
      <c r="J374" s="6">
        <v>46196</v>
      </c>
      <c r="K374" s="10" t="s">
        <v>24</v>
      </c>
      <c r="L374" s="16" t="str">
        <f t="shared" si="5"/>
        <v>Normal</v>
      </c>
    </row>
    <row r="375" spans="1:12" ht="15" thickBot="1" x14ac:dyDescent="0.4">
      <c r="A375" s="5">
        <v>1146</v>
      </c>
      <c r="B375" s="5" t="s">
        <v>16</v>
      </c>
      <c r="C375" s="5" t="s">
        <v>43</v>
      </c>
      <c r="D375" s="5" t="s">
        <v>34</v>
      </c>
      <c r="E375" s="5" t="s">
        <v>45</v>
      </c>
      <c r="F375" s="5">
        <v>7</v>
      </c>
      <c r="G375" s="5">
        <v>68217</v>
      </c>
      <c r="H375" s="5">
        <v>0</v>
      </c>
      <c r="I375" s="6">
        <v>46190</v>
      </c>
      <c r="J375" s="6">
        <v>46197</v>
      </c>
      <c r="K375" s="10" t="s">
        <v>29</v>
      </c>
      <c r="L375" s="16" t="str">
        <f t="shared" si="5"/>
        <v>Normal</v>
      </c>
    </row>
    <row r="376" spans="1:12" ht="15" thickBot="1" x14ac:dyDescent="0.4">
      <c r="A376" s="5">
        <v>1331</v>
      </c>
      <c r="B376" s="5" t="s">
        <v>21</v>
      </c>
      <c r="C376" s="5" t="s">
        <v>25</v>
      </c>
      <c r="D376" s="5" t="s">
        <v>34</v>
      </c>
      <c r="E376" s="5" t="s">
        <v>61</v>
      </c>
      <c r="F376" s="5">
        <v>2</v>
      </c>
      <c r="G376" s="5">
        <v>43557</v>
      </c>
      <c r="H376" s="5">
        <v>2</v>
      </c>
      <c r="I376" s="6">
        <v>46190</v>
      </c>
      <c r="J376" s="6">
        <v>46200</v>
      </c>
      <c r="K376" s="10" t="s">
        <v>15</v>
      </c>
      <c r="L376" s="16" t="str">
        <f t="shared" si="5"/>
        <v>Normal</v>
      </c>
    </row>
    <row r="377" spans="1:12" ht="15" thickBot="1" x14ac:dyDescent="0.4">
      <c r="A377" s="5">
        <v>1062</v>
      </c>
      <c r="B377" s="5" t="s">
        <v>40</v>
      </c>
      <c r="C377" s="5" t="s">
        <v>43</v>
      </c>
      <c r="D377" s="5" t="s">
        <v>18</v>
      </c>
      <c r="E377" s="5" t="s">
        <v>23</v>
      </c>
      <c r="F377" s="5">
        <v>8</v>
      </c>
      <c r="G377" s="5">
        <v>8360</v>
      </c>
      <c r="H377" s="5">
        <v>2</v>
      </c>
      <c r="I377" s="6">
        <v>46190</v>
      </c>
      <c r="J377" s="6">
        <v>46200</v>
      </c>
      <c r="K377" s="10" t="s">
        <v>51</v>
      </c>
      <c r="L377" s="16" t="str">
        <f t="shared" si="5"/>
        <v>Normal</v>
      </c>
    </row>
    <row r="378" spans="1:12" ht="15" thickBot="1" x14ac:dyDescent="0.4">
      <c r="A378" s="5">
        <v>1373</v>
      </c>
      <c r="B378" s="5" t="s">
        <v>54</v>
      </c>
      <c r="C378" s="5" t="s">
        <v>25</v>
      </c>
      <c r="D378" s="5" t="s">
        <v>34</v>
      </c>
      <c r="E378" s="5" t="s">
        <v>60</v>
      </c>
      <c r="F378" s="5">
        <v>11</v>
      </c>
      <c r="G378" s="5">
        <v>47930</v>
      </c>
      <c r="H378" s="5">
        <v>12</v>
      </c>
      <c r="I378" s="6">
        <v>46191</v>
      </c>
      <c r="J378" s="6">
        <v>46201</v>
      </c>
      <c r="K378" s="10" t="s">
        <v>20</v>
      </c>
      <c r="L378" s="16" t="str">
        <f t="shared" si="5"/>
        <v>Normal</v>
      </c>
    </row>
    <row r="379" spans="1:12" ht="15" thickBot="1" x14ac:dyDescent="0.4">
      <c r="A379" s="5">
        <v>1306</v>
      </c>
      <c r="B379" s="5" t="s">
        <v>54</v>
      </c>
      <c r="C379" s="5" t="s">
        <v>43</v>
      </c>
      <c r="D379" s="5" t="s">
        <v>13</v>
      </c>
      <c r="E379" s="5" t="s">
        <v>36</v>
      </c>
      <c r="F379" s="5">
        <v>1</v>
      </c>
      <c r="G379" s="5">
        <v>332</v>
      </c>
      <c r="H379" s="5">
        <v>0</v>
      </c>
      <c r="I379" s="6">
        <v>46191</v>
      </c>
      <c r="J379" s="6">
        <v>46194</v>
      </c>
      <c r="K379" s="10" t="s">
        <v>20</v>
      </c>
      <c r="L379" s="16" t="str">
        <f t="shared" si="5"/>
        <v>Normal</v>
      </c>
    </row>
    <row r="380" spans="1:12" ht="15" thickBot="1" x14ac:dyDescent="0.4">
      <c r="A380" s="5">
        <v>1242</v>
      </c>
      <c r="B380" s="5" t="s">
        <v>54</v>
      </c>
      <c r="C380" s="5" t="s">
        <v>38</v>
      </c>
      <c r="D380" s="5" t="s">
        <v>13</v>
      </c>
      <c r="E380" s="5" t="s">
        <v>50</v>
      </c>
      <c r="F380" s="5">
        <v>7</v>
      </c>
      <c r="G380" s="5">
        <v>168</v>
      </c>
      <c r="H380" s="5">
        <v>10</v>
      </c>
      <c r="I380" s="6">
        <v>46191</v>
      </c>
      <c r="J380" s="6">
        <v>46196</v>
      </c>
      <c r="K380" s="10" t="s">
        <v>51</v>
      </c>
      <c r="L380" s="16" t="str">
        <f t="shared" si="5"/>
        <v>Priority</v>
      </c>
    </row>
    <row r="381" spans="1:12" ht="15" thickBot="1" x14ac:dyDescent="0.4">
      <c r="A381" s="5">
        <v>1065</v>
      </c>
      <c r="B381" s="5" t="s">
        <v>42</v>
      </c>
      <c r="C381" s="5" t="s">
        <v>43</v>
      </c>
      <c r="D381" s="5" t="s">
        <v>18</v>
      </c>
      <c r="E381" s="5" t="s">
        <v>44</v>
      </c>
      <c r="F381" s="5">
        <v>1</v>
      </c>
      <c r="G381" s="5">
        <v>7730</v>
      </c>
      <c r="H381" s="5">
        <v>5</v>
      </c>
      <c r="I381" s="6">
        <v>46192</v>
      </c>
      <c r="J381" s="6">
        <v>46195</v>
      </c>
      <c r="K381" s="10" t="s">
        <v>51</v>
      </c>
      <c r="L381" s="16" t="str">
        <f t="shared" si="5"/>
        <v>Normal</v>
      </c>
    </row>
    <row r="382" spans="1:12" ht="15" thickBot="1" x14ac:dyDescent="0.4">
      <c r="A382" s="5">
        <v>1023</v>
      </c>
      <c r="B382" s="5" t="s">
        <v>40</v>
      </c>
      <c r="C382" s="5" t="s">
        <v>12</v>
      </c>
      <c r="D382" s="5" t="s">
        <v>18</v>
      </c>
      <c r="E382" s="5" t="s">
        <v>44</v>
      </c>
      <c r="F382" s="5">
        <v>15</v>
      </c>
      <c r="G382" s="5">
        <v>3506</v>
      </c>
      <c r="H382" s="5">
        <v>2</v>
      </c>
      <c r="I382" s="6">
        <v>46193</v>
      </c>
      <c r="J382" s="6">
        <v>46194</v>
      </c>
      <c r="K382" s="10" t="s">
        <v>29</v>
      </c>
      <c r="L382" s="16" t="str">
        <f t="shared" si="5"/>
        <v>Priority</v>
      </c>
    </row>
    <row r="383" spans="1:12" ht="15" thickBot="1" x14ac:dyDescent="0.4">
      <c r="A383" s="5">
        <v>1212</v>
      </c>
      <c r="B383" s="5" t="s">
        <v>59</v>
      </c>
      <c r="C383" s="5" t="s">
        <v>25</v>
      </c>
      <c r="D383" s="5" t="s">
        <v>34</v>
      </c>
      <c r="E383" s="5" t="s">
        <v>60</v>
      </c>
      <c r="F383" s="5">
        <v>10</v>
      </c>
      <c r="G383" s="5">
        <v>34380</v>
      </c>
      <c r="H383" s="5">
        <v>7</v>
      </c>
      <c r="I383" s="6">
        <v>46194</v>
      </c>
      <c r="J383" s="6">
        <v>46195</v>
      </c>
      <c r="K383" s="10" t="s">
        <v>29</v>
      </c>
      <c r="L383" s="16" t="str">
        <f t="shared" si="5"/>
        <v>Normal</v>
      </c>
    </row>
    <row r="384" spans="1:12" ht="15" thickBot="1" x14ac:dyDescent="0.4">
      <c r="A384" s="5">
        <v>1397</v>
      </c>
      <c r="B384" s="5" t="s">
        <v>21</v>
      </c>
      <c r="C384" s="5" t="s">
        <v>33</v>
      </c>
      <c r="D384" s="5" t="s">
        <v>18</v>
      </c>
      <c r="E384" s="5" t="s">
        <v>23</v>
      </c>
      <c r="F384" s="5">
        <v>1</v>
      </c>
      <c r="G384" s="5">
        <v>8948</v>
      </c>
      <c r="H384" s="5">
        <v>5</v>
      </c>
      <c r="I384" s="6">
        <v>46194</v>
      </c>
      <c r="J384" s="6">
        <v>46201</v>
      </c>
      <c r="K384" s="10" t="s">
        <v>51</v>
      </c>
      <c r="L384" s="16" t="str">
        <f t="shared" si="5"/>
        <v>Normal</v>
      </c>
    </row>
    <row r="385" spans="1:12" ht="15" thickBot="1" x14ac:dyDescent="0.4">
      <c r="A385" s="5">
        <v>1353</v>
      </c>
      <c r="B385" s="5" t="s">
        <v>47</v>
      </c>
      <c r="C385" s="5" t="s">
        <v>43</v>
      </c>
      <c r="D385" s="5" t="s">
        <v>13</v>
      </c>
      <c r="E385" s="5" t="s">
        <v>14</v>
      </c>
      <c r="F385" s="5">
        <v>6</v>
      </c>
      <c r="G385" s="5">
        <v>495</v>
      </c>
      <c r="H385" s="5">
        <v>2</v>
      </c>
      <c r="I385" s="6">
        <v>46194</v>
      </c>
      <c r="J385" s="6">
        <v>46200</v>
      </c>
      <c r="K385" s="10" t="s">
        <v>24</v>
      </c>
      <c r="L385" s="16" t="str">
        <f t="shared" si="5"/>
        <v>Normal</v>
      </c>
    </row>
    <row r="386" spans="1:12" ht="15" thickBot="1" x14ac:dyDescent="0.4">
      <c r="A386" s="5">
        <v>1164</v>
      </c>
      <c r="B386" s="5" t="s">
        <v>40</v>
      </c>
      <c r="C386" s="5" t="s">
        <v>43</v>
      </c>
      <c r="D386" s="5" t="s">
        <v>34</v>
      </c>
      <c r="E386" s="5" t="s">
        <v>61</v>
      </c>
      <c r="F386" s="5">
        <v>7</v>
      </c>
      <c r="G386" s="5">
        <v>24615</v>
      </c>
      <c r="H386" s="5">
        <v>12</v>
      </c>
      <c r="I386" s="6">
        <v>46196</v>
      </c>
      <c r="J386" s="6">
        <v>46203</v>
      </c>
      <c r="K386" s="10" t="s">
        <v>51</v>
      </c>
      <c r="L386" s="16" t="str">
        <f t="shared" si="5"/>
        <v>Normal</v>
      </c>
    </row>
    <row r="387" spans="1:12" ht="15" thickBot="1" x14ac:dyDescent="0.4">
      <c r="A387" s="5">
        <v>1068</v>
      </c>
      <c r="B387" s="5" t="s">
        <v>52</v>
      </c>
      <c r="C387" s="5" t="s">
        <v>43</v>
      </c>
      <c r="D387" s="5" t="s">
        <v>34</v>
      </c>
      <c r="E387" s="5" t="s">
        <v>60</v>
      </c>
      <c r="F387" s="5">
        <v>15</v>
      </c>
      <c r="G387" s="5">
        <v>14534</v>
      </c>
      <c r="H387" s="5">
        <v>5</v>
      </c>
      <c r="I387" s="6">
        <v>46196</v>
      </c>
      <c r="J387" s="6">
        <v>46199</v>
      </c>
      <c r="K387" s="10" t="s">
        <v>29</v>
      </c>
      <c r="L387" s="16" t="str">
        <f t="shared" ref="L387:L401" si="6">IF(OR(C387="Mumbai",F387&gt;=15),"Priority","Normal")</f>
        <v>Priority</v>
      </c>
    </row>
    <row r="388" spans="1:12" ht="15" thickBot="1" x14ac:dyDescent="0.4">
      <c r="A388" s="5">
        <v>1314</v>
      </c>
      <c r="B388" s="5" t="s">
        <v>52</v>
      </c>
      <c r="C388" s="5" t="s">
        <v>33</v>
      </c>
      <c r="D388" s="5" t="s">
        <v>18</v>
      </c>
      <c r="E388" s="5" t="s">
        <v>19</v>
      </c>
      <c r="F388" s="5">
        <v>10</v>
      </c>
      <c r="G388" s="5">
        <v>6328</v>
      </c>
      <c r="H388" s="5">
        <v>2</v>
      </c>
      <c r="I388" s="6">
        <v>46196</v>
      </c>
      <c r="J388" s="6">
        <v>46197</v>
      </c>
      <c r="K388" s="10" t="s">
        <v>29</v>
      </c>
      <c r="L388" s="16" t="str">
        <f t="shared" si="6"/>
        <v>Normal</v>
      </c>
    </row>
    <row r="389" spans="1:12" ht="15" thickBot="1" x14ac:dyDescent="0.4">
      <c r="A389" s="5">
        <v>1340</v>
      </c>
      <c r="B389" s="5" t="s">
        <v>48</v>
      </c>
      <c r="C389" s="5" t="s">
        <v>17</v>
      </c>
      <c r="D389" s="5" t="s">
        <v>18</v>
      </c>
      <c r="E389" s="5" t="s">
        <v>19</v>
      </c>
      <c r="F389" s="5">
        <v>12</v>
      </c>
      <c r="G389" s="5">
        <v>3857</v>
      </c>
      <c r="H389" s="5">
        <v>12</v>
      </c>
      <c r="I389" s="6">
        <v>46196</v>
      </c>
      <c r="J389" s="6">
        <v>46198</v>
      </c>
      <c r="K389" s="10" t="s">
        <v>51</v>
      </c>
      <c r="L389" s="16" t="str">
        <f t="shared" si="6"/>
        <v>Normal</v>
      </c>
    </row>
    <row r="390" spans="1:12" ht="15" thickBot="1" x14ac:dyDescent="0.4">
      <c r="A390" s="5">
        <v>1383</v>
      </c>
      <c r="B390" s="5" t="s">
        <v>32</v>
      </c>
      <c r="C390" s="5" t="s">
        <v>12</v>
      </c>
      <c r="D390" s="5" t="s">
        <v>13</v>
      </c>
      <c r="E390" s="5" t="s">
        <v>53</v>
      </c>
      <c r="F390" s="5">
        <v>14</v>
      </c>
      <c r="G390" s="5">
        <v>334</v>
      </c>
      <c r="H390" s="5">
        <v>10</v>
      </c>
      <c r="I390" s="6">
        <v>46196</v>
      </c>
      <c r="J390" s="6">
        <v>46203</v>
      </c>
      <c r="K390" s="10" t="s">
        <v>15</v>
      </c>
      <c r="L390" s="16" t="str">
        <f t="shared" si="6"/>
        <v>Normal</v>
      </c>
    </row>
    <row r="391" spans="1:12" ht="15" thickBot="1" x14ac:dyDescent="0.4">
      <c r="A391" s="5">
        <v>1309</v>
      </c>
      <c r="B391" s="5" t="s">
        <v>29</v>
      </c>
      <c r="C391" s="5" t="s">
        <v>31</v>
      </c>
      <c r="D391" s="5" t="s">
        <v>13</v>
      </c>
      <c r="E391" s="5" t="s">
        <v>50</v>
      </c>
      <c r="F391" s="5">
        <v>2</v>
      </c>
      <c r="G391" s="5">
        <v>35</v>
      </c>
      <c r="H391" s="5">
        <v>5</v>
      </c>
      <c r="I391" s="6">
        <v>46197</v>
      </c>
      <c r="J391" s="6">
        <v>46198</v>
      </c>
      <c r="K391" s="10" t="s">
        <v>24</v>
      </c>
      <c r="L391" s="16" t="str">
        <f t="shared" si="6"/>
        <v>Normal</v>
      </c>
    </row>
    <row r="392" spans="1:12" ht="15" thickBot="1" x14ac:dyDescent="0.4">
      <c r="A392" s="5">
        <v>1233</v>
      </c>
      <c r="B392" s="5" t="s">
        <v>58</v>
      </c>
      <c r="C392" s="5" t="s">
        <v>22</v>
      </c>
      <c r="D392" s="5" t="s">
        <v>18</v>
      </c>
      <c r="E392" s="5" t="s">
        <v>19</v>
      </c>
      <c r="F392" s="5">
        <v>20</v>
      </c>
      <c r="G392" s="5">
        <v>13941</v>
      </c>
      <c r="H392" s="5">
        <v>15</v>
      </c>
      <c r="I392" s="6">
        <v>46198</v>
      </c>
      <c r="J392" s="6">
        <v>46202</v>
      </c>
      <c r="K392" s="10" t="s">
        <v>24</v>
      </c>
      <c r="L392" s="16" t="str">
        <f t="shared" si="6"/>
        <v>Priority</v>
      </c>
    </row>
    <row r="393" spans="1:12" ht="15" thickBot="1" x14ac:dyDescent="0.4">
      <c r="A393" s="5">
        <v>1195</v>
      </c>
      <c r="B393" s="5" t="s">
        <v>59</v>
      </c>
      <c r="C393" s="5" t="s">
        <v>17</v>
      </c>
      <c r="D393" s="5" t="s">
        <v>13</v>
      </c>
      <c r="E393" s="5" t="s">
        <v>50</v>
      </c>
      <c r="F393" s="5">
        <v>19</v>
      </c>
      <c r="G393" s="5">
        <v>313</v>
      </c>
      <c r="H393" s="5">
        <v>2</v>
      </c>
      <c r="I393" s="6">
        <v>46198</v>
      </c>
      <c r="J393" s="6">
        <v>46206</v>
      </c>
      <c r="K393" s="10" t="s">
        <v>51</v>
      </c>
      <c r="L393" s="16" t="str">
        <f t="shared" si="6"/>
        <v>Priority</v>
      </c>
    </row>
    <row r="394" spans="1:12" ht="15" thickBot="1" x14ac:dyDescent="0.4">
      <c r="A394" s="5">
        <v>1268</v>
      </c>
      <c r="B394" s="5" t="s">
        <v>42</v>
      </c>
      <c r="C394" s="5" t="s">
        <v>38</v>
      </c>
      <c r="D394" s="5" t="s">
        <v>34</v>
      </c>
      <c r="E394" s="5" t="s">
        <v>45</v>
      </c>
      <c r="F394" s="5">
        <v>10</v>
      </c>
      <c r="G394" s="5">
        <v>46291</v>
      </c>
      <c r="H394" s="5">
        <v>12</v>
      </c>
      <c r="I394" s="6">
        <v>46199</v>
      </c>
      <c r="J394" s="6">
        <v>46202</v>
      </c>
      <c r="K394" s="10" t="s">
        <v>20</v>
      </c>
      <c r="L394" s="16" t="str">
        <f t="shared" si="6"/>
        <v>Priority</v>
      </c>
    </row>
    <row r="395" spans="1:12" ht="15" thickBot="1" x14ac:dyDescent="0.4">
      <c r="A395" s="5">
        <v>1047</v>
      </c>
      <c r="B395" s="5" t="s">
        <v>58</v>
      </c>
      <c r="C395" s="5" t="s">
        <v>38</v>
      </c>
      <c r="D395" s="5" t="s">
        <v>18</v>
      </c>
      <c r="E395" s="5" t="s">
        <v>56</v>
      </c>
      <c r="F395" s="5">
        <v>11</v>
      </c>
      <c r="G395" s="5">
        <v>9976</v>
      </c>
      <c r="H395" s="5">
        <v>12</v>
      </c>
      <c r="I395" s="6">
        <v>46200</v>
      </c>
      <c r="J395" s="6">
        <v>46209</v>
      </c>
      <c r="K395" s="10" t="s">
        <v>15</v>
      </c>
      <c r="L395" s="16" t="str">
        <f t="shared" si="6"/>
        <v>Priority</v>
      </c>
    </row>
    <row r="396" spans="1:12" ht="15" thickBot="1" x14ac:dyDescent="0.4">
      <c r="A396" s="5">
        <v>1054</v>
      </c>
      <c r="B396" s="5" t="s">
        <v>26</v>
      </c>
      <c r="C396" s="5" t="s">
        <v>25</v>
      </c>
      <c r="D396" s="5" t="s">
        <v>18</v>
      </c>
      <c r="E396" s="5" t="s">
        <v>23</v>
      </c>
      <c r="F396" s="5">
        <v>8</v>
      </c>
      <c r="G396" s="5">
        <v>9798</v>
      </c>
      <c r="H396" s="5">
        <v>12</v>
      </c>
      <c r="I396" s="6">
        <v>46200</v>
      </c>
      <c r="J396" s="6">
        <v>46201</v>
      </c>
      <c r="K396" s="10" t="s">
        <v>51</v>
      </c>
      <c r="L396" s="16" t="str">
        <f t="shared" si="6"/>
        <v>Normal</v>
      </c>
    </row>
    <row r="397" spans="1:12" ht="15" thickBot="1" x14ac:dyDescent="0.4">
      <c r="A397" s="5">
        <v>1264</v>
      </c>
      <c r="B397" s="5" t="s">
        <v>11</v>
      </c>
      <c r="C397" s="5" t="s">
        <v>22</v>
      </c>
      <c r="D397" s="5" t="s">
        <v>18</v>
      </c>
      <c r="E397" s="5" t="s">
        <v>28</v>
      </c>
      <c r="F397" s="5">
        <v>15</v>
      </c>
      <c r="G397" s="5">
        <v>6365</v>
      </c>
      <c r="H397" s="5">
        <v>10</v>
      </c>
      <c r="I397" s="6">
        <v>46200</v>
      </c>
      <c r="J397" s="6">
        <v>46206</v>
      </c>
      <c r="K397" s="10" t="s">
        <v>20</v>
      </c>
      <c r="L397" s="16" t="str">
        <f t="shared" si="6"/>
        <v>Priority</v>
      </c>
    </row>
    <row r="398" spans="1:12" ht="15" thickBot="1" x14ac:dyDescent="0.4">
      <c r="A398" s="5">
        <v>1244</v>
      </c>
      <c r="B398" s="5" t="s">
        <v>57</v>
      </c>
      <c r="C398" s="5" t="s">
        <v>38</v>
      </c>
      <c r="D398" s="5" t="s">
        <v>18</v>
      </c>
      <c r="E398" s="5" t="s">
        <v>28</v>
      </c>
      <c r="F398" s="5">
        <v>10</v>
      </c>
      <c r="G398" s="5">
        <v>6339</v>
      </c>
      <c r="H398" s="5">
        <v>12</v>
      </c>
      <c r="I398" s="6">
        <v>46200</v>
      </c>
      <c r="J398" s="6">
        <v>46205</v>
      </c>
      <c r="K398" s="10" t="s">
        <v>15</v>
      </c>
      <c r="L398" s="16" t="str">
        <f t="shared" si="6"/>
        <v>Priority</v>
      </c>
    </row>
    <row r="399" spans="1:12" ht="15" thickBot="1" x14ac:dyDescent="0.4">
      <c r="A399" s="5">
        <v>1356</v>
      </c>
      <c r="B399" s="5" t="s">
        <v>26</v>
      </c>
      <c r="C399" s="5" t="s">
        <v>38</v>
      </c>
      <c r="D399" s="5" t="s">
        <v>34</v>
      </c>
      <c r="E399" s="5" t="s">
        <v>60</v>
      </c>
      <c r="F399" s="5">
        <v>16</v>
      </c>
      <c r="G399" s="5">
        <v>53457</v>
      </c>
      <c r="H399" s="5">
        <v>10</v>
      </c>
      <c r="I399" s="6">
        <v>46201</v>
      </c>
      <c r="J399" s="6">
        <v>46204</v>
      </c>
      <c r="K399" s="10" t="s">
        <v>15</v>
      </c>
      <c r="L399" s="16" t="str">
        <f t="shared" si="6"/>
        <v>Priority</v>
      </c>
    </row>
    <row r="400" spans="1:12" ht="15" thickBot="1" x14ac:dyDescent="0.4">
      <c r="A400" s="5">
        <v>1126</v>
      </c>
      <c r="B400" s="5" t="s">
        <v>46</v>
      </c>
      <c r="C400" s="5" t="s">
        <v>22</v>
      </c>
      <c r="D400" s="5" t="s">
        <v>34</v>
      </c>
      <c r="E400" s="5" t="s">
        <v>39</v>
      </c>
      <c r="F400" s="5">
        <v>17</v>
      </c>
      <c r="G400" s="5">
        <v>19390</v>
      </c>
      <c r="H400" s="5">
        <v>12</v>
      </c>
      <c r="I400" s="6">
        <v>46201</v>
      </c>
      <c r="J400" s="6">
        <v>46206</v>
      </c>
      <c r="K400" s="10" t="s">
        <v>29</v>
      </c>
      <c r="L400" s="16" t="str">
        <f t="shared" si="6"/>
        <v>Priority</v>
      </c>
    </row>
    <row r="401" spans="1:12" ht="15" thickBot="1" x14ac:dyDescent="0.4">
      <c r="A401" s="5">
        <v>1219</v>
      </c>
      <c r="B401" s="5" t="s">
        <v>46</v>
      </c>
      <c r="C401" s="5" t="s">
        <v>22</v>
      </c>
      <c r="D401" s="5" t="s">
        <v>13</v>
      </c>
      <c r="E401" s="5" t="s">
        <v>14</v>
      </c>
      <c r="F401" s="5">
        <v>4</v>
      </c>
      <c r="G401" s="5">
        <v>117</v>
      </c>
      <c r="H401" s="5">
        <v>15</v>
      </c>
      <c r="I401" s="6">
        <v>46202</v>
      </c>
      <c r="J401" s="6">
        <v>46206</v>
      </c>
      <c r="K401" s="10" t="s">
        <v>29</v>
      </c>
      <c r="L401" s="16" t="str">
        <f t="shared" si="6"/>
        <v>Normal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E7B210-4B33-4B0B-A596-6F47DCB469FD}">
  <dimension ref="A1:M401"/>
  <sheetViews>
    <sheetView workbookViewId="0">
      <selection sqref="A1:M1"/>
    </sheetView>
  </sheetViews>
  <sheetFormatPr defaultRowHeight="14.5" x14ac:dyDescent="0.35"/>
  <cols>
    <col min="1" max="1" width="8.54296875" bestFit="1" customWidth="1"/>
    <col min="2" max="2" width="9" bestFit="1" customWidth="1"/>
    <col min="3" max="3" width="11" bestFit="1" customWidth="1"/>
    <col min="4" max="4" width="9.7265625" bestFit="1" customWidth="1"/>
    <col min="5" max="5" width="9" bestFit="1" customWidth="1"/>
    <col min="6" max="6" width="8.1796875" bestFit="1" customWidth="1"/>
    <col min="7" max="7" width="9.453125" bestFit="1" customWidth="1"/>
    <col min="8" max="8" width="11" customWidth="1"/>
    <col min="9" max="9" width="10.7265625" bestFit="1" customWidth="1"/>
    <col min="10" max="10" width="12.54296875" bestFit="1" customWidth="1"/>
    <col min="11" max="11" width="10.81640625" bestFit="1" customWidth="1"/>
    <col min="12" max="12" width="11.90625" customWidth="1"/>
    <col min="13" max="13" width="10.81640625" customWidth="1"/>
  </cols>
  <sheetData>
    <row r="1" spans="1:13" ht="21" customHeight="1" thickBot="1" x14ac:dyDescent="0.4">
      <c r="A1" s="31" t="s">
        <v>0</v>
      </c>
      <c r="B1" s="31" t="s">
        <v>1</v>
      </c>
      <c r="C1" s="31" t="s">
        <v>2</v>
      </c>
      <c r="D1" s="31" t="s">
        <v>3</v>
      </c>
      <c r="E1" s="31" t="s">
        <v>4</v>
      </c>
      <c r="F1" s="31" t="s">
        <v>5</v>
      </c>
      <c r="G1" s="31" t="s">
        <v>6</v>
      </c>
      <c r="H1" s="31" t="s">
        <v>7</v>
      </c>
      <c r="I1" s="31" t="s">
        <v>8</v>
      </c>
      <c r="J1" s="31" t="s">
        <v>9</v>
      </c>
      <c r="K1" s="35" t="s">
        <v>10</v>
      </c>
      <c r="L1" s="36" t="s">
        <v>70</v>
      </c>
      <c r="M1" s="36" t="s">
        <v>71</v>
      </c>
    </row>
    <row r="2" spans="1:13" ht="15" thickBot="1" x14ac:dyDescent="0.4">
      <c r="A2" s="5">
        <v>1019</v>
      </c>
      <c r="B2" s="5" t="s">
        <v>11</v>
      </c>
      <c r="C2" s="5" t="s">
        <v>43</v>
      </c>
      <c r="D2" s="5" t="s">
        <v>34</v>
      </c>
      <c r="E2" s="5" t="s">
        <v>41</v>
      </c>
      <c r="F2" s="5">
        <v>18</v>
      </c>
      <c r="G2" s="5">
        <v>45652</v>
      </c>
      <c r="H2" s="5">
        <v>10</v>
      </c>
      <c r="I2" s="6">
        <v>46023</v>
      </c>
      <c r="J2" s="6">
        <v>46030</v>
      </c>
      <c r="K2" s="10" t="s">
        <v>20</v>
      </c>
      <c r="L2" s="16">
        <f>F2*G2*(1-H2/100)</f>
        <v>739562.4</v>
      </c>
      <c r="M2" s="14" t="str" cm="1">
        <f t="array" ref="M2">_xlfn.IFS(L2&gt;=100000, "Excellent", AND(L2&lt;100000, L2&gt;=50000), "Very Good", AND(L2&lt;50000, L2&gt;=20000), "Good", L2&lt;20000, "Average")</f>
        <v>Excellent</v>
      </c>
    </row>
    <row r="3" spans="1:13" ht="15" thickBot="1" x14ac:dyDescent="0.4">
      <c r="A3" s="5">
        <v>1355</v>
      </c>
      <c r="B3" s="5" t="s">
        <v>27</v>
      </c>
      <c r="C3" s="5" t="s">
        <v>12</v>
      </c>
      <c r="D3" s="5" t="s">
        <v>34</v>
      </c>
      <c r="E3" s="5" t="s">
        <v>60</v>
      </c>
      <c r="F3" s="5">
        <v>18</v>
      </c>
      <c r="G3" s="5">
        <v>35997</v>
      </c>
      <c r="H3" s="5">
        <v>2</v>
      </c>
      <c r="I3" s="6">
        <v>46024</v>
      </c>
      <c r="J3" s="6">
        <v>46031</v>
      </c>
      <c r="K3" s="10" t="s">
        <v>51</v>
      </c>
      <c r="L3" s="16">
        <f t="shared" ref="L3:L66" si="0">F3*G3*(1-H3/100)</f>
        <v>634987.07999999996</v>
      </c>
      <c r="M3" s="14" t="str" cm="1">
        <f t="array" ref="M3">_xlfn.IFS(L3&gt;=100000, "Excellent", AND(L3&lt;100000, L3&gt;=50000), "Very Good", AND(L3&lt;50000, L3&gt;=20000), "Good", L3&lt;20000, "Average")</f>
        <v>Excellent</v>
      </c>
    </row>
    <row r="4" spans="1:13" ht="15" thickBot="1" x14ac:dyDescent="0.4">
      <c r="A4" s="5">
        <v>1060</v>
      </c>
      <c r="B4" s="5" t="s">
        <v>49</v>
      </c>
      <c r="C4" s="5" t="s">
        <v>12</v>
      </c>
      <c r="D4" s="5" t="s">
        <v>18</v>
      </c>
      <c r="E4" s="5" t="s">
        <v>44</v>
      </c>
      <c r="F4" s="5">
        <v>9</v>
      </c>
      <c r="G4" s="5">
        <v>9727</v>
      </c>
      <c r="H4" s="5">
        <v>2</v>
      </c>
      <c r="I4" s="6">
        <v>46024</v>
      </c>
      <c r="J4" s="6">
        <v>46030</v>
      </c>
      <c r="K4" s="10" t="s">
        <v>20</v>
      </c>
      <c r="L4" s="16">
        <f t="shared" si="0"/>
        <v>85792.14</v>
      </c>
      <c r="M4" s="14" t="str" cm="1">
        <f t="array" ref="M4">_xlfn.IFS(L4&gt;=100000, "Excellent", AND(L4&lt;100000, L4&gt;=50000), "Very Good", AND(L4&lt;50000, L4&gt;=20000), "Good", L4&lt;20000, "Average")</f>
        <v>Very Good</v>
      </c>
    </row>
    <row r="5" spans="1:13" ht="15" thickBot="1" x14ac:dyDescent="0.4">
      <c r="A5" s="5">
        <v>1151</v>
      </c>
      <c r="B5" s="5" t="s">
        <v>46</v>
      </c>
      <c r="C5" s="5" t="s">
        <v>43</v>
      </c>
      <c r="D5" s="5" t="s">
        <v>13</v>
      </c>
      <c r="E5" s="5" t="s">
        <v>50</v>
      </c>
      <c r="F5" s="5">
        <v>20</v>
      </c>
      <c r="G5" s="5">
        <v>272</v>
      </c>
      <c r="H5" s="5">
        <v>15</v>
      </c>
      <c r="I5" s="6">
        <v>46024</v>
      </c>
      <c r="J5" s="6">
        <v>46029</v>
      </c>
      <c r="K5" s="10" t="s">
        <v>51</v>
      </c>
      <c r="L5" s="16">
        <f t="shared" si="0"/>
        <v>4624</v>
      </c>
      <c r="M5" s="14" t="str" cm="1">
        <f t="array" ref="M5">_xlfn.IFS(L5&gt;=100000, "Excellent", AND(L5&lt;100000, L5&gt;=50000), "Very Good", AND(L5&lt;50000, L5&gt;=20000), "Good", L5&lt;20000, "Average")</f>
        <v>Average</v>
      </c>
    </row>
    <row r="6" spans="1:13" ht="15" thickBot="1" x14ac:dyDescent="0.4">
      <c r="A6" s="5">
        <v>1132</v>
      </c>
      <c r="B6" s="5" t="s">
        <v>11</v>
      </c>
      <c r="C6" s="5" t="s">
        <v>31</v>
      </c>
      <c r="D6" s="5" t="s">
        <v>13</v>
      </c>
      <c r="E6" s="5" t="s">
        <v>50</v>
      </c>
      <c r="F6" s="5">
        <v>10</v>
      </c>
      <c r="G6" s="5">
        <v>270</v>
      </c>
      <c r="H6" s="5">
        <v>7</v>
      </c>
      <c r="I6" s="6">
        <v>46024</v>
      </c>
      <c r="J6" s="6">
        <v>46034</v>
      </c>
      <c r="K6" s="10" t="s">
        <v>24</v>
      </c>
      <c r="L6" s="16">
        <f t="shared" si="0"/>
        <v>2511</v>
      </c>
      <c r="M6" s="14" t="str" cm="1">
        <f t="array" ref="M6">_xlfn.IFS(L6&gt;=100000, "Excellent", AND(L6&lt;100000, L6&gt;=50000), "Very Good", AND(L6&lt;50000, L6&gt;=20000), "Good", L6&lt;20000, "Average")</f>
        <v>Average</v>
      </c>
    </row>
    <row r="7" spans="1:13" ht="15" thickBot="1" x14ac:dyDescent="0.4">
      <c r="A7" s="5">
        <v>1352</v>
      </c>
      <c r="B7" s="5" t="s">
        <v>54</v>
      </c>
      <c r="C7" s="5" t="s">
        <v>22</v>
      </c>
      <c r="D7" s="5" t="s">
        <v>13</v>
      </c>
      <c r="E7" s="5" t="s">
        <v>14</v>
      </c>
      <c r="F7" s="5">
        <v>12</v>
      </c>
      <c r="G7" s="5">
        <v>203</v>
      </c>
      <c r="H7" s="5">
        <v>5</v>
      </c>
      <c r="I7" s="6">
        <v>46024</v>
      </c>
      <c r="J7" s="6">
        <v>46033</v>
      </c>
      <c r="K7" s="10" t="s">
        <v>15</v>
      </c>
      <c r="L7" s="16">
        <f t="shared" si="0"/>
        <v>2314.1999999999998</v>
      </c>
      <c r="M7" s="14" t="str" cm="1">
        <f t="array" ref="M7">_xlfn.IFS(L7&gt;=100000, "Excellent", AND(L7&lt;100000, L7&gt;=50000), "Very Good", AND(L7&lt;50000, L7&gt;=20000), "Good", L7&lt;20000, "Average")</f>
        <v>Average</v>
      </c>
    </row>
    <row r="8" spans="1:13" ht="15" thickBot="1" x14ac:dyDescent="0.4">
      <c r="A8" s="5">
        <v>1156</v>
      </c>
      <c r="B8" s="5" t="s">
        <v>54</v>
      </c>
      <c r="C8" s="5" t="s">
        <v>38</v>
      </c>
      <c r="D8" s="5" t="s">
        <v>13</v>
      </c>
      <c r="E8" s="5" t="s">
        <v>36</v>
      </c>
      <c r="F8" s="5">
        <v>5</v>
      </c>
      <c r="G8" s="5">
        <v>466</v>
      </c>
      <c r="H8" s="5">
        <v>15</v>
      </c>
      <c r="I8" s="6">
        <v>46025</v>
      </c>
      <c r="J8" s="6">
        <v>46029</v>
      </c>
      <c r="K8" s="10" t="s">
        <v>15</v>
      </c>
      <c r="L8" s="16">
        <f t="shared" si="0"/>
        <v>1980.5</v>
      </c>
      <c r="M8" s="14" t="str" cm="1">
        <f t="array" ref="M8">_xlfn.IFS(L8&gt;=100000, "Excellent", AND(L8&lt;100000, L8&gt;=50000), "Very Good", AND(L8&lt;50000, L8&gt;=20000), "Good", L8&lt;20000, "Average")</f>
        <v>Average</v>
      </c>
    </row>
    <row r="9" spans="1:13" ht="15" thickBot="1" x14ac:dyDescent="0.4">
      <c r="A9" s="5">
        <v>1341</v>
      </c>
      <c r="B9" s="5" t="s">
        <v>57</v>
      </c>
      <c r="C9" s="5" t="s">
        <v>38</v>
      </c>
      <c r="D9" s="5" t="s">
        <v>18</v>
      </c>
      <c r="E9" s="5" t="s">
        <v>19</v>
      </c>
      <c r="F9" s="5">
        <v>19</v>
      </c>
      <c r="G9" s="5">
        <v>6488</v>
      </c>
      <c r="H9" s="5">
        <v>15</v>
      </c>
      <c r="I9" s="6">
        <v>46026</v>
      </c>
      <c r="J9" s="6">
        <v>46030</v>
      </c>
      <c r="K9" s="10" t="s">
        <v>20</v>
      </c>
      <c r="L9" s="16">
        <f t="shared" si="0"/>
        <v>104781.2</v>
      </c>
      <c r="M9" s="14" t="str" cm="1">
        <f t="array" ref="M9">_xlfn.IFS(L9&gt;=100000, "Excellent", AND(L9&lt;100000, L9&gt;=50000), "Very Good", AND(L9&lt;50000, L9&gt;=20000), "Good", L9&lt;20000, "Average")</f>
        <v>Excellent</v>
      </c>
    </row>
    <row r="10" spans="1:13" ht="15" thickBot="1" x14ac:dyDescent="0.4">
      <c r="A10" s="5">
        <v>1351</v>
      </c>
      <c r="B10" s="5" t="s">
        <v>42</v>
      </c>
      <c r="C10" s="5" t="s">
        <v>33</v>
      </c>
      <c r="D10" s="5" t="s">
        <v>34</v>
      </c>
      <c r="E10" s="5" t="s">
        <v>45</v>
      </c>
      <c r="F10" s="5">
        <v>12</v>
      </c>
      <c r="G10" s="5">
        <v>1272</v>
      </c>
      <c r="H10" s="5">
        <v>0</v>
      </c>
      <c r="I10" s="6">
        <v>46026</v>
      </c>
      <c r="J10" s="6">
        <v>46029</v>
      </c>
      <c r="K10" s="10" t="s">
        <v>15</v>
      </c>
      <c r="L10" s="16">
        <f t="shared" si="0"/>
        <v>15264</v>
      </c>
      <c r="M10" s="14" t="str" cm="1">
        <f t="array" ref="M10">_xlfn.IFS(L10&gt;=100000, "Excellent", AND(L10&lt;100000, L10&gt;=50000), "Very Good", AND(L10&lt;50000, L10&gt;=20000), "Good", L10&lt;20000, "Average")</f>
        <v>Average</v>
      </c>
    </row>
    <row r="11" spans="1:13" ht="15" thickBot="1" x14ac:dyDescent="0.4">
      <c r="A11" s="5">
        <v>1229</v>
      </c>
      <c r="B11" s="5" t="s">
        <v>57</v>
      </c>
      <c r="C11" s="5" t="s">
        <v>12</v>
      </c>
      <c r="D11" s="5" t="s">
        <v>18</v>
      </c>
      <c r="E11" s="5" t="s">
        <v>56</v>
      </c>
      <c r="F11" s="5">
        <v>14</v>
      </c>
      <c r="G11" s="5">
        <v>5859</v>
      </c>
      <c r="H11" s="5">
        <v>12</v>
      </c>
      <c r="I11" s="6">
        <v>46027</v>
      </c>
      <c r="J11" s="6">
        <v>46036</v>
      </c>
      <c r="K11" s="10" t="s">
        <v>20</v>
      </c>
      <c r="L11" s="16">
        <f t="shared" si="0"/>
        <v>72182.880000000005</v>
      </c>
      <c r="M11" s="14" t="str" cm="1">
        <f t="array" ref="M11">_xlfn.IFS(L11&gt;=100000, "Excellent", AND(L11&lt;100000, L11&gt;=50000), "Very Good", AND(L11&lt;50000, L11&gt;=20000), "Good", L11&lt;20000, "Average")</f>
        <v>Very Good</v>
      </c>
    </row>
    <row r="12" spans="1:13" ht="15" thickBot="1" x14ac:dyDescent="0.4">
      <c r="A12" s="5">
        <v>1100</v>
      </c>
      <c r="B12" s="5" t="s">
        <v>11</v>
      </c>
      <c r="C12" s="5" t="s">
        <v>31</v>
      </c>
      <c r="D12" s="5" t="s">
        <v>13</v>
      </c>
      <c r="E12" s="5" t="s">
        <v>14</v>
      </c>
      <c r="F12" s="5">
        <v>11</v>
      </c>
      <c r="G12" s="5">
        <v>296</v>
      </c>
      <c r="H12" s="5">
        <v>10</v>
      </c>
      <c r="I12" s="6">
        <v>46027</v>
      </c>
      <c r="J12" s="6">
        <v>46031</v>
      </c>
      <c r="K12" s="10" t="s">
        <v>51</v>
      </c>
      <c r="L12" s="16">
        <f t="shared" si="0"/>
        <v>2930.4</v>
      </c>
      <c r="M12" s="14" t="str" cm="1">
        <f t="array" ref="M12">_xlfn.IFS(L12&gt;=100000, "Excellent", AND(L12&lt;100000, L12&gt;=50000), "Very Good", AND(L12&lt;50000, L12&gt;=20000), "Good", L12&lt;20000, "Average")</f>
        <v>Average</v>
      </c>
    </row>
    <row r="13" spans="1:13" ht="15" thickBot="1" x14ac:dyDescent="0.4">
      <c r="A13" s="5">
        <v>1301</v>
      </c>
      <c r="B13" s="5" t="s">
        <v>54</v>
      </c>
      <c r="C13" s="5" t="s">
        <v>17</v>
      </c>
      <c r="D13" s="5" t="s">
        <v>18</v>
      </c>
      <c r="E13" s="5" t="s">
        <v>28</v>
      </c>
      <c r="F13" s="5">
        <v>3</v>
      </c>
      <c r="G13" s="5">
        <v>7020</v>
      </c>
      <c r="H13" s="5">
        <v>10</v>
      </c>
      <c r="I13" s="6">
        <v>46028</v>
      </c>
      <c r="J13" s="6">
        <v>46038</v>
      </c>
      <c r="K13" s="10" t="s">
        <v>24</v>
      </c>
      <c r="L13" s="16">
        <f t="shared" si="0"/>
        <v>18954</v>
      </c>
      <c r="M13" s="14" t="str" cm="1">
        <f t="array" ref="M13">_xlfn.IFS(L13&gt;=100000, "Excellent", AND(L13&lt;100000, L13&gt;=50000), "Very Good", AND(L13&lt;50000, L13&gt;=20000), "Good", L13&lt;20000, "Average")</f>
        <v>Average</v>
      </c>
    </row>
    <row r="14" spans="1:13" ht="15" thickBot="1" x14ac:dyDescent="0.4">
      <c r="A14" s="5">
        <v>1148</v>
      </c>
      <c r="B14" s="5" t="s">
        <v>59</v>
      </c>
      <c r="C14" s="5" t="s">
        <v>33</v>
      </c>
      <c r="D14" s="5" t="s">
        <v>18</v>
      </c>
      <c r="E14" s="5" t="s">
        <v>28</v>
      </c>
      <c r="F14" s="5">
        <v>11</v>
      </c>
      <c r="G14" s="5">
        <v>3023</v>
      </c>
      <c r="H14" s="5">
        <v>7</v>
      </c>
      <c r="I14" s="6">
        <v>46030</v>
      </c>
      <c r="J14" s="6">
        <v>46032</v>
      </c>
      <c r="K14" s="10" t="s">
        <v>24</v>
      </c>
      <c r="L14" s="16">
        <f t="shared" si="0"/>
        <v>30925.289999999997</v>
      </c>
      <c r="M14" s="14" t="str" cm="1">
        <f t="array" ref="M14">_xlfn.IFS(L14&gt;=100000, "Excellent", AND(L14&lt;100000, L14&gt;=50000), "Very Good", AND(L14&lt;50000, L14&gt;=20000), "Good", L14&lt;20000, "Average")</f>
        <v>Good</v>
      </c>
    </row>
    <row r="15" spans="1:13" ht="15" thickBot="1" x14ac:dyDescent="0.4">
      <c r="A15" s="5">
        <v>1038</v>
      </c>
      <c r="B15" s="5" t="s">
        <v>55</v>
      </c>
      <c r="C15" s="5" t="s">
        <v>17</v>
      </c>
      <c r="D15" s="5" t="s">
        <v>13</v>
      </c>
      <c r="E15" s="5" t="s">
        <v>36</v>
      </c>
      <c r="F15" s="5">
        <v>17</v>
      </c>
      <c r="G15" s="5">
        <v>223</v>
      </c>
      <c r="H15" s="5">
        <v>7</v>
      </c>
      <c r="I15" s="6">
        <v>46030</v>
      </c>
      <c r="J15" s="6">
        <v>46031</v>
      </c>
      <c r="K15" s="10" t="s">
        <v>51</v>
      </c>
      <c r="L15" s="16">
        <f t="shared" si="0"/>
        <v>3525.6299999999997</v>
      </c>
      <c r="M15" s="14" t="str" cm="1">
        <f t="array" ref="M15">_xlfn.IFS(L15&gt;=100000, "Excellent", AND(L15&lt;100000, L15&gt;=50000), "Very Good", AND(L15&lt;50000, L15&gt;=20000), "Good", L15&lt;20000, "Average")</f>
        <v>Average</v>
      </c>
    </row>
    <row r="16" spans="1:13" ht="15" thickBot="1" x14ac:dyDescent="0.4">
      <c r="A16" s="5">
        <v>1035</v>
      </c>
      <c r="B16" s="5" t="s">
        <v>49</v>
      </c>
      <c r="C16" s="5" t="s">
        <v>43</v>
      </c>
      <c r="D16" s="5" t="s">
        <v>18</v>
      </c>
      <c r="E16" s="5" t="s">
        <v>56</v>
      </c>
      <c r="F16" s="5">
        <v>3</v>
      </c>
      <c r="G16" s="5">
        <v>9149</v>
      </c>
      <c r="H16" s="5">
        <v>0</v>
      </c>
      <c r="I16" s="6">
        <v>46031</v>
      </c>
      <c r="J16" s="6">
        <v>46034</v>
      </c>
      <c r="K16" s="10" t="s">
        <v>24</v>
      </c>
      <c r="L16" s="16">
        <f t="shared" si="0"/>
        <v>27447</v>
      </c>
      <c r="M16" s="14" t="str" cm="1">
        <f t="array" ref="M16">_xlfn.IFS(L16&gt;=100000, "Excellent", AND(L16&lt;100000, L16&gt;=50000), "Very Good", AND(L16&lt;50000, L16&gt;=20000), "Good", L16&lt;20000, "Average")</f>
        <v>Good</v>
      </c>
    </row>
    <row r="17" spans="1:13" ht="15" thickBot="1" x14ac:dyDescent="0.4">
      <c r="A17" s="5">
        <v>1364</v>
      </c>
      <c r="B17" s="5" t="s">
        <v>30</v>
      </c>
      <c r="C17" s="5" t="s">
        <v>22</v>
      </c>
      <c r="D17" s="5" t="s">
        <v>18</v>
      </c>
      <c r="E17" s="5" t="s">
        <v>56</v>
      </c>
      <c r="F17" s="5">
        <v>16</v>
      </c>
      <c r="G17" s="5">
        <v>1744</v>
      </c>
      <c r="H17" s="5">
        <v>15</v>
      </c>
      <c r="I17" s="6">
        <v>46031</v>
      </c>
      <c r="J17" s="6">
        <v>46033</v>
      </c>
      <c r="K17" s="10" t="s">
        <v>51</v>
      </c>
      <c r="L17" s="16">
        <f t="shared" si="0"/>
        <v>23718.399999999998</v>
      </c>
      <c r="M17" s="14" t="str" cm="1">
        <f t="array" ref="M17">_xlfn.IFS(L17&gt;=100000, "Excellent", AND(L17&lt;100000, L17&gt;=50000), "Very Good", AND(L17&lt;50000, L17&gt;=20000), "Good", L17&lt;20000, "Average")</f>
        <v>Good</v>
      </c>
    </row>
    <row r="18" spans="1:13" ht="15" thickBot="1" x14ac:dyDescent="0.4">
      <c r="A18" s="5">
        <v>1396</v>
      </c>
      <c r="B18" s="5" t="s">
        <v>21</v>
      </c>
      <c r="C18" s="5" t="s">
        <v>38</v>
      </c>
      <c r="D18" s="5" t="s">
        <v>13</v>
      </c>
      <c r="E18" s="5" t="s">
        <v>53</v>
      </c>
      <c r="F18" s="5">
        <v>8</v>
      </c>
      <c r="G18" s="5">
        <v>54</v>
      </c>
      <c r="H18" s="5">
        <v>15</v>
      </c>
      <c r="I18" s="6">
        <v>46031</v>
      </c>
      <c r="J18" s="6">
        <v>46035</v>
      </c>
      <c r="K18" s="10" t="s">
        <v>15</v>
      </c>
      <c r="L18" s="16">
        <f t="shared" si="0"/>
        <v>367.2</v>
      </c>
      <c r="M18" s="14" t="str" cm="1">
        <f t="array" ref="M18">_xlfn.IFS(L18&gt;=100000, "Excellent", AND(L18&lt;100000, L18&gt;=50000), "Very Good", AND(L18&lt;50000, L18&gt;=20000), "Good", L18&lt;20000, "Average")</f>
        <v>Average</v>
      </c>
    </row>
    <row r="19" spans="1:13" ht="15" thickBot="1" x14ac:dyDescent="0.4">
      <c r="A19" s="5">
        <v>1330</v>
      </c>
      <c r="B19" s="5" t="s">
        <v>49</v>
      </c>
      <c r="C19" s="5" t="s">
        <v>17</v>
      </c>
      <c r="D19" s="5" t="s">
        <v>18</v>
      </c>
      <c r="E19" s="5" t="s">
        <v>19</v>
      </c>
      <c r="F19" s="5">
        <v>13</v>
      </c>
      <c r="G19" s="5">
        <v>12071</v>
      </c>
      <c r="H19" s="5">
        <v>0</v>
      </c>
      <c r="I19" s="6">
        <v>46032</v>
      </c>
      <c r="J19" s="6">
        <v>46036</v>
      </c>
      <c r="K19" s="10" t="s">
        <v>51</v>
      </c>
      <c r="L19" s="16">
        <f t="shared" si="0"/>
        <v>156923</v>
      </c>
      <c r="M19" s="14" t="str" cm="1">
        <f t="array" ref="M19">_xlfn.IFS(L19&gt;=100000, "Excellent", AND(L19&lt;100000, L19&gt;=50000), "Very Good", AND(L19&lt;50000, L19&gt;=20000), "Good", L19&lt;20000, "Average")</f>
        <v>Excellent</v>
      </c>
    </row>
    <row r="20" spans="1:13" ht="15" thickBot="1" x14ac:dyDescent="0.4">
      <c r="A20" s="5">
        <v>1037</v>
      </c>
      <c r="B20" s="5" t="s">
        <v>46</v>
      </c>
      <c r="C20" s="5" t="s">
        <v>43</v>
      </c>
      <c r="D20" s="5" t="s">
        <v>18</v>
      </c>
      <c r="E20" s="5" t="s">
        <v>56</v>
      </c>
      <c r="F20" s="5">
        <v>6</v>
      </c>
      <c r="G20" s="5">
        <v>14385</v>
      </c>
      <c r="H20" s="5">
        <v>12</v>
      </c>
      <c r="I20" s="6">
        <v>46033</v>
      </c>
      <c r="J20" s="6">
        <v>46043</v>
      </c>
      <c r="K20" s="10" t="s">
        <v>24</v>
      </c>
      <c r="L20" s="16">
        <f t="shared" si="0"/>
        <v>75952.800000000003</v>
      </c>
      <c r="M20" s="14" t="str" cm="1">
        <f t="array" ref="M20">_xlfn.IFS(L20&gt;=100000, "Excellent", AND(L20&lt;100000, L20&gt;=50000), "Very Good", AND(L20&lt;50000, L20&gt;=20000), "Good", L20&lt;20000, "Average")</f>
        <v>Very Good</v>
      </c>
    </row>
    <row r="21" spans="1:13" ht="15" thickBot="1" x14ac:dyDescent="0.4">
      <c r="A21" s="5">
        <v>1109</v>
      </c>
      <c r="B21" s="5" t="s">
        <v>21</v>
      </c>
      <c r="C21" s="5" t="s">
        <v>31</v>
      </c>
      <c r="D21" s="5" t="s">
        <v>18</v>
      </c>
      <c r="E21" s="5" t="s">
        <v>44</v>
      </c>
      <c r="F21" s="5">
        <v>19</v>
      </c>
      <c r="G21" s="5">
        <v>6512</v>
      </c>
      <c r="H21" s="5">
        <v>10</v>
      </c>
      <c r="I21" s="6">
        <v>46033</v>
      </c>
      <c r="J21" s="6">
        <v>46037</v>
      </c>
      <c r="K21" s="10" t="s">
        <v>20</v>
      </c>
      <c r="L21" s="16">
        <f t="shared" si="0"/>
        <v>111355.2</v>
      </c>
      <c r="M21" s="14" t="str" cm="1">
        <f t="array" ref="M21">_xlfn.IFS(L21&gt;=100000, "Excellent", AND(L21&lt;100000, L21&gt;=50000), "Very Good", AND(L21&lt;50000, L21&gt;=20000), "Good", L21&lt;20000, "Average")</f>
        <v>Excellent</v>
      </c>
    </row>
    <row r="22" spans="1:13" ht="15" thickBot="1" x14ac:dyDescent="0.4">
      <c r="A22" s="5">
        <v>1008</v>
      </c>
      <c r="B22" s="5" t="s">
        <v>30</v>
      </c>
      <c r="C22" s="5" t="s">
        <v>31</v>
      </c>
      <c r="D22" s="5" t="s">
        <v>18</v>
      </c>
      <c r="E22" s="5" t="s">
        <v>28</v>
      </c>
      <c r="F22" s="5">
        <v>1</v>
      </c>
      <c r="G22" s="5">
        <v>1134</v>
      </c>
      <c r="H22" s="5">
        <v>0</v>
      </c>
      <c r="I22" s="6">
        <v>46033</v>
      </c>
      <c r="J22" s="6">
        <v>46041</v>
      </c>
      <c r="K22" s="10" t="s">
        <v>24</v>
      </c>
      <c r="L22" s="16">
        <f t="shared" si="0"/>
        <v>1134</v>
      </c>
      <c r="M22" s="14" t="str" cm="1">
        <f t="array" ref="M22">_xlfn.IFS(L22&gt;=100000, "Excellent", AND(L22&lt;100000, L22&gt;=50000), "Very Good", AND(L22&lt;50000, L22&gt;=20000), "Good", L22&lt;20000, "Average")</f>
        <v>Average</v>
      </c>
    </row>
    <row r="23" spans="1:13" ht="15" thickBot="1" x14ac:dyDescent="0.4">
      <c r="A23" s="5">
        <v>1181</v>
      </c>
      <c r="B23" s="5" t="s">
        <v>58</v>
      </c>
      <c r="C23" s="5" t="s">
        <v>33</v>
      </c>
      <c r="D23" s="5" t="s">
        <v>13</v>
      </c>
      <c r="E23" s="5" t="s">
        <v>36</v>
      </c>
      <c r="F23" s="5">
        <v>4</v>
      </c>
      <c r="G23" s="5">
        <v>357</v>
      </c>
      <c r="H23" s="5">
        <v>2</v>
      </c>
      <c r="I23" s="6">
        <v>46033</v>
      </c>
      <c r="J23" s="6">
        <v>46035</v>
      </c>
      <c r="K23" s="10" t="s">
        <v>15</v>
      </c>
      <c r="L23" s="16">
        <f t="shared" si="0"/>
        <v>1399.44</v>
      </c>
      <c r="M23" s="14" t="str" cm="1">
        <f t="array" ref="M23">_xlfn.IFS(L23&gt;=100000, "Excellent", AND(L23&lt;100000, L23&gt;=50000), "Very Good", AND(L23&lt;50000, L23&gt;=20000), "Good", L23&lt;20000, "Average")</f>
        <v>Average</v>
      </c>
    </row>
    <row r="24" spans="1:13" ht="15" thickBot="1" x14ac:dyDescent="0.4">
      <c r="A24" s="5">
        <v>1205</v>
      </c>
      <c r="B24" s="5" t="s">
        <v>21</v>
      </c>
      <c r="C24" s="5" t="s">
        <v>38</v>
      </c>
      <c r="D24" s="5" t="s">
        <v>13</v>
      </c>
      <c r="E24" s="5" t="s">
        <v>36</v>
      </c>
      <c r="F24" s="5">
        <v>1</v>
      </c>
      <c r="G24" s="5">
        <v>112</v>
      </c>
      <c r="H24" s="5">
        <v>7</v>
      </c>
      <c r="I24" s="6">
        <v>46033</v>
      </c>
      <c r="J24" s="6">
        <v>46040</v>
      </c>
      <c r="K24" s="10" t="s">
        <v>51</v>
      </c>
      <c r="L24" s="16">
        <f t="shared" si="0"/>
        <v>104.16</v>
      </c>
      <c r="M24" s="14" t="str" cm="1">
        <f t="array" ref="M24">_xlfn.IFS(L24&gt;=100000, "Excellent", AND(L24&lt;100000, L24&gt;=50000), "Very Good", AND(L24&lt;50000, L24&gt;=20000), "Good", L24&lt;20000, "Average")</f>
        <v>Average</v>
      </c>
    </row>
    <row r="25" spans="1:13" ht="15" thickBot="1" x14ac:dyDescent="0.4">
      <c r="A25" s="5">
        <v>1004</v>
      </c>
      <c r="B25" s="5" t="s">
        <v>16</v>
      </c>
      <c r="C25" s="5" t="s">
        <v>25</v>
      </c>
      <c r="D25" s="5" t="s">
        <v>18</v>
      </c>
      <c r="E25" s="5" t="s">
        <v>23</v>
      </c>
      <c r="F25" s="5">
        <v>16</v>
      </c>
      <c r="G25" s="5">
        <v>11739</v>
      </c>
      <c r="H25" s="5">
        <v>12</v>
      </c>
      <c r="I25" s="6">
        <v>46034</v>
      </c>
      <c r="J25" s="6">
        <v>46040</v>
      </c>
      <c r="K25" s="10" t="s">
        <v>20</v>
      </c>
      <c r="L25" s="16">
        <f t="shared" si="0"/>
        <v>165285.12</v>
      </c>
      <c r="M25" s="14" t="str" cm="1">
        <f t="array" ref="M25">_xlfn.IFS(L25&gt;=100000, "Excellent", AND(L25&lt;100000, L25&gt;=50000), "Very Good", AND(L25&lt;50000, L25&gt;=20000), "Good", L25&lt;20000, "Average")</f>
        <v>Excellent</v>
      </c>
    </row>
    <row r="26" spans="1:13" ht="15" thickBot="1" x14ac:dyDescent="0.4">
      <c r="A26" s="5">
        <v>1072</v>
      </c>
      <c r="B26" s="5" t="s">
        <v>16</v>
      </c>
      <c r="C26" s="5" t="s">
        <v>25</v>
      </c>
      <c r="D26" s="5" t="s">
        <v>34</v>
      </c>
      <c r="E26" s="5" t="s">
        <v>61</v>
      </c>
      <c r="F26" s="5">
        <v>20</v>
      </c>
      <c r="G26" s="5">
        <v>58779</v>
      </c>
      <c r="H26" s="5">
        <v>0</v>
      </c>
      <c r="I26" s="6">
        <v>46035</v>
      </c>
      <c r="J26" s="6">
        <v>46036</v>
      </c>
      <c r="K26" s="10" t="s">
        <v>24</v>
      </c>
      <c r="L26" s="16">
        <f t="shared" si="0"/>
        <v>1175580</v>
      </c>
      <c r="M26" s="14" t="str" cm="1">
        <f t="array" ref="M26">_xlfn.IFS(L26&gt;=100000, "Excellent", AND(L26&lt;100000, L26&gt;=50000), "Very Good", AND(L26&lt;50000, L26&gt;=20000), "Good", L26&lt;20000, "Average")</f>
        <v>Excellent</v>
      </c>
    </row>
    <row r="27" spans="1:13" ht="15" thickBot="1" x14ac:dyDescent="0.4">
      <c r="A27" s="5">
        <v>1368</v>
      </c>
      <c r="B27" s="5" t="s">
        <v>55</v>
      </c>
      <c r="C27" s="5" t="s">
        <v>38</v>
      </c>
      <c r="D27" s="5" t="s">
        <v>13</v>
      </c>
      <c r="E27" s="5" t="s">
        <v>36</v>
      </c>
      <c r="F27" s="5">
        <v>9</v>
      </c>
      <c r="G27" s="5">
        <v>115</v>
      </c>
      <c r="H27" s="5">
        <v>0</v>
      </c>
      <c r="I27" s="6">
        <v>46036</v>
      </c>
      <c r="J27" s="6">
        <v>46045</v>
      </c>
      <c r="K27" s="10" t="s">
        <v>24</v>
      </c>
      <c r="L27" s="16">
        <f t="shared" si="0"/>
        <v>1035</v>
      </c>
      <c r="M27" s="14" t="str" cm="1">
        <f t="array" ref="M27">_xlfn.IFS(L27&gt;=100000, "Excellent", AND(L27&lt;100000, L27&gt;=50000), "Very Good", AND(L27&lt;50000, L27&gt;=20000), "Good", L27&lt;20000, "Average")</f>
        <v>Average</v>
      </c>
    </row>
    <row r="28" spans="1:13" ht="15" thickBot="1" x14ac:dyDescent="0.4">
      <c r="A28" s="5">
        <v>1347</v>
      </c>
      <c r="B28" s="5" t="s">
        <v>29</v>
      </c>
      <c r="C28" s="5" t="s">
        <v>22</v>
      </c>
      <c r="D28" s="5" t="s">
        <v>34</v>
      </c>
      <c r="E28" s="5" t="s">
        <v>35</v>
      </c>
      <c r="F28" s="5">
        <v>16</v>
      </c>
      <c r="G28" s="5">
        <v>6034</v>
      </c>
      <c r="H28" s="5">
        <v>15</v>
      </c>
      <c r="I28" s="6">
        <v>46037</v>
      </c>
      <c r="J28" s="6">
        <v>46044</v>
      </c>
      <c r="K28" s="10" t="s">
        <v>24</v>
      </c>
      <c r="L28" s="16">
        <f t="shared" si="0"/>
        <v>82062.399999999994</v>
      </c>
      <c r="M28" s="14" t="str" cm="1">
        <f t="array" ref="M28">_xlfn.IFS(L28&gt;=100000, "Excellent", AND(L28&lt;100000, L28&gt;=50000), "Very Good", AND(L28&lt;50000, L28&gt;=20000), "Good", L28&lt;20000, "Average")</f>
        <v>Very Good</v>
      </c>
    </row>
    <row r="29" spans="1:13" ht="15" thickBot="1" x14ac:dyDescent="0.4">
      <c r="A29" s="5">
        <v>1051</v>
      </c>
      <c r="B29" s="5" t="s">
        <v>58</v>
      </c>
      <c r="C29" s="5" t="s">
        <v>17</v>
      </c>
      <c r="D29" s="5" t="s">
        <v>13</v>
      </c>
      <c r="E29" s="5" t="s">
        <v>36</v>
      </c>
      <c r="F29" s="5">
        <v>12</v>
      </c>
      <c r="G29" s="5">
        <v>47</v>
      </c>
      <c r="H29" s="5">
        <v>2</v>
      </c>
      <c r="I29" s="6">
        <v>46037</v>
      </c>
      <c r="J29" s="6">
        <v>46045</v>
      </c>
      <c r="K29" s="10" t="s">
        <v>15</v>
      </c>
      <c r="L29" s="16">
        <f t="shared" si="0"/>
        <v>552.72</v>
      </c>
      <c r="M29" s="14" t="str" cm="1">
        <f t="array" ref="M29">_xlfn.IFS(L29&gt;=100000, "Excellent", AND(L29&lt;100000, L29&gt;=50000), "Very Good", AND(L29&lt;50000, L29&gt;=20000), "Good", L29&lt;20000, "Average")</f>
        <v>Average</v>
      </c>
    </row>
    <row r="30" spans="1:13" ht="15" thickBot="1" x14ac:dyDescent="0.4">
      <c r="A30" s="5">
        <v>1045</v>
      </c>
      <c r="B30" s="5" t="s">
        <v>32</v>
      </c>
      <c r="C30" s="5" t="s">
        <v>38</v>
      </c>
      <c r="D30" s="5" t="s">
        <v>34</v>
      </c>
      <c r="E30" s="5" t="s">
        <v>35</v>
      </c>
      <c r="F30" s="5">
        <v>3</v>
      </c>
      <c r="G30" s="5">
        <v>62762</v>
      </c>
      <c r="H30" s="5">
        <v>7</v>
      </c>
      <c r="I30" s="6">
        <v>46038</v>
      </c>
      <c r="J30" s="6">
        <v>46039</v>
      </c>
      <c r="K30" s="10" t="s">
        <v>29</v>
      </c>
      <c r="L30" s="16">
        <f t="shared" si="0"/>
        <v>175105.97999999998</v>
      </c>
      <c r="M30" s="14" t="str" cm="1">
        <f t="array" ref="M30">_xlfn.IFS(L30&gt;=100000, "Excellent", AND(L30&lt;100000, L30&gt;=50000), "Very Good", AND(L30&lt;50000, L30&gt;=20000), "Good", L30&lt;20000, "Average")</f>
        <v>Excellent</v>
      </c>
    </row>
    <row r="31" spans="1:13" ht="15" thickBot="1" x14ac:dyDescent="0.4">
      <c r="A31" s="5">
        <v>1334</v>
      </c>
      <c r="B31" s="5" t="s">
        <v>40</v>
      </c>
      <c r="C31" s="5" t="s">
        <v>12</v>
      </c>
      <c r="D31" s="5" t="s">
        <v>34</v>
      </c>
      <c r="E31" s="5" t="s">
        <v>41</v>
      </c>
      <c r="F31" s="5">
        <v>15</v>
      </c>
      <c r="G31" s="5">
        <v>39853</v>
      </c>
      <c r="H31" s="5">
        <v>7</v>
      </c>
      <c r="I31" s="6">
        <v>46038</v>
      </c>
      <c r="J31" s="6">
        <v>46047</v>
      </c>
      <c r="K31" s="10" t="s">
        <v>51</v>
      </c>
      <c r="L31" s="16">
        <f t="shared" si="0"/>
        <v>555949.35</v>
      </c>
      <c r="M31" s="14" t="str" cm="1">
        <f t="array" ref="M31">_xlfn.IFS(L31&gt;=100000, "Excellent", AND(L31&lt;100000, L31&gt;=50000), "Very Good", AND(L31&lt;50000, L31&gt;=20000), "Good", L31&lt;20000, "Average")</f>
        <v>Excellent</v>
      </c>
    </row>
    <row r="32" spans="1:13" ht="15" thickBot="1" x14ac:dyDescent="0.4">
      <c r="A32" s="5">
        <v>1069</v>
      </c>
      <c r="B32" s="5" t="s">
        <v>52</v>
      </c>
      <c r="C32" s="5" t="s">
        <v>31</v>
      </c>
      <c r="D32" s="5" t="s">
        <v>18</v>
      </c>
      <c r="E32" s="5" t="s">
        <v>28</v>
      </c>
      <c r="F32" s="5">
        <v>9</v>
      </c>
      <c r="G32" s="5">
        <v>4415</v>
      </c>
      <c r="H32" s="5">
        <v>5</v>
      </c>
      <c r="I32" s="6">
        <v>46039</v>
      </c>
      <c r="J32" s="6">
        <v>46046</v>
      </c>
      <c r="K32" s="10" t="s">
        <v>15</v>
      </c>
      <c r="L32" s="16">
        <f t="shared" si="0"/>
        <v>37748.25</v>
      </c>
      <c r="M32" s="14" t="str" cm="1">
        <f t="array" ref="M32">_xlfn.IFS(L32&gt;=100000, "Excellent", AND(L32&lt;100000, L32&gt;=50000), "Very Good", AND(L32&lt;50000, L32&gt;=20000), "Good", L32&lt;20000, "Average")</f>
        <v>Good</v>
      </c>
    </row>
    <row r="33" spans="1:13" ht="15" thickBot="1" x14ac:dyDescent="0.4">
      <c r="A33" s="5">
        <v>1246</v>
      </c>
      <c r="B33" s="5" t="s">
        <v>55</v>
      </c>
      <c r="C33" s="5" t="s">
        <v>22</v>
      </c>
      <c r="D33" s="5" t="s">
        <v>34</v>
      </c>
      <c r="E33" s="5" t="s">
        <v>35</v>
      </c>
      <c r="F33" s="5">
        <v>13</v>
      </c>
      <c r="G33" s="5">
        <v>1825</v>
      </c>
      <c r="H33" s="5">
        <v>2</v>
      </c>
      <c r="I33" s="6">
        <v>46039</v>
      </c>
      <c r="J33" s="6">
        <v>46045</v>
      </c>
      <c r="K33" s="10" t="s">
        <v>51</v>
      </c>
      <c r="L33" s="16">
        <f t="shared" si="0"/>
        <v>23250.5</v>
      </c>
      <c r="M33" s="14" t="str" cm="1">
        <f t="array" ref="M33">_xlfn.IFS(L33&gt;=100000, "Excellent", AND(L33&lt;100000, L33&gt;=50000), "Very Good", AND(L33&lt;50000, L33&gt;=20000), "Good", L33&lt;20000, "Average")</f>
        <v>Good</v>
      </c>
    </row>
    <row r="34" spans="1:13" ht="15" thickBot="1" x14ac:dyDescent="0.4">
      <c r="A34" s="5">
        <v>1026</v>
      </c>
      <c r="B34" s="5" t="s">
        <v>49</v>
      </c>
      <c r="C34" s="5" t="s">
        <v>31</v>
      </c>
      <c r="D34" s="5" t="s">
        <v>13</v>
      </c>
      <c r="E34" s="5" t="s">
        <v>50</v>
      </c>
      <c r="F34" s="5">
        <v>17</v>
      </c>
      <c r="G34" s="5">
        <v>323</v>
      </c>
      <c r="H34" s="5">
        <v>10</v>
      </c>
      <c r="I34" s="6">
        <v>46039</v>
      </c>
      <c r="J34" s="6">
        <v>46040</v>
      </c>
      <c r="K34" s="10" t="s">
        <v>29</v>
      </c>
      <c r="L34" s="16">
        <f t="shared" si="0"/>
        <v>4941.9000000000005</v>
      </c>
      <c r="M34" s="14" t="str" cm="1">
        <f t="array" ref="M34">_xlfn.IFS(L34&gt;=100000, "Excellent", AND(L34&lt;100000, L34&gt;=50000), "Very Good", AND(L34&lt;50000, L34&gt;=20000), "Good", L34&lt;20000, "Average")</f>
        <v>Average</v>
      </c>
    </row>
    <row r="35" spans="1:13" ht="15" thickBot="1" x14ac:dyDescent="0.4">
      <c r="A35" s="5">
        <v>1260</v>
      </c>
      <c r="B35" s="5" t="s">
        <v>54</v>
      </c>
      <c r="C35" s="5" t="s">
        <v>38</v>
      </c>
      <c r="D35" s="5" t="s">
        <v>34</v>
      </c>
      <c r="E35" s="5" t="s">
        <v>41</v>
      </c>
      <c r="F35" s="5">
        <v>19</v>
      </c>
      <c r="G35" s="5">
        <v>54981</v>
      </c>
      <c r="H35" s="5">
        <v>10</v>
      </c>
      <c r="I35" s="6">
        <v>46040</v>
      </c>
      <c r="J35" s="6">
        <v>46045</v>
      </c>
      <c r="K35" s="10" t="s">
        <v>29</v>
      </c>
      <c r="L35" s="16">
        <f t="shared" si="0"/>
        <v>940175.1</v>
      </c>
      <c r="M35" s="14" t="str" cm="1">
        <f t="array" ref="M35">_xlfn.IFS(L35&gt;=100000, "Excellent", AND(L35&lt;100000, L35&gt;=50000), "Very Good", AND(L35&lt;50000, L35&gt;=20000), "Good", L35&lt;20000, "Average")</f>
        <v>Excellent</v>
      </c>
    </row>
    <row r="36" spans="1:13" ht="15" thickBot="1" x14ac:dyDescent="0.4">
      <c r="A36" s="5">
        <v>1103</v>
      </c>
      <c r="B36" s="5" t="s">
        <v>16</v>
      </c>
      <c r="C36" s="5" t="s">
        <v>12</v>
      </c>
      <c r="D36" s="5" t="s">
        <v>18</v>
      </c>
      <c r="E36" s="5" t="s">
        <v>23</v>
      </c>
      <c r="F36" s="5">
        <v>7</v>
      </c>
      <c r="G36" s="5">
        <v>11925</v>
      </c>
      <c r="H36" s="5">
        <v>5</v>
      </c>
      <c r="I36" s="6">
        <v>46040</v>
      </c>
      <c r="J36" s="6">
        <v>46041</v>
      </c>
      <c r="K36" s="10" t="s">
        <v>29</v>
      </c>
      <c r="L36" s="16">
        <f t="shared" si="0"/>
        <v>79301.25</v>
      </c>
      <c r="M36" s="14" t="str" cm="1">
        <f t="array" ref="M36">_xlfn.IFS(L36&gt;=100000, "Excellent", AND(L36&lt;100000, L36&gt;=50000), "Very Good", AND(L36&lt;50000, L36&gt;=20000), "Good", L36&lt;20000, "Average")</f>
        <v>Very Good</v>
      </c>
    </row>
    <row r="37" spans="1:13" ht="15" thickBot="1" x14ac:dyDescent="0.4">
      <c r="A37" s="5">
        <v>1135</v>
      </c>
      <c r="B37" s="5" t="s">
        <v>49</v>
      </c>
      <c r="C37" s="5" t="s">
        <v>43</v>
      </c>
      <c r="D37" s="5" t="s">
        <v>34</v>
      </c>
      <c r="E37" s="5" t="s">
        <v>39</v>
      </c>
      <c r="F37" s="5">
        <v>14</v>
      </c>
      <c r="G37" s="5">
        <v>68534</v>
      </c>
      <c r="H37" s="5">
        <v>0</v>
      </c>
      <c r="I37" s="6">
        <v>46041</v>
      </c>
      <c r="J37" s="6">
        <v>46042</v>
      </c>
      <c r="K37" s="10" t="s">
        <v>15</v>
      </c>
      <c r="L37" s="16">
        <f t="shared" si="0"/>
        <v>959476</v>
      </c>
      <c r="M37" s="14" t="str" cm="1">
        <f t="array" ref="M37">_xlfn.IFS(L37&gt;=100000, "Excellent", AND(L37&lt;100000, L37&gt;=50000), "Very Good", AND(L37&lt;50000, L37&gt;=20000), "Good", L37&lt;20000, "Average")</f>
        <v>Excellent</v>
      </c>
    </row>
    <row r="38" spans="1:13" ht="15" thickBot="1" x14ac:dyDescent="0.4">
      <c r="A38" s="5">
        <v>1228</v>
      </c>
      <c r="B38" s="5" t="s">
        <v>29</v>
      </c>
      <c r="C38" s="5" t="s">
        <v>25</v>
      </c>
      <c r="D38" s="5" t="s">
        <v>34</v>
      </c>
      <c r="E38" s="5" t="s">
        <v>45</v>
      </c>
      <c r="F38" s="5">
        <v>16</v>
      </c>
      <c r="G38" s="5">
        <v>17477</v>
      </c>
      <c r="H38" s="5">
        <v>10</v>
      </c>
      <c r="I38" s="6">
        <v>46041</v>
      </c>
      <c r="J38" s="6">
        <v>46043</v>
      </c>
      <c r="K38" s="10" t="s">
        <v>24</v>
      </c>
      <c r="L38" s="16">
        <f t="shared" si="0"/>
        <v>251668.80000000002</v>
      </c>
      <c r="M38" s="14" t="str" cm="1">
        <f t="array" ref="M38">_xlfn.IFS(L38&gt;=100000, "Excellent", AND(L38&lt;100000, L38&gt;=50000), "Very Good", AND(L38&lt;50000, L38&gt;=20000), "Good", L38&lt;20000, "Average")</f>
        <v>Excellent</v>
      </c>
    </row>
    <row r="39" spans="1:13" ht="15" thickBot="1" x14ac:dyDescent="0.4">
      <c r="A39" s="5">
        <v>1313</v>
      </c>
      <c r="B39" s="5" t="s">
        <v>59</v>
      </c>
      <c r="C39" s="5" t="s">
        <v>22</v>
      </c>
      <c r="D39" s="5" t="s">
        <v>18</v>
      </c>
      <c r="E39" s="5" t="s">
        <v>56</v>
      </c>
      <c r="F39" s="5">
        <v>6</v>
      </c>
      <c r="G39" s="5">
        <v>10864</v>
      </c>
      <c r="H39" s="5">
        <v>10</v>
      </c>
      <c r="I39" s="6">
        <v>46041</v>
      </c>
      <c r="J39" s="6">
        <v>46049</v>
      </c>
      <c r="K39" s="10" t="s">
        <v>15</v>
      </c>
      <c r="L39" s="16">
        <f t="shared" si="0"/>
        <v>58665.599999999999</v>
      </c>
      <c r="M39" s="14" t="str" cm="1">
        <f t="array" ref="M39">_xlfn.IFS(L39&gt;=100000, "Excellent", AND(L39&lt;100000, L39&gt;=50000), "Very Good", AND(L39&lt;50000, L39&gt;=20000), "Good", L39&lt;20000, "Average")</f>
        <v>Very Good</v>
      </c>
    </row>
    <row r="40" spans="1:13" ht="15" thickBot="1" x14ac:dyDescent="0.4">
      <c r="A40" s="5">
        <v>1208</v>
      </c>
      <c r="B40" s="5" t="s">
        <v>54</v>
      </c>
      <c r="C40" s="5" t="s">
        <v>43</v>
      </c>
      <c r="D40" s="5" t="s">
        <v>18</v>
      </c>
      <c r="E40" s="5" t="s">
        <v>44</v>
      </c>
      <c r="F40" s="5">
        <v>6</v>
      </c>
      <c r="G40" s="5">
        <v>7627</v>
      </c>
      <c r="H40" s="5">
        <v>10</v>
      </c>
      <c r="I40" s="6">
        <v>46042</v>
      </c>
      <c r="J40" s="6">
        <v>46047</v>
      </c>
      <c r="K40" s="10" t="s">
        <v>20</v>
      </c>
      <c r="L40" s="16">
        <f t="shared" si="0"/>
        <v>41185.800000000003</v>
      </c>
      <c r="M40" s="14" t="str" cm="1">
        <f t="array" ref="M40">_xlfn.IFS(L40&gt;=100000, "Excellent", AND(L40&lt;100000, L40&gt;=50000), "Very Good", AND(L40&lt;50000, L40&gt;=20000), "Good", L40&lt;20000, "Average")</f>
        <v>Good</v>
      </c>
    </row>
    <row r="41" spans="1:13" ht="15" thickBot="1" x14ac:dyDescent="0.4">
      <c r="A41" s="5">
        <v>1165</v>
      </c>
      <c r="B41" s="5" t="s">
        <v>48</v>
      </c>
      <c r="C41" s="5" t="s">
        <v>25</v>
      </c>
      <c r="D41" s="5" t="s">
        <v>13</v>
      </c>
      <c r="E41" s="5" t="s">
        <v>37</v>
      </c>
      <c r="F41" s="5">
        <v>1</v>
      </c>
      <c r="G41" s="5">
        <v>427</v>
      </c>
      <c r="H41" s="5">
        <v>0</v>
      </c>
      <c r="I41" s="6">
        <v>46042</v>
      </c>
      <c r="J41" s="6">
        <v>46050</v>
      </c>
      <c r="K41" s="10" t="s">
        <v>51</v>
      </c>
      <c r="L41" s="16">
        <f t="shared" si="0"/>
        <v>427</v>
      </c>
      <c r="M41" s="14" t="str" cm="1">
        <f t="array" ref="M41">_xlfn.IFS(L41&gt;=100000, "Excellent", AND(L41&lt;100000, L41&gt;=50000), "Very Good", AND(L41&lt;50000, L41&gt;=20000), "Good", L41&lt;20000, "Average")</f>
        <v>Average</v>
      </c>
    </row>
    <row r="42" spans="1:13" ht="15" thickBot="1" x14ac:dyDescent="0.4">
      <c r="A42" s="5">
        <v>1304</v>
      </c>
      <c r="B42" s="5" t="s">
        <v>59</v>
      </c>
      <c r="C42" s="5" t="s">
        <v>25</v>
      </c>
      <c r="D42" s="5" t="s">
        <v>13</v>
      </c>
      <c r="E42" s="5" t="s">
        <v>36</v>
      </c>
      <c r="F42" s="5">
        <v>20</v>
      </c>
      <c r="G42" s="5">
        <v>368</v>
      </c>
      <c r="H42" s="5">
        <v>7</v>
      </c>
      <c r="I42" s="6">
        <v>46042</v>
      </c>
      <c r="J42" s="6">
        <v>46051</v>
      </c>
      <c r="K42" s="10" t="s">
        <v>51</v>
      </c>
      <c r="L42" s="16">
        <f t="shared" si="0"/>
        <v>6844.7999999999993</v>
      </c>
      <c r="M42" s="14" t="str" cm="1">
        <f t="array" ref="M42">_xlfn.IFS(L42&gt;=100000, "Excellent", AND(L42&lt;100000, L42&gt;=50000), "Very Good", AND(L42&lt;50000, L42&gt;=20000), "Good", L42&lt;20000, "Average")</f>
        <v>Average</v>
      </c>
    </row>
    <row r="43" spans="1:13" ht="15" thickBot="1" x14ac:dyDescent="0.4">
      <c r="A43" s="5">
        <v>1141</v>
      </c>
      <c r="B43" s="5" t="s">
        <v>11</v>
      </c>
      <c r="C43" s="5" t="s">
        <v>17</v>
      </c>
      <c r="D43" s="5" t="s">
        <v>18</v>
      </c>
      <c r="E43" s="5" t="s">
        <v>44</v>
      </c>
      <c r="F43" s="5">
        <v>20</v>
      </c>
      <c r="G43" s="5">
        <v>6835</v>
      </c>
      <c r="H43" s="5">
        <v>2</v>
      </c>
      <c r="I43" s="6">
        <v>46043</v>
      </c>
      <c r="J43" s="6">
        <v>46053</v>
      </c>
      <c r="K43" s="10" t="s">
        <v>15</v>
      </c>
      <c r="L43" s="16">
        <f t="shared" si="0"/>
        <v>133966</v>
      </c>
      <c r="M43" s="14" t="str" cm="1">
        <f t="array" ref="M43">_xlfn.IFS(L43&gt;=100000, "Excellent", AND(L43&lt;100000, L43&gt;=50000), "Very Good", AND(L43&lt;50000, L43&gt;=20000), "Good", L43&lt;20000, "Average")</f>
        <v>Excellent</v>
      </c>
    </row>
    <row r="44" spans="1:13" ht="15" thickBot="1" x14ac:dyDescent="0.4">
      <c r="A44" s="5">
        <v>1389</v>
      </c>
      <c r="B44" s="5" t="s">
        <v>32</v>
      </c>
      <c r="C44" s="5" t="s">
        <v>12</v>
      </c>
      <c r="D44" s="5" t="s">
        <v>34</v>
      </c>
      <c r="E44" s="5" t="s">
        <v>41</v>
      </c>
      <c r="F44" s="5">
        <v>3</v>
      </c>
      <c r="G44" s="5">
        <v>56380</v>
      </c>
      <c r="H44" s="5">
        <v>5</v>
      </c>
      <c r="I44" s="6">
        <v>46044</v>
      </c>
      <c r="J44" s="6">
        <v>46048</v>
      </c>
      <c r="K44" s="10" t="s">
        <v>51</v>
      </c>
      <c r="L44" s="16">
        <f t="shared" si="0"/>
        <v>160683</v>
      </c>
      <c r="M44" s="14" t="str" cm="1">
        <f t="array" ref="M44">_xlfn.IFS(L44&gt;=100000, "Excellent", AND(L44&lt;100000, L44&gt;=50000), "Very Good", AND(L44&lt;50000, L44&gt;=20000), "Good", L44&lt;20000, "Average")</f>
        <v>Excellent</v>
      </c>
    </row>
    <row r="45" spans="1:13" ht="15" thickBot="1" x14ac:dyDescent="0.4">
      <c r="A45" s="5">
        <v>1226</v>
      </c>
      <c r="B45" s="5" t="s">
        <v>29</v>
      </c>
      <c r="C45" s="5" t="s">
        <v>31</v>
      </c>
      <c r="D45" s="5" t="s">
        <v>34</v>
      </c>
      <c r="E45" s="5" t="s">
        <v>41</v>
      </c>
      <c r="F45" s="5">
        <v>13</v>
      </c>
      <c r="G45" s="5">
        <v>21332</v>
      </c>
      <c r="H45" s="5">
        <v>0</v>
      </c>
      <c r="I45" s="6">
        <v>46044</v>
      </c>
      <c r="J45" s="6">
        <v>46048</v>
      </c>
      <c r="K45" s="10" t="s">
        <v>29</v>
      </c>
      <c r="L45" s="16">
        <f t="shared" si="0"/>
        <v>277316</v>
      </c>
      <c r="M45" s="14" t="str" cm="1">
        <f t="array" ref="M45">_xlfn.IFS(L45&gt;=100000, "Excellent", AND(L45&lt;100000, L45&gt;=50000), "Very Good", AND(L45&lt;50000, L45&gt;=20000), "Good", L45&lt;20000, "Average")</f>
        <v>Excellent</v>
      </c>
    </row>
    <row r="46" spans="1:13" ht="15" thickBot="1" x14ac:dyDescent="0.4">
      <c r="A46" s="5">
        <v>1128</v>
      </c>
      <c r="B46" s="5" t="s">
        <v>30</v>
      </c>
      <c r="C46" s="5" t="s">
        <v>22</v>
      </c>
      <c r="D46" s="5" t="s">
        <v>34</v>
      </c>
      <c r="E46" s="5" t="s">
        <v>61</v>
      </c>
      <c r="F46" s="5">
        <v>6</v>
      </c>
      <c r="G46" s="5">
        <v>5001</v>
      </c>
      <c r="H46" s="5">
        <v>7</v>
      </c>
      <c r="I46" s="6">
        <v>46044</v>
      </c>
      <c r="J46" s="6">
        <v>46050</v>
      </c>
      <c r="K46" s="10" t="s">
        <v>29</v>
      </c>
      <c r="L46" s="16">
        <f t="shared" si="0"/>
        <v>27905.579999999998</v>
      </c>
      <c r="M46" s="14" t="str" cm="1">
        <f t="array" ref="M46">_xlfn.IFS(L46&gt;=100000, "Excellent", AND(L46&lt;100000, L46&gt;=50000), "Very Good", AND(L46&lt;50000, L46&gt;=20000), "Good", L46&lt;20000, "Average")</f>
        <v>Good</v>
      </c>
    </row>
    <row r="47" spans="1:13" ht="15" thickBot="1" x14ac:dyDescent="0.4">
      <c r="A47" s="5">
        <v>1197</v>
      </c>
      <c r="B47" s="5" t="s">
        <v>52</v>
      </c>
      <c r="C47" s="5" t="s">
        <v>31</v>
      </c>
      <c r="D47" s="5" t="s">
        <v>34</v>
      </c>
      <c r="E47" s="5" t="s">
        <v>35</v>
      </c>
      <c r="F47" s="5">
        <v>5</v>
      </c>
      <c r="G47" s="5">
        <v>45352</v>
      </c>
      <c r="H47" s="5">
        <v>12</v>
      </c>
      <c r="I47" s="6">
        <v>46045</v>
      </c>
      <c r="J47" s="6">
        <v>46048</v>
      </c>
      <c r="K47" s="10" t="s">
        <v>15</v>
      </c>
      <c r="L47" s="16">
        <f t="shared" si="0"/>
        <v>199548.79999999999</v>
      </c>
      <c r="M47" s="14" t="str" cm="1">
        <f t="array" ref="M47">_xlfn.IFS(L47&gt;=100000, "Excellent", AND(L47&lt;100000, L47&gt;=50000), "Very Good", AND(L47&lt;50000, L47&gt;=20000), "Good", L47&lt;20000, "Average")</f>
        <v>Excellent</v>
      </c>
    </row>
    <row r="48" spans="1:13" ht="15" thickBot="1" x14ac:dyDescent="0.4">
      <c r="A48" s="5">
        <v>1076</v>
      </c>
      <c r="B48" s="5" t="s">
        <v>29</v>
      </c>
      <c r="C48" s="5" t="s">
        <v>17</v>
      </c>
      <c r="D48" s="5" t="s">
        <v>34</v>
      </c>
      <c r="E48" s="5" t="s">
        <v>35</v>
      </c>
      <c r="F48" s="5">
        <v>19</v>
      </c>
      <c r="G48" s="5">
        <v>26714</v>
      </c>
      <c r="H48" s="5">
        <v>5</v>
      </c>
      <c r="I48" s="6">
        <v>46045</v>
      </c>
      <c r="J48" s="6">
        <v>46055</v>
      </c>
      <c r="K48" s="10" t="s">
        <v>29</v>
      </c>
      <c r="L48" s="16">
        <f t="shared" si="0"/>
        <v>482187.69999999995</v>
      </c>
      <c r="M48" s="14" t="str" cm="1">
        <f t="array" ref="M48">_xlfn.IFS(L48&gt;=100000, "Excellent", AND(L48&lt;100000, L48&gt;=50000), "Very Good", AND(L48&lt;50000, L48&gt;=20000), "Good", L48&lt;20000, "Average")</f>
        <v>Excellent</v>
      </c>
    </row>
    <row r="49" spans="1:13" ht="15" thickBot="1" x14ac:dyDescent="0.4">
      <c r="A49" s="5">
        <v>1224</v>
      </c>
      <c r="B49" s="5" t="s">
        <v>30</v>
      </c>
      <c r="C49" s="5" t="s">
        <v>38</v>
      </c>
      <c r="D49" s="5" t="s">
        <v>34</v>
      </c>
      <c r="E49" s="5" t="s">
        <v>45</v>
      </c>
      <c r="F49" s="5">
        <v>16</v>
      </c>
      <c r="G49" s="5">
        <v>18378</v>
      </c>
      <c r="H49" s="5">
        <v>10</v>
      </c>
      <c r="I49" s="6">
        <v>46045</v>
      </c>
      <c r="J49" s="6">
        <v>46052</v>
      </c>
      <c r="K49" s="10" t="s">
        <v>24</v>
      </c>
      <c r="L49" s="16">
        <f t="shared" si="0"/>
        <v>264643.20000000001</v>
      </c>
      <c r="M49" s="14" t="str" cm="1">
        <f t="array" ref="M49">_xlfn.IFS(L49&gt;=100000, "Excellent", AND(L49&lt;100000, L49&gt;=50000), "Very Good", AND(L49&lt;50000, L49&gt;=20000), "Good", L49&lt;20000, "Average")</f>
        <v>Excellent</v>
      </c>
    </row>
    <row r="50" spans="1:13" ht="15" thickBot="1" x14ac:dyDescent="0.4">
      <c r="A50" s="5">
        <v>1293</v>
      </c>
      <c r="B50" s="5" t="s">
        <v>49</v>
      </c>
      <c r="C50" s="5" t="s">
        <v>43</v>
      </c>
      <c r="D50" s="5" t="s">
        <v>18</v>
      </c>
      <c r="E50" s="5" t="s">
        <v>23</v>
      </c>
      <c r="F50" s="5">
        <v>7</v>
      </c>
      <c r="G50" s="5">
        <v>11481</v>
      </c>
      <c r="H50" s="5">
        <v>15</v>
      </c>
      <c r="I50" s="6">
        <v>46045</v>
      </c>
      <c r="J50" s="6">
        <v>46050</v>
      </c>
      <c r="K50" s="10" t="s">
        <v>20</v>
      </c>
      <c r="L50" s="16">
        <f t="shared" si="0"/>
        <v>68311.95</v>
      </c>
      <c r="M50" s="14" t="str" cm="1">
        <f t="array" ref="M50">_xlfn.IFS(L50&gt;=100000, "Excellent", AND(L50&lt;100000, L50&gt;=50000), "Very Good", AND(L50&lt;50000, L50&gt;=20000), "Good", L50&lt;20000, "Average")</f>
        <v>Very Good</v>
      </c>
    </row>
    <row r="51" spans="1:13" ht="15" thickBot="1" x14ac:dyDescent="0.4">
      <c r="A51" s="5">
        <v>1086</v>
      </c>
      <c r="B51" s="5" t="s">
        <v>32</v>
      </c>
      <c r="C51" s="5" t="s">
        <v>12</v>
      </c>
      <c r="D51" s="5" t="s">
        <v>13</v>
      </c>
      <c r="E51" s="5" t="s">
        <v>53</v>
      </c>
      <c r="F51" s="5">
        <v>15</v>
      </c>
      <c r="G51" s="5">
        <v>40</v>
      </c>
      <c r="H51" s="5">
        <v>10</v>
      </c>
      <c r="I51" s="6">
        <v>46045</v>
      </c>
      <c r="J51" s="6">
        <v>46049</v>
      </c>
      <c r="K51" s="10" t="s">
        <v>24</v>
      </c>
      <c r="L51" s="16">
        <f t="shared" si="0"/>
        <v>540</v>
      </c>
      <c r="M51" s="14" t="str" cm="1">
        <f t="array" ref="M51">_xlfn.IFS(L51&gt;=100000, "Excellent", AND(L51&lt;100000, L51&gt;=50000), "Very Good", AND(L51&lt;50000, L51&gt;=20000), "Good", L51&lt;20000, "Average")</f>
        <v>Average</v>
      </c>
    </row>
    <row r="52" spans="1:13" ht="15" thickBot="1" x14ac:dyDescent="0.4">
      <c r="A52" s="5">
        <v>1029</v>
      </c>
      <c r="B52" s="5" t="s">
        <v>30</v>
      </c>
      <c r="C52" s="5" t="s">
        <v>25</v>
      </c>
      <c r="D52" s="5" t="s">
        <v>13</v>
      </c>
      <c r="E52" s="5" t="s">
        <v>36</v>
      </c>
      <c r="F52" s="5">
        <v>18</v>
      </c>
      <c r="G52" s="5">
        <v>443</v>
      </c>
      <c r="H52" s="5">
        <v>5</v>
      </c>
      <c r="I52" s="6">
        <v>46046</v>
      </c>
      <c r="J52" s="6">
        <v>46054</v>
      </c>
      <c r="K52" s="10" t="s">
        <v>24</v>
      </c>
      <c r="L52" s="16">
        <f t="shared" si="0"/>
        <v>7575.2999999999993</v>
      </c>
      <c r="M52" s="14" t="str" cm="1">
        <f t="array" ref="M52">_xlfn.IFS(L52&gt;=100000, "Excellent", AND(L52&lt;100000, L52&gt;=50000), "Very Good", AND(L52&lt;50000, L52&gt;=20000), "Good", L52&lt;20000, "Average")</f>
        <v>Average</v>
      </c>
    </row>
    <row r="53" spans="1:13" ht="15" thickBot="1" x14ac:dyDescent="0.4">
      <c r="A53" s="5">
        <v>1366</v>
      </c>
      <c r="B53" s="5" t="s">
        <v>26</v>
      </c>
      <c r="C53" s="5" t="s">
        <v>17</v>
      </c>
      <c r="D53" s="5" t="s">
        <v>34</v>
      </c>
      <c r="E53" s="5" t="s">
        <v>61</v>
      </c>
      <c r="F53" s="5">
        <v>20</v>
      </c>
      <c r="G53" s="5">
        <v>44312</v>
      </c>
      <c r="H53" s="5">
        <v>10</v>
      </c>
      <c r="I53" s="6">
        <v>46047</v>
      </c>
      <c r="J53" s="6">
        <v>46054</v>
      </c>
      <c r="K53" s="10" t="s">
        <v>29</v>
      </c>
      <c r="L53" s="16">
        <f t="shared" si="0"/>
        <v>797616</v>
      </c>
      <c r="M53" s="14" t="str" cm="1">
        <f t="array" ref="M53">_xlfn.IFS(L53&gt;=100000, "Excellent", AND(L53&lt;100000, L53&gt;=50000), "Very Good", AND(L53&lt;50000, L53&gt;=20000), "Good", L53&lt;20000, "Average")</f>
        <v>Excellent</v>
      </c>
    </row>
    <row r="54" spans="1:13" ht="15" thickBot="1" x14ac:dyDescent="0.4">
      <c r="A54" s="5">
        <v>1393</v>
      </c>
      <c r="B54" s="5" t="s">
        <v>30</v>
      </c>
      <c r="C54" s="5" t="s">
        <v>25</v>
      </c>
      <c r="D54" s="5" t="s">
        <v>34</v>
      </c>
      <c r="E54" s="5" t="s">
        <v>45</v>
      </c>
      <c r="F54" s="5">
        <v>17</v>
      </c>
      <c r="G54" s="5">
        <v>30351</v>
      </c>
      <c r="H54" s="5">
        <v>15</v>
      </c>
      <c r="I54" s="6">
        <v>46047</v>
      </c>
      <c r="J54" s="6">
        <v>46051</v>
      </c>
      <c r="K54" s="10" t="s">
        <v>51</v>
      </c>
      <c r="L54" s="16">
        <f t="shared" si="0"/>
        <v>438571.95</v>
      </c>
      <c r="M54" s="14" t="str" cm="1">
        <f t="array" ref="M54">_xlfn.IFS(L54&gt;=100000, "Excellent", AND(L54&lt;100000, L54&gt;=50000), "Very Good", AND(L54&lt;50000, L54&gt;=20000), "Good", L54&lt;20000, "Average")</f>
        <v>Excellent</v>
      </c>
    </row>
    <row r="55" spans="1:13" ht="15" thickBot="1" x14ac:dyDescent="0.4">
      <c r="A55" s="5">
        <v>1084</v>
      </c>
      <c r="B55" s="5" t="s">
        <v>49</v>
      </c>
      <c r="C55" s="5" t="s">
        <v>31</v>
      </c>
      <c r="D55" s="5" t="s">
        <v>18</v>
      </c>
      <c r="E55" s="5" t="s">
        <v>28</v>
      </c>
      <c r="F55" s="5">
        <v>4</v>
      </c>
      <c r="G55" s="5">
        <v>6901</v>
      </c>
      <c r="H55" s="5">
        <v>10</v>
      </c>
      <c r="I55" s="6">
        <v>46047</v>
      </c>
      <c r="J55" s="6">
        <v>46057</v>
      </c>
      <c r="K55" s="10" t="s">
        <v>20</v>
      </c>
      <c r="L55" s="16">
        <f t="shared" si="0"/>
        <v>24843.600000000002</v>
      </c>
      <c r="M55" s="14" t="str" cm="1">
        <f t="array" ref="M55">_xlfn.IFS(L55&gt;=100000, "Excellent", AND(L55&lt;100000, L55&gt;=50000), "Very Good", AND(L55&lt;50000, L55&gt;=20000), "Good", L55&lt;20000, "Average")</f>
        <v>Good</v>
      </c>
    </row>
    <row r="56" spans="1:13" ht="15" thickBot="1" x14ac:dyDescent="0.4">
      <c r="A56" s="5">
        <v>1385</v>
      </c>
      <c r="B56" s="5" t="s">
        <v>26</v>
      </c>
      <c r="C56" s="5" t="s">
        <v>33</v>
      </c>
      <c r="D56" s="5" t="s">
        <v>34</v>
      </c>
      <c r="E56" s="5" t="s">
        <v>39</v>
      </c>
      <c r="F56" s="5">
        <v>12</v>
      </c>
      <c r="G56" s="5">
        <v>61360</v>
      </c>
      <c r="H56" s="5">
        <v>10</v>
      </c>
      <c r="I56" s="6">
        <v>46048</v>
      </c>
      <c r="J56" s="6">
        <v>46053</v>
      </c>
      <c r="K56" s="10" t="s">
        <v>51</v>
      </c>
      <c r="L56" s="16">
        <f t="shared" si="0"/>
        <v>662688</v>
      </c>
      <c r="M56" s="14" t="str" cm="1">
        <f t="array" ref="M56">_xlfn.IFS(L56&gt;=100000, "Excellent", AND(L56&lt;100000, L56&gt;=50000), "Very Good", AND(L56&lt;50000, L56&gt;=20000), "Good", L56&lt;20000, "Average")</f>
        <v>Excellent</v>
      </c>
    </row>
    <row r="57" spans="1:13" ht="15" thickBot="1" x14ac:dyDescent="0.4">
      <c r="A57" s="5">
        <v>1176</v>
      </c>
      <c r="B57" s="5" t="s">
        <v>58</v>
      </c>
      <c r="C57" s="5" t="s">
        <v>38</v>
      </c>
      <c r="D57" s="5" t="s">
        <v>34</v>
      </c>
      <c r="E57" s="5" t="s">
        <v>41</v>
      </c>
      <c r="F57" s="5">
        <v>17</v>
      </c>
      <c r="G57" s="5">
        <v>46937</v>
      </c>
      <c r="H57" s="5">
        <v>12</v>
      </c>
      <c r="I57" s="6">
        <v>46048</v>
      </c>
      <c r="J57" s="6">
        <v>46056</v>
      </c>
      <c r="K57" s="10" t="s">
        <v>29</v>
      </c>
      <c r="L57" s="16">
        <f t="shared" si="0"/>
        <v>702177.52</v>
      </c>
      <c r="M57" s="14" t="str" cm="1">
        <f t="array" ref="M57">_xlfn.IFS(L57&gt;=100000, "Excellent", AND(L57&lt;100000, L57&gt;=50000), "Very Good", AND(L57&lt;50000, L57&gt;=20000), "Good", L57&lt;20000, "Average")</f>
        <v>Excellent</v>
      </c>
    </row>
    <row r="58" spans="1:13" ht="15" thickBot="1" x14ac:dyDescent="0.4">
      <c r="A58" s="5">
        <v>1307</v>
      </c>
      <c r="B58" s="5" t="s">
        <v>57</v>
      </c>
      <c r="C58" s="5" t="s">
        <v>43</v>
      </c>
      <c r="D58" s="5" t="s">
        <v>34</v>
      </c>
      <c r="E58" s="5" t="s">
        <v>35</v>
      </c>
      <c r="F58" s="5">
        <v>18</v>
      </c>
      <c r="G58" s="5">
        <v>7541</v>
      </c>
      <c r="H58" s="5">
        <v>12</v>
      </c>
      <c r="I58" s="6">
        <v>46048</v>
      </c>
      <c r="J58" s="6">
        <v>46051</v>
      </c>
      <c r="K58" s="10" t="s">
        <v>51</v>
      </c>
      <c r="L58" s="16">
        <f t="shared" si="0"/>
        <v>119449.44</v>
      </c>
      <c r="M58" s="14" t="str" cm="1">
        <f t="array" ref="M58">_xlfn.IFS(L58&gt;=100000, "Excellent", AND(L58&lt;100000, L58&gt;=50000), "Very Good", AND(L58&lt;50000, L58&gt;=20000), "Good", L58&lt;20000, "Average")</f>
        <v>Excellent</v>
      </c>
    </row>
    <row r="59" spans="1:13" ht="15" thickBot="1" x14ac:dyDescent="0.4">
      <c r="A59" s="5">
        <v>1348</v>
      </c>
      <c r="B59" s="5" t="s">
        <v>11</v>
      </c>
      <c r="C59" s="5" t="s">
        <v>33</v>
      </c>
      <c r="D59" s="5" t="s">
        <v>13</v>
      </c>
      <c r="E59" s="5" t="s">
        <v>50</v>
      </c>
      <c r="F59" s="5">
        <v>12</v>
      </c>
      <c r="G59" s="5">
        <v>244</v>
      </c>
      <c r="H59" s="5">
        <v>7</v>
      </c>
      <c r="I59" s="6">
        <v>46048</v>
      </c>
      <c r="J59" s="6">
        <v>46053</v>
      </c>
      <c r="K59" s="10" t="s">
        <v>15</v>
      </c>
      <c r="L59" s="16">
        <f t="shared" si="0"/>
        <v>2723.04</v>
      </c>
      <c r="M59" s="14" t="str" cm="1">
        <f t="array" ref="M59">_xlfn.IFS(L59&gt;=100000, "Excellent", AND(L59&lt;100000, L59&gt;=50000), "Very Good", AND(L59&lt;50000, L59&gt;=20000), "Good", L59&lt;20000, "Average")</f>
        <v>Average</v>
      </c>
    </row>
    <row r="60" spans="1:13" ht="15" thickBot="1" x14ac:dyDescent="0.4">
      <c r="A60" s="5">
        <v>1092</v>
      </c>
      <c r="B60" s="5" t="s">
        <v>21</v>
      </c>
      <c r="C60" s="5" t="s">
        <v>22</v>
      </c>
      <c r="D60" s="5" t="s">
        <v>34</v>
      </c>
      <c r="E60" s="5" t="s">
        <v>41</v>
      </c>
      <c r="F60" s="5">
        <v>9</v>
      </c>
      <c r="G60" s="5">
        <v>23438</v>
      </c>
      <c r="H60" s="5">
        <v>2</v>
      </c>
      <c r="I60" s="6">
        <v>46049</v>
      </c>
      <c r="J60" s="6">
        <v>46055</v>
      </c>
      <c r="K60" s="10" t="s">
        <v>29</v>
      </c>
      <c r="L60" s="16">
        <f t="shared" si="0"/>
        <v>206723.16</v>
      </c>
      <c r="M60" s="14" t="str" cm="1">
        <f t="array" ref="M60">_xlfn.IFS(L60&gt;=100000, "Excellent", AND(L60&lt;100000, L60&gt;=50000), "Very Good", AND(L60&lt;50000, L60&gt;=20000), "Good", L60&lt;20000, "Average")</f>
        <v>Excellent</v>
      </c>
    </row>
    <row r="61" spans="1:13" ht="15" thickBot="1" x14ac:dyDescent="0.4">
      <c r="A61" s="5">
        <v>1116</v>
      </c>
      <c r="B61" s="5" t="s">
        <v>16</v>
      </c>
      <c r="C61" s="5" t="s">
        <v>25</v>
      </c>
      <c r="D61" s="5" t="s">
        <v>18</v>
      </c>
      <c r="E61" s="5" t="s">
        <v>56</v>
      </c>
      <c r="F61" s="5">
        <v>2</v>
      </c>
      <c r="G61" s="5">
        <v>12692</v>
      </c>
      <c r="H61" s="5">
        <v>15</v>
      </c>
      <c r="I61" s="6">
        <v>46049</v>
      </c>
      <c r="J61" s="6">
        <v>46051</v>
      </c>
      <c r="K61" s="10" t="s">
        <v>15</v>
      </c>
      <c r="L61" s="16">
        <f t="shared" si="0"/>
        <v>21576.399999999998</v>
      </c>
      <c r="M61" s="14" t="str" cm="1">
        <f t="array" ref="M61">_xlfn.IFS(L61&gt;=100000, "Excellent", AND(L61&lt;100000, L61&gt;=50000), "Very Good", AND(L61&lt;50000, L61&gt;=20000), "Good", L61&lt;20000, "Average")</f>
        <v>Good</v>
      </c>
    </row>
    <row r="62" spans="1:13" ht="15" thickBot="1" x14ac:dyDescent="0.4">
      <c r="A62" s="5">
        <v>1230</v>
      </c>
      <c r="B62" s="5" t="s">
        <v>59</v>
      </c>
      <c r="C62" s="5" t="s">
        <v>33</v>
      </c>
      <c r="D62" s="5" t="s">
        <v>34</v>
      </c>
      <c r="E62" s="5" t="s">
        <v>60</v>
      </c>
      <c r="F62" s="5">
        <v>7</v>
      </c>
      <c r="G62" s="5">
        <v>2932</v>
      </c>
      <c r="H62" s="5">
        <v>7</v>
      </c>
      <c r="I62" s="6">
        <v>46050</v>
      </c>
      <c r="J62" s="6">
        <v>46059</v>
      </c>
      <c r="K62" s="10" t="s">
        <v>24</v>
      </c>
      <c r="L62" s="16">
        <f t="shared" si="0"/>
        <v>19087.32</v>
      </c>
      <c r="M62" s="14" t="str" cm="1">
        <f t="array" ref="M62">_xlfn.IFS(L62&gt;=100000, "Excellent", AND(L62&lt;100000, L62&gt;=50000), "Very Good", AND(L62&lt;50000, L62&gt;=20000), "Good", L62&lt;20000, "Average")</f>
        <v>Average</v>
      </c>
    </row>
    <row r="63" spans="1:13" ht="15" thickBot="1" x14ac:dyDescent="0.4">
      <c r="A63" s="5">
        <v>1173</v>
      </c>
      <c r="B63" s="5" t="s">
        <v>40</v>
      </c>
      <c r="C63" s="5" t="s">
        <v>17</v>
      </c>
      <c r="D63" s="5" t="s">
        <v>13</v>
      </c>
      <c r="E63" s="5" t="s">
        <v>37</v>
      </c>
      <c r="F63" s="5">
        <v>15</v>
      </c>
      <c r="G63" s="5">
        <v>214</v>
      </c>
      <c r="H63" s="5">
        <v>10</v>
      </c>
      <c r="I63" s="6">
        <v>46050</v>
      </c>
      <c r="J63" s="6">
        <v>46060</v>
      </c>
      <c r="K63" s="10" t="s">
        <v>51</v>
      </c>
      <c r="L63" s="16">
        <f t="shared" si="0"/>
        <v>2889</v>
      </c>
      <c r="M63" s="14" t="str" cm="1">
        <f t="array" ref="M63">_xlfn.IFS(L63&gt;=100000, "Excellent", AND(L63&lt;100000, L63&gt;=50000), "Very Good", AND(L63&lt;50000, L63&gt;=20000), "Good", L63&lt;20000, "Average")</f>
        <v>Average</v>
      </c>
    </row>
    <row r="64" spans="1:13" ht="15" thickBot="1" x14ac:dyDescent="0.4">
      <c r="A64" s="5">
        <v>1250</v>
      </c>
      <c r="B64" s="5" t="s">
        <v>11</v>
      </c>
      <c r="C64" s="5" t="s">
        <v>17</v>
      </c>
      <c r="D64" s="5" t="s">
        <v>34</v>
      </c>
      <c r="E64" s="5" t="s">
        <v>45</v>
      </c>
      <c r="F64" s="5">
        <v>2</v>
      </c>
      <c r="G64" s="5">
        <v>65953</v>
      </c>
      <c r="H64" s="5">
        <v>7</v>
      </c>
      <c r="I64" s="6">
        <v>46051</v>
      </c>
      <c r="J64" s="6">
        <v>46053</v>
      </c>
      <c r="K64" s="10" t="s">
        <v>29</v>
      </c>
      <c r="L64" s="16">
        <f t="shared" si="0"/>
        <v>122672.57999999999</v>
      </c>
      <c r="M64" s="14" t="str" cm="1">
        <f t="array" ref="M64">_xlfn.IFS(L64&gt;=100000, "Excellent", AND(L64&lt;100000, L64&gt;=50000), "Very Good", AND(L64&lt;50000, L64&gt;=20000), "Good", L64&lt;20000, "Average")</f>
        <v>Excellent</v>
      </c>
    </row>
    <row r="65" spans="1:13" ht="15" thickBot="1" x14ac:dyDescent="0.4">
      <c r="A65" s="5">
        <v>1375</v>
      </c>
      <c r="B65" s="5" t="s">
        <v>46</v>
      </c>
      <c r="C65" s="5" t="s">
        <v>43</v>
      </c>
      <c r="D65" s="5" t="s">
        <v>34</v>
      </c>
      <c r="E65" s="5" t="s">
        <v>45</v>
      </c>
      <c r="F65" s="5">
        <v>20</v>
      </c>
      <c r="G65" s="5">
        <v>56766</v>
      </c>
      <c r="H65" s="5">
        <v>0</v>
      </c>
      <c r="I65" s="6">
        <v>46052</v>
      </c>
      <c r="J65" s="6">
        <v>46061</v>
      </c>
      <c r="K65" s="10" t="s">
        <v>24</v>
      </c>
      <c r="L65" s="16">
        <f t="shared" si="0"/>
        <v>1135320</v>
      </c>
      <c r="M65" s="14" t="str" cm="1">
        <f t="array" ref="M65">_xlfn.IFS(L65&gt;=100000, "Excellent", AND(L65&lt;100000, L65&gt;=50000), "Very Good", AND(L65&lt;50000, L65&gt;=20000), "Good", L65&lt;20000, "Average")</f>
        <v>Excellent</v>
      </c>
    </row>
    <row r="66" spans="1:13" ht="15" thickBot="1" x14ac:dyDescent="0.4">
      <c r="A66" s="5">
        <v>1190</v>
      </c>
      <c r="B66" s="5" t="s">
        <v>57</v>
      </c>
      <c r="C66" s="5" t="s">
        <v>17</v>
      </c>
      <c r="D66" s="5" t="s">
        <v>18</v>
      </c>
      <c r="E66" s="5" t="s">
        <v>28</v>
      </c>
      <c r="F66" s="5">
        <v>4</v>
      </c>
      <c r="G66" s="5">
        <v>10154</v>
      </c>
      <c r="H66" s="5">
        <v>7</v>
      </c>
      <c r="I66" s="6">
        <v>46052</v>
      </c>
      <c r="J66" s="6">
        <v>46062</v>
      </c>
      <c r="K66" s="10" t="s">
        <v>20</v>
      </c>
      <c r="L66" s="16">
        <f t="shared" si="0"/>
        <v>37772.879999999997</v>
      </c>
      <c r="M66" s="14" t="str" cm="1">
        <f t="array" ref="M66">_xlfn.IFS(L66&gt;=100000, "Excellent", AND(L66&lt;100000, L66&gt;=50000), "Very Good", AND(L66&lt;50000, L66&gt;=20000), "Good", L66&lt;20000, "Average")</f>
        <v>Good</v>
      </c>
    </row>
    <row r="67" spans="1:13" ht="15" thickBot="1" x14ac:dyDescent="0.4">
      <c r="A67" s="5">
        <v>1034</v>
      </c>
      <c r="B67" s="5" t="s">
        <v>55</v>
      </c>
      <c r="C67" s="5" t="s">
        <v>33</v>
      </c>
      <c r="D67" s="5" t="s">
        <v>18</v>
      </c>
      <c r="E67" s="5" t="s">
        <v>28</v>
      </c>
      <c r="F67" s="5">
        <v>17</v>
      </c>
      <c r="G67" s="5">
        <v>5104</v>
      </c>
      <c r="H67" s="5">
        <v>12</v>
      </c>
      <c r="I67" s="6">
        <v>46052</v>
      </c>
      <c r="J67" s="6">
        <v>46061</v>
      </c>
      <c r="K67" s="10" t="s">
        <v>51</v>
      </c>
      <c r="L67" s="16">
        <f t="shared" ref="L67:L130" si="1">F67*G67*(1-H67/100)</f>
        <v>76355.839999999997</v>
      </c>
      <c r="M67" s="14" t="str" cm="1">
        <f t="array" ref="M67">_xlfn.IFS(L67&gt;=100000, "Excellent", AND(L67&lt;100000, L67&gt;=50000), "Very Good", AND(L67&lt;50000, L67&gt;=20000), "Good", L67&lt;20000, "Average")</f>
        <v>Very Good</v>
      </c>
    </row>
    <row r="68" spans="1:13" ht="15" thickBot="1" x14ac:dyDescent="0.4">
      <c r="A68" s="5">
        <v>1210</v>
      </c>
      <c r="B68" s="5" t="s">
        <v>30</v>
      </c>
      <c r="C68" s="5" t="s">
        <v>31</v>
      </c>
      <c r="D68" s="5" t="s">
        <v>13</v>
      </c>
      <c r="E68" s="5" t="s">
        <v>53</v>
      </c>
      <c r="F68" s="5">
        <v>10</v>
      </c>
      <c r="G68" s="5">
        <v>349</v>
      </c>
      <c r="H68" s="5">
        <v>0</v>
      </c>
      <c r="I68" s="6">
        <v>46052</v>
      </c>
      <c r="J68" s="6">
        <v>46060</v>
      </c>
      <c r="K68" s="10" t="s">
        <v>29</v>
      </c>
      <c r="L68" s="16">
        <f t="shared" si="1"/>
        <v>3490</v>
      </c>
      <c r="M68" s="14" t="str" cm="1">
        <f t="array" ref="M68">_xlfn.IFS(L68&gt;=100000, "Excellent", AND(L68&lt;100000, L68&gt;=50000), "Very Good", AND(L68&lt;50000, L68&gt;=20000), "Good", L68&lt;20000, "Average")</f>
        <v>Average</v>
      </c>
    </row>
    <row r="69" spans="1:13" ht="15" thickBot="1" x14ac:dyDescent="0.4">
      <c r="A69" s="5">
        <v>1149</v>
      </c>
      <c r="B69" s="5" t="s">
        <v>26</v>
      </c>
      <c r="C69" s="5" t="s">
        <v>38</v>
      </c>
      <c r="D69" s="5" t="s">
        <v>34</v>
      </c>
      <c r="E69" s="5" t="s">
        <v>35</v>
      </c>
      <c r="F69" s="5">
        <v>10</v>
      </c>
      <c r="G69" s="5">
        <v>22853</v>
      </c>
      <c r="H69" s="5">
        <v>7</v>
      </c>
      <c r="I69" s="6">
        <v>46053</v>
      </c>
      <c r="J69" s="6">
        <v>46054</v>
      </c>
      <c r="K69" s="10" t="s">
        <v>29</v>
      </c>
      <c r="L69" s="16">
        <f t="shared" si="1"/>
        <v>212532.9</v>
      </c>
      <c r="M69" s="14" t="str" cm="1">
        <f t="array" ref="M69">_xlfn.IFS(L69&gt;=100000, "Excellent", AND(L69&lt;100000, L69&gt;=50000), "Very Good", AND(L69&lt;50000, L69&gt;=20000), "Good", L69&lt;20000, "Average")</f>
        <v>Excellent</v>
      </c>
    </row>
    <row r="70" spans="1:13" ht="15" thickBot="1" x14ac:dyDescent="0.4">
      <c r="A70" s="5">
        <v>1324</v>
      </c>
      <c r="B70" s="5" t="s">
        <v>32</v>
      </c>
      <c r="C70" s="5" t="s">
        <v>22</v>
      </c>
      <c r="D70" s="5" t="s">
        <v>18</v>
      </c>
      <c r="E70" s="5" t="s">
        <v>19</v>
      </c>
      <c r="F70" s="5">
        <v>1</v>
      </c>
      <c r="G70" s="5">
        <v>4286</v>
      </c>
      <c r="H70" s="5">
        <v>15</v>
      </c>
      <c r="I70" s="6">
        <v>46053</v>
      </c>
      <c r="J70" s="6">
        <v>46056</v>
      </c>
      <c r="K70" s="10" t="s">
        <v>20</v>
      </c>
      <c r="L70" s="16">
        <f t="shared" si="1"/>
        <v>3643.1</v>
      </c>
      <c r="M70" s="14" t="str" cm="1">
        <f t="array" ref="M70">_xlfn.IFS(L70&gt;=100000, "Excellent", AND(L70&lt;100000, L70&gt;=50000), "Very Good", AND(L70&lt;50000, L70&gt;=20000), "Good", L70&lt;20000, "Average")</f>
        <v>Average</v>
      </c>
    </row>
    <row r="71" spans="1:13" ht="15" thickBot="1" x14ac:dyDescent="0.4">
      <c r="A71" s="5">
        <v>1096</v>
      </c>
      <c r="B71" s="5" t="s">
        <v>49</v>
      </c>
      <c r="C71" s="5" t="s">
        <v>17</v>
      </c>
      <c r="D71" s="5" t="s">
        <v>18</v>
      </c>
      <c r="E71" s="5" t="s">
        <v>23</v>
      </c>
      <c r="F71" s="5">
        <v>15</v>
      </c>
      <c r="G71" s="5">
        <v>14724</v>
      </c>
      <c r="H71" s="5">
        <v>15</v>
      </c>
      <c r="I71" s="6">
        <v>46054</v>
      </c>
      <c r="J71" s="6">
        <v>46061</v>
      </c>
      <c r="K71" s="10" t="s">
        <v>20</v>
      </c>
      <c r="L71" s="16">
        <f t="shared" si="1"/>
        <v>187731</v>
      </c>
      <c r="M71" s="14" t="str" cm="1">
        <f t="array" ref="M71">_xlfn.IFS(L71&gt;=100000, "Excellent", AND(L71&lt;100000, L71&gt;=50000), "Very Good", AND(L71&lt;50000, L71&gt;=20000), "Good", L71&lt;20000, "Average")</f>
        <v>Excellent</v>
      </c>
    </row>
    <row r="72" spans="1:13" ht="15" thickBot="1" x14ac:dyDescent="0.4">
      <c r="A72" s="5">
        <v>1006</v>
      </c>
      <c r="B72" s="5" t="s">
        <v>27</v>
      </c>
      <c r="C72" s="5" t="s">
        <v>25</v>
      </c>
      <c r="D72" s="5" t="s">
        <v>18</v>
      </c>
      <c r="E72" s="5" t="s">
        <v>28</v>
      </c>
      <c r="F72" s="5">
        <v>3</v>
      </c>
      <c r="G72" s="5">
        <v>2714</v>
      </c>
      <c r="H72" s="5">
        <v>5</v>
      </c>
      <c r="I72" s="6">
        <v>46055</v>
      </c>
      <c r="J72" s="6">
        <v>46062</v>
      </c>
      <c r="K72" s="10" t="s">
        <v>29</v>
      </c>
      <c r="L72" s="16">
        <f t="shared" si="1"/>
        <v>7734.9</v>
      </c>
      <c r="M72" s="14" t="str" cm="1">
        <f t="array" ref="M72">_xlfn.IFS(L72&gt;=100000, "Excellent", AND(L72&lt;100000, L72&gt;=50000), "Very Good", AND(L72&lt;50000, L72&gt;=20000), "Good", L72&lt;20000, "Average")</f>
        <v>Average</v>
      </c>
    </row>
    <row r="73" spans="1:13" ht="15" thickBot="1" x14ac:dyDescent="0.4">
      <c r="A73" s="5">
        <v>1285</v>
      </c>
      <c r="B73" s="5" t="s">
        <v>32</v>
      </c>
      <c r="C73" s="5" t="s">
        <v>38</v>
      </c>
      <c r="D73" s="5" t="s">
        <v>13</v>
      </c>
      <c r="E73" s="5" t="s">
        <v>36</v>
      </c>
      <c r="F73" s="5">
        <v>7</v>
      </c>
      <c r="G73" s="5">
        <v>439</v>
      </c>
      <c r="H73" s="5">
        <v>15</v>
      </c>
      <c r="I73" s="6">
        <v>46055</v>
      </c>
      <c r="J73" s="6">
        <v>46058</v>
      </c>
      <c r="K73" s="10" t="s">
        <v>20</v>
      </c>
      <c r="L73" s="16">
        <f t="shared" si="1"/>
        <v>2612.0499999999997</v>
      </c>
      <c r="M73" s="14" t="str" cm="1">
        <f t="array" ref="M73">_xlfn.IFS(L73&gt;=100000, "Excellent", AND(L73&lt;100000, L73&gt;=50000), "Very Good", AND(L73&lt;50000, L73&gt;=20000), "Good", L73&lt;20000, "Average")</f>
        <v>Average</v>
      </c>
    </row>
    <row r="74" spans="1:13" ht="15" thickBot="1" x14ac:dyDescent="0.4">
      <c r="A74" s="5">
        <v>1281</v>
      </c>
      <c r="B74" s="5" t="s">
        <v>55</v>
      </c>
      <c r="C74" s="5" t="s">
        <v>17</v>
      </c>
      <c r="D74" s="5" t="s">
        <v>13</v>
      </c>
      <c r="E74" s="5" t="s">
        <v>50</v>
      </c>
      <c r="F74" s="5">
        <v>6</v>
      </c>
      <c r="G74" s="5">
        <v>253</v>
      </c>
      <c r="H74" s="5">
        <v>0</v>
      </c>
      <c r="I74" s="6">
        <v>46055</v>
      </c>
      <c r="J74" s="6">
        <v>46063</v>
      </c>
      <c r="K74" s="10" t="s">
        <v>24</v>
      </c>
      <c r="L74" s="16">
        <f t="shared" si="1"/>
        <v>1518</v>
      </c>
      <c r="M74" s="14" t="str" cm="1">
        <f t="array" ref="M74">_xlfn.IFS(L74&gt;=100000, "Excellent", AND(L74&lt;100000, L74&gt;=50000), "Very Good", AND(L74&lt;50000, L74&gt;=20000), "Good", L74&lt;20000, "Average")</f>
        <v>Average</v>
      </c>
    </row>
    <row r="75" spans="1:13" ht="15" thickBot="1" x14ac:dyDescent="0.4">
      <c r="A75" s="5">
        <v>1136</v>
      </c>
      <c r="B75" s="5" t="s">
        <v>27</v>
      </c>
      <c r="C75" s="5" t="s">
        <v>43</v>
      </c>
      <c r="D75" s="5" t="s">
        <v>18</v>
      </c>
      <c r="E75" s="5" t="s">
        <v>56</v>
      </c>
      <c r="F75" s="5">
        <v>19</v>
      </c>
      <c r="G75" s="5">
        <v>14528</v>
      </c>
      <c r="H75" s="5">
        <v>12</v>
      </c>
      <c r="I75" s="6">
        <v>46056</v>
      </c>
      <c r="J75" s="6">
        <v>46062</v>
      </c>
      <c r="K75" s="10" t="s">
        <v>24</v>
      </c>
      <c r="L75" s="16">
        <f t="shared" si="1"/>
        <v>242908.16</v>
      </c>
      <c r="M75" s="14" t="str" cm="1">
        <f t="array" ref="M75">_xlfn.IFS(L75&gt;=100000, "Excellent", AND(L75&lt;100000, L75&gt;=50000), "Very Good", AND(L75&lt;50000, L75&gt;=20000), "Good", L75&lt;20000, "Average")</f>
        <v>Excellent</v>
      </c>
    </row>
    <row r="76" spans="1:13" ht="15" thickBot="1" x14ac:dyDescent="0.4">
      <c r="A76" s="5">
        <v>1394</v>
      </c>
      <c r="B76" s="5" t="s">
        <v>54</v>
      </c>
      <c r="C76" s="5" t="s">
        <v>12</v>
      </c>
      <c r="D76" s="5" t="s">
        <v>13</v>
      </c>
      <c r="E76" s="5" t="s">
        <v>14</v>
      </c>
      <c r="F76" s="5">
        <v>10</v>
      </c>
      <c r="G76" s="5">
        <v>138</v>
      </c>
      <c r="H76" s="5">
        <v>2</v>
      </c>
      <c r="I76" s="6">
        <v>46056</v>
      </c>
      <c r="J76" s="6">
        <v>46057</v>
      </c>
      <c r="K76" s="10" t="s">
        <v>15</v>
      </c>
      <c r="L76" s="16">
        <f t="shared" si="1"/>
        <v>1352.3999999999999</v>
      </c>
      <c r="M76" s="14" t="str" cm="1">
        <f t="array" ref="M76">_xlfn.IFS(L76&gt;=100000, "Excellent", AND(L76&lt;100000, L76&gt;=50000), "Very Good", AND(L76&lt;50000, L76&gt;=20000), "Good", L76&lt;20000, "Average")</f>
        <v>Average</v>
      </c>
    </row>
    <row r="77" spans="1:13" ht="15" thickBot="1" x14ac:dyDescent="0.4">
      <c r="A77" s="5">
        <v>1105</v>
      </c>
      <c r="B77" s="5" t="s">
        <v>59</v>
      </c>
      <c r="C77" s="5" t="s">
        <v>25</v>
      </c>
      <c r="D77" s="5" t="s">
        <v>13</v>
      </c>
      <c r="E77" s="5" t="s">
        <v>50</v>
      </c>
      <c r="F77" s="5">
        <v>2</v>
      </c>
      <c r="G77" s="5">
        <v>493</v>
      </c>
      <c r="H77" s="5">
        <v>12</v>
      </c>
      <c r="I77" s="6">
        <v>46057</v>
      </c>
      <c r="J77" s="6">
        <v>46066</v>
      </c>
      <c r="K77" s="10" t="s">
        <v>51</v>
      </c>
      <c r="L77" s="16">
        <f t="shared" si="1"/>
        <v>867.68</v>
      </c>
      <c r="M77" s="14" t="str" cm="1">
        <f t="array" ref="M77">_xlfn.IFS(L77&gt;=100000, "Excellent", AND(L77&lt;100000, L77&gt;=50000), "Very Good", AND(L77&lt;50000, L77&gt;=20000), "Good", L77&lt;20000, "Average")</f>
        <v>Average</v>
      </c>
    </row>
    <row r="78" spans="1:13" ht="15" thickBot="1" x14ac:dyDescent="0.4">
      <c r="A78" s="5">
        <v>1256</v>
      </c>
      <c r="B78" s="5" t="s">
        <v>48</v>
      </c>
      <c r="C78" s="5" t="s">
        <v>31</v>
      </c>
      <c r="D78" s="5" t="s">
        <v>13</v>
      </c>
      <c r="E78" s="5" t="s">
        <v>50</v>
      </c>
      <c r="F78" s="5">
        <v>19</v>
      </c>
      <c r="G78" s="5">
        <v>406</v>
      </c>
      <c r="H78" s="5">
        <v>7</v>
      </c>
      <c r="I78" s="6">
        <v>46057</v>
      </c>
      <c r="J78" s="6">
        <v>46061</v>
      </c>
      <c r="K78" s="10" t="s">
        <v>15</v>
      </c>
      <c r="L78" s="16">
        <f t="shared" si="1"/>
        <v>7174.0199999999995</v>
      </c>
      <c r="M78" s="14" t="str" cm="1">
        <f t="array" ref="M78">_xlfn.IFS(L78&gt;=100000, "Excellent", AND(L78&lt;100000, L78&gt;=50000), "Very Good", AND(L78&lt;50000, L78&gt;=20000), "Good", L78&lt;20000, "Average")</f>
        <v>Average</v>
      </c>
    </row>
    <row r="79" spans="1:13" ht="15" thickBot="1" x14ac:dyDescent="0.4">
      <c r="A79" s="5">
        <v>1081</v>
      </c>
      <c r="B79" s="5" t="s">
        <v>47</v>
      </c>
      <c r="C79" s="5" t="s">
        <v>12</v>
      </c>
      <c r="D79" s="5" t="s">
        <v>34</v>
      </c>
      <c r="E79" s="5" t="s">
        <v>35</v>
      </c>
      <c r="F79" s="5">
        <v>15</v>
      </c>
      <c r="G79" s="5">
        <v>59912</v>
      </c>
      <c r="H79" s="5">
        <v>7</v>
      </c>
      <c r="I79" s="6">
        <v>46058</v>
      </c>
      <c r="J79" s="6">
        <v>46060</v>
      </c>
      <c r="K79" s="10" t="s">
        <v>51</v>
      </c>
      <c r="L79" s="16">
        <f t="shared" si="1"/>
        <v>835772.39999999991</v>
      </c>
      <c r="M79" s="14" t="str" cm="1">
        <f t="array" ref="M79">_xlfn.IFS(L79&gt;=100000, "Excellent", AND(L79&lt;100000, L79&gt;=50000), "Very Good", AND(L79&lt;50000, L79&gt;=20000), "Good", L79&lt;20000, "Average")</f>
        <v>Excellent</v>
      </c>
    </row>
    <row r="80" spans="1:13" ht="15" thickBot="1" x14ac:dyDescent="0.4">
      <c r="A80" s="5">
        <v>1067</v>
      </c>
      <c r="B80" s="5" t="s">
        <v>32</v>
      </c>
      <c r="C80" s="5" t="s">
        <v>43</v>
      </c>
      <c r="D80" s="5" t="s">
        <v>18</v>
      </c>
      <c r="E80" s="5" t="s">
        <v>56</v>
      </c>
      <c r="F80" s="5">
        <v>14</v>
      </c>
      <c r="G80" s="5">
        <v>10869</v>
      </c>
      <c r="H80" s="5">
        <v>0</v>
      </c>
      <c r="I80" s="6">
        <v>46058</v>
      </c>
      <c r="J80" s="6">
        <v>46062</v>
      </c>
      <c r="K80" s="10" t="s">
        <v>29</v>
      </c>
      <c r="L80" s="16">
        <f t="shared" si="1"/>
        <v>152166</v>
      </c>
      <c r="M80" s="14" t="str" cm="1">
        <f t="array" ref="M80">_xlfn.IFS(L80&gt;=100000, "Excellent", AND(L80&lt;100000, L80&gt;=50000), "Very Good", AND(L80&lt;50000, L80&gt;=20000), "Good", L80&lt;20000, "Average")</f>
        <v>Excellent</v>
      </c>
    </row>
    <row r="81" spans="1:13" ht="15" thickBot="1" x14ac:dyDescent="0.4">
      <c r="A81" s="5">
        <v>1099</v>
      </c>
      <c r="B81" s="5" t="s">
        <v>26</v>
      </c>
      <c r="C81" s="5" t="s">
        <v>31</v>
      </c>
      <c r="D81" s="5" t="s">
        <v>18</v>
      </c>
      <c r="E81" s="5" t="s">
        <v>19</v>
      </c>
      <c r="F81" s="5">
        <v>1</v>
      </c>
      <c r="G81" s="5">
        <v>5165</v>
      </c>
      <c r="H81" s="5">
        <v>2</v>
      </c>
      <c r="I81" s="6">
        <v>46058</v>
      </c>
      <c r="J81" s="6">
        <v>46060</v>
      </c>
      <c r="K81" s="10" t="s">
        <v>15</v>
      </c>
      <c r="L81" s="16">
        <f t="shared" si="1"/>
        <v>5061.7</v>
      </c>
      <c r="M81" s="14" t="str" cm="1">
        <f t="array" ref="M81">_xlfn.IFS(L81&gt;=100000, "Excellent", AND(L81&lt;100000, L81&gt;=50000), "Very Good", AND(L81&lt;50000, L81&gt;=20000), "Good", L81&lt;20000, "Average")</f>
        <v>Average</v>
      </c>
    </row>
    <row r="82" spans="1:13" ht="15" thickBot="1" x14ac:dyDescent="0.4">
      <c r="A82" s="5">
        <v>1061</v>
      </c>
      <c r="B82" s="5" t="s">
        <v>57</v>
      </c>
      <c r="C82" s="5" t="s">
        <v>12</v>
      </c>
      <c r="D82" s="5" t="s">
        <v>34</v>
      </c>
      <c r="E82" s="5" t="s">
        <v>41</v>
      </c>
      <c r="F82" s="5">
        <v>16</v>
      </c>
      <c r="G82" s="5">
        <v>59084</v>
      </c>
      <c r="H82" s="5">
        <v>0</v>
      </c>
      <c r="I82" s="6">
        <v>46060</v>
      </c>
      <c r="J82" s="6">
        <v>46069</v>
      </c>
      <c r="K82" s="10" t="s">
        <v>20</v>
      </c>
      <c r="L82" s="16">
        <f t="shared" si="1"/>
        <v>945344</v>
      </c>
      <c r="M82" s="14" t="str" cm="1">
        <f t="array" ref="M82">_xlfn.IFS(L82&gt;=100000, "Excellent", AND(L82&lt;100000, L82&gt;=50000), "Very Good", AND(L82&lt;50000, L82&gt;=20000), "Good", L82&lt;20000, "Average")</f>
        <v>Excellent</v>
      </c>
    </row>
    <row r="83" spans="1:13" ht="15" thickBot="1" x14ac:dyDescent="0.4">
      <c r="A83" s="5">
        <v>1232</v>
      </c>
      <c r="B83" s="5" t="s">
        <v>21</v>
      </c>
      <c r="C83" s="5" t="s">
        <v>12</v>
      </c>
      <c r="D83" s="5" t="s">
        <v>34</v>
      </c>
      <c r="E83" s="5" t="s">
        <v>60</v>
      </c>
      <c r="F83" s="5">
        <v>3</v>
      </c>
      <c r="G83" s="5">
        <v>13272</v>
      </c>
      <c r="H83" s="5">
        <v>2</v>
      </c>
      <c r="I83" s="6">
        <v>46060</v>
      </c>
      <c r="J83" s="6">
        <v>46065</v>
      </c>
      <c r="K83" s="10" t="s">
        <v>15</v>
      </c>
      <c r="L83" s="16">
        <f t="shared" si="1"/>
        <v>39019.68</v>
      </c>
      <c r="M83" s="14" t="str" cm="1">
        <f t="array" ref="M83">_xlfn.IFS(L83&gt;=100000, "Excellent", AND(L83&lt;100000, L83&gt;=50000), "Very Good", AND(L83&lt;50000, L83&gt;=20000), "Good", L83&lt;20000, "Average")</f>
        <v>Good</v>
      </c>
    </row>
    <row r="84" spans="1:13" ht="15" thickBot="1" x14ac:dyDescent="0.4">
      <c r="A84" s="5">
        <v>1104</v>
      </c>
      <c r="B84" s="5" t="s">
        <v>16</v>
      </c>
      <c r="C84" s="5" t="s">
        <v>43</v>
      </c>
      <c r="D84" s="5" t="s">
        <v>18</v>
      </c>
      <c r="E84" s="5" t="s">
        <v>19</v>
      </c>
      <c r="F84" s="5">
        <v>10</v>
      </c>
      <c r="G84" s="5">
        <v>12848</v>
      </c>
      <c r="H84" s="5">
        <v>15</v>
      </c>
      <c r="I84" s="6">
        <v>46060</v>
      </c>
      <c r="J84" s="6">
        <v>46064</v>
      </c>
      <c r="K84" s="10" t="s">
        <v>29</v>
      </c>
      <c r="L84" s="16">
        <f t="shared" si="1"/>
        <v>109208</v>
      </c>
      <c r="M84" s="14" t="str" cm="1">
        <f t="array" ref="M84">_xlfn.IFS(L84&gt;=100000, "Excellent", AND(L84&lt;100000, L84&gt;=50000), "Very Good", AND(L84&lt;50000, L84&gt;=20000), "Good", L84&lt;20000, "Average")</f>
        <v>Excellent</v>
      </c>
    </row>
    <row r="85" spans="1:13" ht="15" thickBot="1" x14ac:dyDescent="0.4">
      <c r="A85" s="5">
        <v>1140</v>
      </c>
      <c r="B85" s="5" t="s">
        <v>57</v>
      </c>
      <c r="C85" s="5" t="s">
        <v>38</v>
      </c>
      <c r="D85" s="5" t="s">
        <v>34</v>
      </c>
      <c r="E85" s="5" t="s">
        <v>41</v>
      </c>
      <c r="F85" s="5">
        <v>5</v>
      </c>
      <c r="G85" s="5">
        <v>68012</v>
      </c>
      <c r="H85" s="5">
        <v>5</v>
      </c>
      <c r="I85" s="6">
        <v>46061</v>
      </c>
      <c r="J85" s="6">
        <v>46065</v>
      </c>
      <c r="K85" s="10" t="s">
        <v>15</v>
      </c>
      <c r="L85" s="16">
        <f t="shared" si="1"/>
        <v>323057</v>
      </c>
      <c r="M85" s="14" t="str" cm="1">
        <f t="array" ref="M85">_xlfn.IFS(L85&gt;=100000, "Excellent", AND(L85&lt;100000, L85&gt;=50000), "Very Good", AND(L85&lt;50000, L85&gt;=20000), "Good", L85&lt;20000, "Average")</f>
        <v>Excellent</v>
      </c>
    </row>
    <row r="86" spans="1:13" ht="15" thickBot="1" x14ac:dyDescent="0.4">
      <c r="A86" s="5">
        <v>1120</v>
      </c>
      <c r="B86" s="5" t="s">
        <v>32</v>
      </c>
      <c r="C86" s="5" t="s">
        <v>38</v>
      </c>
      <c r="D86" s="5" t="s">
        <v>13</v>
      </c>
      <c r="E86" s="5" t="s">
        <v>36</v>
      </c>
      <c r="F86" s="5">
        <v>10</v>
      </c>
      <c r="G86" s="5">
        <v>438</v>
      </c>
      <c r="H86" s="5">
        <v>10</v>
      </c>
      <c r="I86" s="6">
        <v>46061</v>
      </c>
      <c r="J86" s="6">
        <v>46065</v>
      </c>
      <c r="K86" s="10" t="s">
        <v>51</v>
      </c>
      <c r="L86" s="16">
        <f t="shared" si="1"/>
        <v>3942</v>
      </c>
      <c r="M86" s="14" t="str" cm="1">
        <f t="array" ref="M86">_xlfn.IFS(L86&gt;=100000, "Excellent", AND(L86&lt;100000, L86&gt;=50000), "Very Good", AND(L86&lt;50000, L86&gt;=20000), "Good", L86&lt;20000, "Average")</f>
        <v>Average</v>
      </c>
    </row>
    <row r="87" spans="1:13" ht="15" thickBot="1" x14ac:dyDescent="0.4">
      <c r="A87" s="5">
        <v>1395</v>
      </c>
      <c r="B87" s="5" t="s">
        <v>54</v>
      </c>
      <c r="C87" s="5" t="s">
        <v>33</v>
      </c>
      <c r="D87" s="5" t="s">
        <v>18</v>
      </c>
      <c r="E87" s="5" t="s">
        <v>44</v>
      </c>
      <c r="F87" s="5">
        <v>18</v>
      </c>
      <c r="G87" s="5">
        <v>10402</v>
      </c>
      <c r="H87" s="5">
        <v>15</v>
      </c>
      <c r="I87" s="6">
        <v>46062</v>
      </c>
      <c r="J87" s="6">
        <v>46067</v>
      </c>
      <c r="K87" s="10" t="s">
        <v>29</v>
      </c>
      <c r="L87" s="16">
        <f t="shared" si="1"/>
        <v>159150.6</v>
      </c>
      <c r="M87" s="14" t="str" cm="1">
        <f t="array" ref="M87">_xlfn.IFS(L87&gt;=100000, "Excellent", AND(L87&lt;100000, L87&gt;=50000), "Very Good", AND(L87&lt;50000, L87&gt;=20000), "Good", L87&lt;20000, "Average")</f>
        <v>Excellent</v>
      </c>
    </row>
    <row r="88" spans="1:13" ht="15" thickBot="1" x14ac:dyDescent="0.4">
      <c r="A88" s="5">
        <v>1152</v>
      </c>
      <c r="B88" s="5" t="s">
        <v>27</v>
      </c>
      <c r="C88" s="5" t="s">
        <v>31</v>
      </c>
      <c r="D88" s="5" t="s">
        <v>34</v>
      </c>
      <c r="E88" s="5" t="s">
        <v>61</v>
      </c>
      <c r="F88" s="5">
        <v>14</v>
      </c>
      <c r="G88" s="5">
        <v>8150</v>
      </c>
      <c r="H88" s="5">
        <v>10</v>
      </c>
      <c r="I88" s="6">
        <v>46062</v>
      </c>
      <c r="J88" s="6">
        <v>46070</v>
      </c>
      <c r="K88" s="10" t="s">
        <v>15</v>
      </c>
      <c r="L88" s="16">
        <f t="shared" si="1"/>
        <v>102690</v>
      </c>
      <c r="M88" s="14" t="str" cm="1">
        <f t="array" ref="M88">_xlfn.IFS(L88&gt;=100000, "Excellent", AND(L88&lt;100000, L88&gt;=50000), "Very Good", AND(L88&lt;50000, L88&gt;=20000), "Good", L88&lt;20000, "Average")</f>
        <v>Excellent</v>
      </c>
    </row>
    <row r="89" spans="1:13" ht="15" thickBot="1" x14ac:dyDescent="0.4">
      <c r="A89" s="5">
        <v>1369</v>
      </c>
      <c r="B89" s="5" t="s">
        <v>57</v>
      </c>
      <c r="C89" s="5" t="s">
        <v>25</v>
      </c>
      <c r="D89" s="5" t="s">
        <v>18</v>
      </c>
      <c r="E89" s="5" t="s">
        <v>19</v>
      </c>
      <c r="F89" s="5">
        <v>19</v>
      </c>
      <c r="G89" s="5">
        <v>5840</v>
      </c>
      <c r="H89" s="5">
        <v>5</v>
      </c>
      <c r="I89" s="6">
        <v>46062</v>
      </c>
      <c r="J89" s="6">
        <v>46067</v>
      </c>
      <c r="K89" s="10" t="s">
        <v>15</v>
      </c>
      <c r="L89" s="16">
        <f t="shared" si="1"/>
        <v>105412</v>
      </c>
      <c r="M89" s="14" t="str" cm="1">
        <f t="array" ref="M89">_xlfn.IFS(L89&gt;=100000, "Excellent", AND(L89&lt;100000, L89&gt;=50000), "Very Good", AND(L89&lt;50000, L89&gt;=20000), "Good", L89&lt;20000, "Average")</f>
        <v>Excellent</v>
      </c>
    </row>
    <row r="90" spans="1:13" ht="15" thickBot="1" x14ac:dyDescent="0.4">
      <c r="A90" s="5">
        <v>1010</v>
      </c>
      <c r="B90" s="5" t="s">
        <v>11</v>
      </c>
      <c r="C90" s="5" t="s">
        <v>17</v>
      </c>
      <c r="D90" s="5" t="s">
        <v>13</v>
      </c>
      <c r="E90" s="5" t="s">
        <v>36</v>
      </c>
      <c r="F90" s="5">
        <v>14</v>
      </c>
      <c r="G90" s="5">
        <v>470</v>
      </c>
      <c r="H90" s="5">
        <v>5</v>
      </c>
      <c r="I90" s="6">
        <v>46062</v>
      </c>
      <c r="J90" s="6">
        <v>46068</v>
      </c>
      <c r="K90" s="10" t="s">
        <v>15</v>
      </c>
      <c r="L90" s="16">
        <f t="shared" si="1"/>
        <v>6251</v>
      </c>
      <c r="M90" s="14" t="str" cm="1">
        <f t="array" ref="M90">_xlfn.IFS(L90&gt;=100000, "Excellent", AND(L90&lt;100000, L90&gt;=50000), "Very Good", AND(L90&lt;50000, L90&gt;=20000), "Good", L90&lt;20000, "Average")</f>
        <v>Average</v>
      </c>
    </row>
    <row r="91" spans="1:13" ht="15" thickBot="1" x14ac:dyDescent="0.4">
      <c r="A91" s="5">
        <v>1374</v>
      </c>
      <c r="B91" s="5" t="s">
        <v>57</v>
      </c>
      <c r="C91" s="5" t="s">
        <v>33</v>
      </c>
      <c r="D91" s="5" t="s">
        <v>34</v>
      </c>
      <c r="E91" s="5" t="s">
        <v>35</v>
      </c>
      <c r="F91" s="5">
        <v>12</v>
      </c>
      <c r="G91" s="5">
        <v>66052</v>
      </c>
      <c r="H91" s="5">
        <v>2</v>
      </c>
      <c r="I91" s="6">
        <v>46063</v>
      </c>
      <c r="J91" s="6">
        <v>46066</v>
      </c>
      <c r="K91" s="10" t="s">
        <v>51</v>
      </c>
      <c r="L91" s="16">
        <f t="shared" si="1"/>
        <v>776771.52</v>
      </c>
      <c r="M91" s="14" t="str" cm="1">
        <f t="array" ref="M91">_xlfn.IFS(L91&gt;=100000, "Excellent", AND(L91&lt;100000, L91&gt;=50000), "Very Good", AND(L91&lt;50000, L91&gt;=20000), "Good", L91&lt;20000, "Average")</f>
        <v>Excellent</v>
      </c>
    </row>
    <row r="92" spans="1:13" ht="15" thickBot="1" x14ac:dyDescent="0.4">
      <c r="A92" s="5">
        <v>1296</v>
      </c>
      <c r="B92" s="5" t="s">
        <v>26</v>
      </c>
      <c r="C92" s="5" t="s">
        <v>38</v>
      </c>
      <c r="D92" s="5" t="s">
        <v>13</v>
      </c>
      <c r="E92" s="5" t="s">
        <v>50</v>
      </c>
      <c r="F92" s="5">
        <v>6</v>
      </c>
      <c r="G92" s="5">
        <v>201</v>
      </c>
      <c r="H92" s="5">
        <v>0</v>
      </c>
      <c r="I92" s="6">
        <v>46063</v>
      </c>
      <c r="J92" s="6">
        <v>46072</v>
      </c>
      <c r="K92" s="10" t="s">
        <v>51</v>
      </c>
      <c r="L92" s="16">
        <f t="shared" si="1"/>
        <v>1206</v>
      </c>
      <c r="M92" s="14" t="str" cm="1">
        <f t="array" ref="M92">_xlfn.IFS(L92&gt;=100000, "Excellent", AND(L92&lt;100000, L92&gt;=50000), "Very Good", AND(L92&lt;50000, L92&gt;=20000), "Good", L92&lt;20000, "Average")</f>
        <v>Average</v>
      </c>
    </row>
    <row r="93" spans="1:13" ht="15" thickBot="1" x14ac:dyDescent="0.4">
      <c r="A93" s="5">
        <v>1142</v>
      </c>
      <c r="B93" s="5" t="s">
        <v>40</v>
      </c>
      <c r="C93" s="5" t="s">
        <v>25</v>
      </c>
      <c r="D93" s="5" t="s">
        <v>34</v>
      </c>
      <c r="E93" s="5" t="s">
        <v>60</v>
      </c>
      <c r="F93" s="5">
        <v>9</v>
      </c>
      <c r="G93" s="5">
        <v>59788</v>
      </c>
      <c r="H93" s="5">
        <v>7</v>
      </c>
      <c r="I93" s="6">
        <v>46064</v>
      </c>
      <c r="J93" s="6">
        <v>46071</v>
      </c>
      <c r="K93" s="10" t="s">
        <v>29</v>
      </c>
      <c r="L93" s="16">
        <f t="shared" si="1"/>
        <v>500425.55999999994</v>
      </c>
      <c r="M93" s="14" t="str" cm="1">
        <f t="array" ref="M93">_xlfn.IFS(L93&gt;=100000, "Excellent", AND(L93&lt;100000, L93&gt;=50000), "Very Good", AND(L93&lt;50000, L93&gt;=20000), "Good", L93&lt;20000, "Average")</f>
        <v>Excellent</v>
      </c>
    </row>
    <row r="94" spans="1:13" ht="15" thickBot="1" x14ac:dyDescent="0.4">
      <c r="A94" s="5">
        <v>1053</v>
      </c>
      <c r="B94" s="5" t="s">
        <v>16</v>
      </c>
      <c r="C94" s="5" t="s">
        <v>33</v>
      </c>
      <c r="D94" s="5" t="s">
        <v>18</v>
      </c>
      <c r="E94" s="5" t="s">
        <v>28</v>
      </c>
      <c r="F94" s="5">
        <v>1</v>
      </c>
      <c r="G94" s="5">
        <v>9749</v>
      </c>
      <c r="H94" s="5">
        <v>15</v>
      </c>
      <c r="I94" s="6">
        <v>46064</v>
      </c>
      <c r="J94" s="6">
        <v>46070</v>
      </c>
      <c r="K94" s="10" t="s">
        <v>24</v>
      </c>
      <c r="L94" s="16">
        <f t="shared" si="1"/>
        <v>8286.65</v>
      </c>
      <c r="M94" s="14" t="str" cm="1">
        <f t="array" ref="M94">_xlfn.IFS(L94&gt;=100000, "Excellent", AND(L94&lt;100000, L94&gt;=50000), "Very Good", AND(L94&lt;50000, L94&gt;=20000), "Good", L94&lt;20000, "Average")</f>
        <v>Average</v>
      </c>
    </row>
    <row r="95" spans="1:13" ht="15" thickBot="1" x14ac:dyDescent="0.4">
      <c r="A95" s="5">
        <v>1089</v>
      </c>
      <c r="B95" s="5" t="s">
        <v>46</v>
      </c>
      <c r="C95" s="5" t="s">
        <v>12</v>
      </c>
      <c r="D95" s="5" t="s">
        <v>34</v>
      </c>
      <c r="E95" s="5" t="s">
        <v>35</v>
      </c>
      <c r="F95" s="5">
        <v>10</v>
      </c>
      <c r="G95" s="5">
        <v>17041</v>
      </c>
      <c r="H95" s="5">
        <v>2</v>
      </c>
      <c r="I95" s="6">
        <v>46066</v>
      </c>
      <c r="J95" s="6">
        <v>46071</v>
      </c>
      <c r="K95" s="10" t="s">
        <v>24</v>
      </c>
      <c r="L95" s="16">
        <f t="shared" si="1"/>
        <v>167001.79999999999</v>
      </c>
      <c r="M95" s="14" t="str" cm="1">
        <f t="array" ref="M95">_xlfn.IFS(L95&gt;=100000, "Excellent", AND(L95&lt;100000, L95&gt;=50000), "Very Good", AND(L95&lt;50000, L95&gt;=20000), "Good", L95&lt;20000, "Average")</f>
        <v>Excellent</v>
      </c>
    </row>
    <row r="96" spans="1:13" ht="15" thickBot="1" x14ac:dyDescent="0.4">
      <c r="A96" s="5">
        <v>1174</v>
      </c>
      <c r="B96" s="5" t="s">
        <v>58</v>
      </c>
      <c r="C96" s="5" t="s">
        <v>38</v>
      </c>
      <c r="D96" s="5" t="s">
        <v>13</v>
      </c>
      <c r="E96" s="5" t="s">
        <v>14</v>
      </c>
      <c r="F96" s="5">
        <v>13</v>
      </c>
      <c r="G96" s="5">
        <v>155</v>
      </c>
      <c r="H96" s="5">
        <v>2</v>
      </c>
      <c r="I96" s="6">
        <v>46066</v>
      </c>
      <c r="J96" s="6">
        <v>46069</v>
      </c>
      <c r="K96" s="10" t="s">
        <v>24</v>
      </c>
      <c r="L96" s="16">
        <f t="shared" si="1"/>
        <v>1974.7</v>
      </c>
      <c r="M96" s="14" t="str" cm="1">
        <f t="array" ref="M96">_xlfn.IFS(L96&gt;=100000, "Excellent", AND(L96&lt;100000, L96&gt;=50000), "Very Good", AND(L96&lt;50000, L96&gt;=20000), "Good", L96&lt;20000, "Average")</f>
        <v>Average</v>
      </c>
    </row>
    <row r="97" spans="1:13" ht="15" thickBot="1" x14ac:dyDescent="0.4">
      <c r="A97" s="5">
        <v>1114</v>
      </c>
      <c r="B97" s="5" t="s">
        <v>16</v>
      </c>
      <c r="C97" s="5" t="s">
        <v>25</v>
      </c>
      <c r="D97" s="5" t="s">
        <v>13</v>
      </c>
      <c r="E97" s="5" t="s">
        <v>50</v>
      </c>
      <c r="F97" s="5">
        <v>13</v>
      </c>
      <c r="G97" s="5">
        <v>32</v>
      </c>
      <c r="H97" s="5">
        <v>15</v>
      </c>
      <c r="I97" s="6">
        <v>46066</v>
      </c>
      <c r="J97" s="6">
        <v>46069</v>
      </c>
      <c r="K97" s="10" t="s">
        <v>15</v>
      </c>
      <c r="L97" s="16">
        <f t="shared" si="1"/>
        <v>353.59999999999997</v>
      </c>
      <c r="M97" s="14" t="str" cm="1">
        <f t="array" ref="M97">_xlfn.IFS(L97&gt;=100000, "Excellent", AND(L97&lt;100000, L97&gt;=50000), "Very Good", AND(L97&lt;50000, L97&gt;=20000), "Good", L97&lt;20000, "Average")</f>
        <v>Average</v>
      </c>
    </row>
    <row r="98" spans="1:13" ht="15" thickBot="1" x14ac:dyDescent="0.4">
      <c r="A98" s="5">
        <v>1057</v>
      </c>
      <c r="B98" s="5" t="s">
        <v>59</v>
      </c>
      <c r="C98" s="5" t="s">
        <v>22</v>
      </c>
      <c r="D98" s="5" t="s">
        <v>18</v>
      </c>
      <c r="E98" s="5" t="s">
        <v>28</v>
      </c>
      <c r="F98" s="5">
        <v>2</v>
      </c>
      <c r="G98" s="5">
        <v>9531</v>
      </c>
      <c r="H98" s="5">
        <v>15</v>
      </c>
      <c r="I98" s="6">
        <v>46067</v>
      </c>
      <c r="J98" s="6">
        <v>46076</v>
      </c>
      <c r="K98" s="10" t="s">
        <v>51</v>
      </c>
      <c r="L98" s="16">
        <f t="shared" si="1"/>
        <v>16202.699999999999</v>
      </c>
      <c r="M98" s="14" t="str" cm="1">
        <f t="array" ref="M98">_xlfn.IFS(L98&gt;=100000, "Excellent", AND(L98&lt;100000, L98&gt;=50000), "Very Good", AND(L98&lt;50000, L98&gt;=20000), "Good", L98&lt;20000, "Average")</f>
        <v>Average</v>
      </c>
    </row>
    <row r="99" spans="1:13" ht="15" thickBot="1" x14ac:dyDescent="0.4">
      <c r="A99" s="5">
        <v>1088</v>
      </c>
      <c r="B99" s="5" t="s">
        <v>40</v>
      </c>
      <c r="C99" s="5" t="s">
        <v>33</v>
      </c>
      <c r="D99" s="5" t="s">
        <v>34</v>
      </c>
      <c r="E99" s="5" t="s">
        <v>41</v>
      </c>
      <c r="F99" s="5">
        <v>20</v>
      </c>
      <c r="G99" s="5">
        <v>41165</v>
      </c>
      <c r="H99" s="5">
        <v>0</v>
      </c>
      <c r="I99" s="6">
        <v>46068</v>
      </c>
      <c r="J99" s="6">
        <v>46069</v>
      </c>
      <c r="K99" s="10" t="s">
        <v>20</v>
      </c>
      <c r="L99" s="16">
        <f t="shared" si="1"/>
        <v>823300</v>
      </c>
      <c r="M99" s="14" t="str" cm="1">
        <f t="array" ref="M99">_xlfn.IFS(L99&gt;=100000, "Excellent", AND(L99&lt;100000, L99&gt;=50000), "Very Good", AND(L99&lt;50000, L99&gt;=20000), "Good", L99&lt;20000, "Average")</f>
        <v>Excellent</v>
      </c>
    </row>
    <row r="100" spans="1:13" ht="15" thickBot="1" x14ac:dyDescent="0.4">
      <c r="A100" s="5">
        <v>1243</v>
      </c>
      <c r="B100" s="5" t="s">
        <v>30</v>
      </c>
      <c r="C100" s="5" t="s">
        <v>31</v>
      </c>
      <c r="D100" s="5" t="s">
        <v>34</v>
      </c>
      <c r="E100" s="5" t="s">
        <v>41</v>
      </c>
      <c r="F100" s="5">
        <v>5</v>
      </c>
      <c r="G100" s="5">
        <v>11570</v>
      </c>
      <c r="H100" s="5">
        <v>15</v>
      </c>
      <c r="I100" s="6">
        <v>46069</v>
      </c>
      <c r="J100" s="6">
        <v>46077</v>
      </c>
      <c r="K100" s="10" t="s">
        <v>24</v>
      </c>
      <c r="L100" s="16">
        <f t="shared" si="1"/>
        <v>49172.5</v>
      </c>
      <c r="M100" s="14" t="str" cm="1">
        <f t="array" ref="M100">_xlfn.IFS(L100&gt;=100000, "Excellent", AND(L100&lt;100000, L100&gt;=50000), "Very Good", AND(L100&lt;50000, L100&gt;=20000), "Good", L100&lt;20000, "Average")</f>
        <v>Good</v>
      </c>
    </row>
    <row r="101" spans="1:13" ht="15" thickBot="1" x14ac:dyDescent="0.4">
      <c r="A101" s="5">
        <v>1153</v>
      </c>
      <c r="B101" s="5" t="s">
        <v>42</v>
      </c>
      <c r="C101" s="5" t="s">
        <v>25</v>
      </c>
      <c r="D101" s="5" t="s">
        <v>18</v>
      </c>
      <c r="E101" s="5" t="s">
        <v>23</v>
      </c>
      <c r="F101" s="5">
        <v>19</v>
      </c>
      <c r="G101" s="5">
        <v>10273</v>
      </c>
      <c r="H101" s="5">
        <v>12</v>
      </c>
      <c r="I101" s="6">
        <v>46069</v>
      </c>
      <c r="J101" s="6">
        <v>46072</v>
      </c>
      <c r="K101" s="10" t="s">
        <v>29</v>
      </c>
      <c r="L101" s="16">
        <f t="shared" si="1"/>
        <v>171764.56</v>
      </c>
      <c r="M101" s="14" t="str" cm="1">
        <f t="array" ref="M101">_xlfn.IFS(L101&gt;=100000, "Excellent", AND(L101&lt;100000, L101&gt;=50000), "Very Good", AND(L101&lt;50000, L101&gt;=20000), "Good", L101&lt;20000, "Average")</f>
        <v>Excellent</v>
      </c>
    </row>
    <row r="102" spans="1:13" ht="15" thickBot="1" x14ac:dyDescent="0.4">
      <c r="A102" s="5">
        <v>1365</v>
      </c>
      <c r="B102" s="5" t="s">
        <v>46</v>
      </c>
      <c r="C102" s="5" t="s">
        <v>33</v>
      </c>
      <c r="D102" s="5" t="s">
        <v>13</v>
      </c>
      <c r="E102" s="5" t="s">
        <v>50</v>
      </c>
      <c r="F102" s="5">
        <v>17</v>
      </c>
      <c r="G102" s="5">
        <v>119</v>
      </c>
      <c r="H102" s="5">
        <v>7</v>
      </c>
      <c r="I102" s="6">
        <v>46070</v>
      </c>
      <c r="J102" s="6">
        <v>46072</v>
      </c>
      <c r="K102" s="10" t="s">
        <v>20</v>
      </c>
      <c r="L102" s="16">
        <f t="shared" si="1"/>
        <v>1881.3899999999999</v>
      </c>
      <c r="M102" s="14" t="str" cm="1">
        <f t="array" ref="M102">_xlfn.IFS(L102&gt;=100000, "Excellent", AND(L102&lt;100000, L102&gt;=50000), "Very Good", AND(L102&lt;50000, L102&gt;=20000), "Good", L102&lt;20000, "Average")</f>
        <v>Average</v>
      </c>
    </row>
    <row r="103" spans="1:13" ht="15" thickBot="1" x14ac:dyDescent="0.4">
      <c r="A103" s="5">
        <v>1036</v>
      </c>
      <c r="B103" s="5" t="s">
        <v>11</v>
      </c>
      <c r="C103" s="5" t="s">
        <v>25</v>
      </c>
      <c r="D103" s="5" t="s">
        <v>13</v>
      </c>
      <c r="E103" s="5" t="s">
        <v>36</v>
      </c>
      <c r="F103" s="5">
        <v>20</v>
      </c>
      <c r="G103" s="5">
        <v>161</v>
      </c>
      <c r="H103" s="5">
        <v>7</v>
      </c>
      <c r="I103" s="6">
        <v>46071</v>
      </c>
      <c r="J103" s="6">
        <v>46077</v>
      </c>
      <c r="K103" s="10" t="s">
        <v>24</v>
      </c>
      <c r="L103" s="16">
        <f t="shared" si="1"/>
        <v>2994.6</v>
      </c>
      <c r="M103" s="14" t="str" cm="1">
        <f t="array" ref="M103">_xlfn.IFS(L103&gt;=100000, "Excellent", AND(L103&lt;100000, L103&gt;=50000), "Very Good", AND(L103&lt;50000, L103&gt;=20000), "Good", L103&lt;20000, "Average")</f>
        <v>Average</v>
      </c>
    </row>
    <row r="104" spans="1:13" ht="15" thickBot="1" x14ac:dyDescent="0.4">
      <c r="A104" s="5">
        <v>1371</v>
      </c>
      <c r="B104" s="5" t="s">
        <v>48</v>
      </c>
      <c r="C104" s="5" t="s">
        <v>38</v>
      </c>
      <c r="D104" s="5" t="s">
        <v>18</v>
      </c>
      <c r="E104" s="5" t="s">
        <v>19</v>
      </c>
      <c r="F104" s="5">
        <v>19</v>
      </c>
      <c r="G104" s="5">
        <v>1087</v>
      </c>
      <c r="H104" s="5">
        <v>15</v>
      </c>
      <c r="I104" s="6">
        <v>46072</v>
      </c>
      <c r="J104" s="6">
        <v>46082</v>
      </c>
      <c r="K104" s="10" t="s">
        <v>20</v>
      </c>
      <c r="L104" s="16">
        <f t="shared" si="1"/>
        <v>17555.05</v>
      </c>
      <c r="M104" s="14" t="str" cm="1">
        <f t="array" ref="M104">_xlfn.IFS(L104&gt;=100000, "Excellent", AND(L104&lt;100000, L104&gt;=50000), "Very Good", AND(L104&lt;50000, L104&gt;=20000), "Good", L104&lt;20000, "Average")</f>
        <v>Average</v>
      </c>
    </row>
    <row r="105" spans="1:13" ht="15" thickBot="1" x14ac:dyDescent="0.4">
      <c r="A105" s="5">
        <v>1323</v>
      </c>
      <c r="B105" s="5" t="s">
        <v>57</v>
      </c>
      <c r="C105" s="5" t="s">
        <v>38</v>
      </c>
      <c r="D105" s="5" t="s">
        <v>34</v>
      </c>
      <c r="E105" s="5" t="s">
        <v>61</v>
      </c>
      <c r="F105" s="5">
        <v>2</v>
      </c>
      <c r="G105" s="5">
        <v>32074</v>
      </c>
      <c r="H105" s="5">
        <v>10</v>
      </c>
      <c r="I105" s="6">
        <v>46073</v>
      </c>
      <c r="J105" s="6">
        <v>46078</v>
      </c>
      <c r="K105" s="10" t="s">
        <v>15</v>
      </c>
      <c r="L105" s="16">
        <f t="shared" si="1"/>
        <v>57733.200000000004</v>
      </c>
      <c r="M105" s="14" t="str" cm="1">
        <f t="array" ref="M105">_xlfn.IFS(L105&gt;=100000, "Excellent", AND(L105&lt;100000, L105&gt;=50000), "Very Good", AND(L105&lt;50000, L105&gt;=20000), "Good", L105&lt;20000, "Average")</f>
        <v>Very Good</v>
      </c>
    </row>
    <row r="106" spans="1:13" ht="15" thickBot="1" x14ac:dyDescent="0.4">
      <c r="A106" s="5">
        <v>1253</v>
      </c>
      <c r="B106" s="5" t="s">
        <v>21</v>
      </c>
      <c r="C106" s="5" t="s">
        <v>31</v>
      </c>
      <c r="D106" s="5" t="s">
        <v>34</v>
      </c>
      <c r="E106" s="5" t="s">
        <v>45</v>
      </c>
      <c r="F106" s="5">
        <v>20</v>
      </c>
      <c r="G106" s="5">
        <v>47880</v>
      </c>
      <c r="H106" s="5">
        <v>7</v>
      </c>
      <c r="I106" s="6">
        <v>46074</v>
      </c>
      <c r="J106" s="6">
        <v>46075</v>
      </c>
      <c r="K106" s="10" t="s">
        <v>29</v>
      </c>
      <c r="L106" s="16">
        <f t="shared" si="1"/>
        <v>890567.99999999988</v>
      </c>
      <c r="M106" s="14" t="str" cm="1">
        <f t="array" ref="M106">_xlfn.IFS(L106&gt;=100000, "Excellent", AND(L106&lt;100000, L106&gt;=50000), "Very Good", AND(L106&lt;50000, L106&gt;=20000), "Good", L106&lt;20000, "Average")</f>
        <v>Excellent</v>
      </c>
    </row>
    <row r="107" spans="1:13" ht="15" thickBot="1" x14ac:dyDescent="0.4">
      <c r="A107" s="5">
        <v>1384</v>
      </c>
      <c r="B107" s="5" t="s">
        <v>59</v>
      </c>
      <c r="C107" s="5" t="s">
        <v>12</v>
      </c>
      <c r="D107" s="5" t="s">
        <v>34</v>
      </c>
      <c r="E107" s="5" t="s">
        <v>39</v>
      </c>
      <c r="F107" s="5">
        <v>15</v>
      </c>
      <c r="G107" s="5">
        <v>38116</v>
      </c>
      <c r="H107" s="5">
        <v>0</v>
      </c>
      <c r="I107" s="6">
        <v>46074</v>
      </c>
      <c r="J107" s="6">
        <v>46078</v>
      </c>
      <c r="K107" s="10" t="s">
        <v>29</v>
      </c>
      <c r="L107" s="16">
        <f t="shared" si="1"/>
        <v>571740</v>
      </c>
      <c r="M107" s="14" t="str" cm="1">
        <f t="array" ref="M107">_xlfn.IFS(L107&gt;=100000, "Excellent", AND(L107&lt;100000, L107&gt;=50000), "Very Good", AND(L107&lt;50000, L107&gt;=20000), "Good", L107&lt;20000, "Average")</f>
        <v>Excellent</v>
      </c>
    </row>
    <row r="108" spans="1:13" ht="15" thickBot="1" x14ac:dyDescent="0.4">
      <c r="A108" s="5">
        <v>1378</v>
      </c>
      <c r="B108" s="5" t="s">
        <v>55</v>
      </c>
      <c r="C108" s="5" t="s">
        <v>22</v>
      </c>
      <c r="D108" s="5" t="s">
        <v>34</v>
      </c>
      <c r="E108" s="5" t="s">
        <v>45</v>
      </c>
      <c r="F108" s="5">
        <v>15</v>
      </c>
      <c r="G108" s="5">
        <v>22693</v>
      </c>
      <c r="H108" s="5">
        <v>12</v>
      </c>
      <c r="I108" s="6">
        <v>46074</v>
      </c>
      <c r="J108" s="6">
        <v>46080</v>
      </c>
      <c r="K108" s="10" t="s">
        <v>51</v>
      </c>
      <c r="L108" s="16">
        <f t="shared" si="1"/>
        <v>299547.59999999998</v>
      </c>
      <c r="M108" s="14" t="str" cm="1">
        <f t="array" ref="M108">_xlfn.IFS(L108&gt;=100000, "Excellent", AND(L108&lt;100000, L108&gt;=50000), "Very Good", AND(L108&lt;50000, L108&gt;=20000), "Good", L108&lt;20000, "Average")</f>
        <v>Excellent</v>
      </c>
    </row>
    <row r="109" spans="1:13" ht="15" thickBot="1" x14ac:dyDescent="0.4">
      <c r="A109" s="5">
        <v>1058</v>
      </c>
      <c r="B109" s="5" t="s">
        <v>52</v>
      </c>
      <c r="C109" s="5" t="s">
        <v>38</v>
      </c>
      <c r="D109" s="5" t="s">
        <v>18</v>
      </c>
      <c r="E109" s="5" t="s">
        <v>28</v>
      </c>
      <c r="F109" s="5">
        <v>10</v>
      </c>
      <c r="G109" s="5">
        <v>5532</v>
      </c>
      <c r="H109" s="5">
        <v>7</v>
      </c>
      <c r="I109" s="6">
        <v>46074</v>
      </c>
      <c r="J109" s="6">
        <v>46084</v>
      </c>
      <c r="K109" s="10" t="s">
        <v>24</v>
      </c>
      <c r="L109" s="16">
        <f t="shared" si="1"/>
        <v>51447.6</v>
      </c>
      <c r="M109" s="14" t="str" cm="1">
        <f t="array" ref="M109">_xlfn.IFS(L109&gt;=100000, "Excellent", AND(L109&lt;100000, L109&gt;=50000), "Very Good", AND(L109&lt;50000, L109&gt;=20000), "Good", L109&lt;20000, "Average")</f>
        <v>Very Good</v>
      </c>
    </row>
    <row r="110" spans="1:13" ht="15" thickBot="1" x14ac:dyDescent="0.4">
      <c r="A110" s="5">
        <v>1337</v>
      </c>
      <c r="B110" s="5" t="s">
        <v>16</v>
      </c>
      <c r="C110" s="5" t="s">
        <v>12</v>
      </c>
      <c r="D110" s="5" t="s">
        <v>13</v>
      </c>
      <c r="E110" s="5" t="s">
        <v>53</v>
      </c>
      <c r="F110" s="5">
        <v>14</v>
      </c>
      <c r="G110" s="5">
        <v>373</v>
      </c>
      <c r="H110" s="5">
        <v>10</v>
      </c>
      <c r="I110" s="6">
        <v>46074</v>
      </c>
      <c r="J110" s="6">
        <v>46080</v>
      </c>
      <c r="K110" s="10" t="s">
        <v>29</v>
      </c>
      <c r="L110" s="16">
        <f t="shared" si="1"/>
        <v>4699.8</v>
      </c>
      <c r="M110" s="14" t="str" cm="1">
        <f t="array" ref="M110">_xlfn.IFS(L110&gt;=100000, "Excellent", AND(L110&lt;100000, L110&gt;=50000), "Very Good", AND(L110&lt;50000, L110&gt;=20000), "Good", L110&lt;20000, "Average")</f>
        <v>Average</v>
      </c>
    </row>
    <row r="111" spans="1:13" ht="15" thickBot="1" x14ac:dyDescent="0.4">
      <c r="A111" s="5">
        <v>1201</v>
      </c>
      <c r="B111" s="5" t="s">
        <v>54</v>
      </c>
      <c r="C111" s="5" t="s">
        <v>31</v>
      </c>
      <c r="D111" s="5" t="s">
        <v>13</v>
      </c>
      <c r="E111" s="5" t="s">
        <v>53</v>
      </c>
      <c r="F111" s="5">
        <v>18</v>
      </c>
      <c r="G111" s="5">
        <v>139</v>
      </c>
      <c r="H111" s="5">
        <v>12</v>
      </c>
      <c r="I111" s="6">
        <v>46075</v>
      </c>
      <c r="J111" s="6">
        <v>46076</v>
      </c>
      <c r="K111" s="10" t="s">
        <v>20</v>
      </c>
      <c r="L111" s="16">
        <f t="shared" si="1"/>
        <v>2201.7600000000002</v>
      </c>
      <c r="M111" s="14" t="str" cm="1">
        <f t="array" ref="M111">_xlfn.IFS(L111&gt;=100000, "Excellent", AND(L111&lt;100000, L111&gt;=50000), "Very Good", AND(L111&lt;50000, L111&gt;=20000), "Good", L111&lt;20000, "Average")</f>
        <v>Average</v>
      </c>
    </row>
    <row r="112" spans="1:13" ht="15" thickBot="1" x14ac:dyDescent="0.4">
      <c r="A112" s="5">
        <v>1082</v>
      </c>
      <c r="B112" s="5" t="s">
        <v>21</v>
      </c>
      <c r="C112" s="5" t="s">
        <v>12</v>
      </c>
      <c r="D112" s="5" t="s">
        <v>13</v>
      </c>
      <c r="E112" s="5" t="s">
        <v>14</v>
      </c>
      <c r="F112" s="5">
        <v>7</v>
      </c>
      <c r="G112" s="5">
        <v>133</v>
      </c>
      <c r="H112" s="5">
        <v>10</v>
      </c>
      <c r="I112" s="6">
        <v>46075</v>
      </c>
      <c r="J112" s="6">
        <v>46085</v>
      </c>
      <c r="K112" s="10" t="s">
        <v>51</v>
      </c>
      <c r="L112" s="16">
        <f t="shared" si="1"/>
        <v>837.9</v>
      </c>
      <c r="M112" s="14" t="str" cm="1">
        <f t="array" ref="M112">_xlfn.IFS(L112&gt;=100000, "Excellent", AND(L112&lt;100000, L112&gt;=50000), "Very Good", AND(L112&lt;50000, L112&gt;=20000), "Good", L112&lt;20000, "Average")</f>
        <v>Average</v>
      </c>
    </row>
    <row r="113" spans="1:13" ht="15" thickBot="1" x14ac:dyDescent="0.4">
      <c r="A113" s="5">
        <v>1325</v>
      </c>
      <c r="B113" s="5" t="s">
        <v>48</v>
      </c>
      <c r="C113" s="5" t="s">
        <v>43</v>
      </c>
      <c r="D113" s="5" t="s">
        <v>34</v>
      </c>
      <c r="E113" s="5" t="s">
        <v>39</v>
      </c>
      <c r="F113" s="5">
        <v>9</v>
      </c>
      <c r="G113" s="5">
        <v>58442</v>
      </c>
      <c r="H113" s="5">
        <v>12</v>
      </c>
      <c r="I113" s="6">
        <v>46076</v>
      </c>
      <c r="J113" s="6">
        <v>46085</v>
      </c>
      <c r="K113" s="10" t="s">
        <v>20</v>
      </c>
      <c r="L113" s="16">
        <f t="shared" si="1"/>
        <v>462860.64</v>
      </c>
      <c r="M113" s="14" t="str" cm="1">
        <f t="array" ref="M113">_xlfn.IFS(L113&gt;=100000, "Excellent", AND(L113&lt;100000, L113&gt;=50000), "Very Good", AND(L113&lt;50000, L113&gt;=20000), "Good", L113&lt;20000, "Average")</f>
        <v>Excellent</v>
      </c>
    </row>
    <row r="114" spans="1:13" ht="15" thickBot="1" x14ac:dyDescent="0.4">
      <c r="A114" s="5">
        <v>1107</v>
      </c>
      <c r="B114" s="5" t="s">
        <v>52</v>
      </c>
      <c r="C114" s="5" t="s">
        <v>17</v>
      </c>
      <c r="D114" s="5" t="s">
        <v>34</v>
      </c>
      <c r="E114" s="5" t="s">
        <v>60</v>
      </c>
      <c r="F114" s="5">
        <v>4</v>
      </c>
      <c r="G114" s="5">
        <v>14291</v>
      </c>
      <c r="H114" s="5">
        <v>2</v>
      </c>
      <c r="I114" s="6">
        <v>46076</v>
      </c>
      <c r="J114" s="6">
        <v>46078</v>
      </c>
      <c r="K114" s="10" t="s">
        <v>15</v>
      </c>
      <c r="L114" s="16">
        <f t="shared" si="1"/>
        <v>56020.72</v>
      </c>
      <c r="M114" s="14" t="str" cm="1">
        <f t="array" ref="M114">_xlfn.IFS(L114&gt;=100000, "Excellent", AND(L114&lt;100000, L114&gt;=50000), "Very Good", AND(L114&lt;50000, L114&gt;=20000), "Good", L114&lt;20000, "Average")</f>
        <v>Very Good</v>
      </c>
    </row>
    <row r="115" spans="1:13" ht="15" thickBot="1" x14ac:dyDescent="0.4">
      <c r="A115" s="5">
        <v>1390</v>
      </c>
      <c r="B115" s="5" t="s">
        <v>58</v>
      </c>
      <c r="C115" s="5" t="s">
        <v>43</v>
      </c>
      <c r="D115" s="5" t="s">
        <v>18</v>
      </c>
      <c r="E115" s="5" t="s">
        <v>19</v>
      </c>
      <c r="F115" s="5">
        <v>9</v>
      </c>
      <c r="G115" s="5">
        <v>7670</v>
      </c>
      <c r="H115" s="5">
        <v>0</v>
      </c>
      <c r="I115" s="6">
        <v>46076</v>
      </c>
      <c r="J115" s="6">
        <v>46081</v>
      </c>
      <c r="K115" s="10" t="s">
        <v>51</v>
      </c>
      <c r="L115" s="16">
        <f t="shared" si="1"/>
        <v>69030</v>
      </c>
      <c r="M115" s="14" t="str" cm="1">
        <f t="array" ref="M115">_xlfn.IFS(L115&gt;=100000, "Excellent", AND(L115&lt;100000, L115&gt;=50000), "Very Good", AND(L115&lt;50000, L115&gt;=20000), "Good", L115&lt;20000, "Average")</f>
        <v>Very Good</v>
      </c>
    </row>
    <row r="116" spans="1:13" ht="15" thickBot="1" x14ac:dyDescent="0.4">
      <c r="A116" s="5">
        <v>1113</v>
      </c>
      <c r="B116" s="5" t="s">
        <v>26</v>
      </c>
      <c r="C116" s="5" t="s">
        <v>43</v>
      </c>
      <c r="D116" s="5" t="s">
        <v>18</v>
      </c>
      <c r="E116" s="5" t="s">
        <v>56</v>
      </c>
      <c r="F116" s="5">
        <v>13</v>
      </c>
      <c r="G116" s="5">
        <v>6719</v>
      </c>
      <c r="H116" s="5">
        <v>15</v>
      </c>
      <c r="I116" s="6">
        <v>46076</v>
      </c>
      <c r="J116" s="6">
        <v>46081</v>
      </c>
      <c r="K116" s="10" t="s">
        <v>24</v>
      </c>
      <c r="L116" s="16">
        <f t="shared" si="1"/>
        <v>74244.95</v>
      </c>
      <c r="M116" s="14" t="str" cm="1">
        <f t="array" ref="M116">_xlfn.IFS(L116&gt;=100000, "Excellent", AND(L116&lt;100000, L116&gt;=50000), "Very Good", AND(L116&lt;50000, L116&gt;=20000), "Good", L116&lt;20000, "Average")</f>
        <v>Very Good</v>
      </c>
    </row>
    <row r="117" spans="1:13" ht="15" thickBot="1" x14ac:dyDescent="0.4">
      <c r="A117" s="5">
        <v>1070</v>
      </c>
      <c r="B117" s="5" t="s">
        <v>52</v>
      </c>
      <c r="C117" s="5" t="s">
        <v>43</v>
      </c>
      <c r="D117" s="5" t="s">
        <v>13</v>
      </c>
      <c r="E117" s="5" t="s">
        <v>36</v>
      </c>
      <c r="F117" s="5">
        <v>10</v>
      </c>
      <c r="G117" s="5">
        <v>233</v>
      </c>
      <c r="H117" s="5">
        <v>7</v>
      </c>
      <c r="I117" s="6">
        <v>46076</v>
      </c>
      <c r="J117" s="6">
        <v>46077</v>
      </c>
      <c r="K117" s="10" t="s">
        <v>29</v>
      </c>
      <c r="L117" s="16">
        <f t="shared" si="1"/>
        <v>2166.8999999999996</v>
      </c>
      <c r="M117" s="14" t="str" cm="1">
        <f t="array" ref="M117">_xlfn.IFS(L117&gt;=100000, "Excellent", AND(L117&lt;100000, L117&gt;=50000), "Very Good", AND(L117&lt;50000, L117&gt;=20000), "Good", L117&lt;20000, "Average")</f>
        <v>Average</v>
      </c>
    </row>
    <row r="118" spans="1:13" ht="15" thickBot="1" x14ac:dyDescent="0.4">
      <c r="A118" s="5">
        <v>1157</v>
      </c>
      <c r="B118" s="5" t="s">
        <v>52</v>
      </c>
      <c r="C118" s="5" t="s">
        <v>33</v>
      </c>
      <c r="D118" s="5" t="s">
        <v>13</v>
      </c>
      <c r="E118" s="5" t="s">
        <v>50</v>
      </c>
      <c r="F118" s="5">
        <v>3</v>
      </c>
      <c r="G118" s="5">
        <v>203</v>
      </c>
      <c r="H118" s="5">
        <v>15</v>
      </c>
      <c r="I118" s="6">
        <v>46076</v>
      </c>
      <c r="J118" s="6">
        <v>46080</v>
      </c>
      <c r="K118" s="10" t="s">
        <v>29</v>
      </c>
      <c r="L118" s="16">
        <f t="shared" si="1"/>
        <v>517.65</v>
      </c>
      <c r="M118" s="14" t="str" cm="1">
        <f t="array" ref="M118">_xlfn.IFS(L118&gt;=100000, "Excellent", AND(L118&lt;100000, L118&gt;=50000), "Very Good", AND(L118&lt;50000, L118&gt;=20000), "Good", L118&lt;20000, "Average")</f>
        <v>Average</v>
      </c>
    </row>
    <row r="119" spans="1:13" ht="15" thickBot="1" x14ac:dyDescent="0.4">
      <c r="A119" s="5">
        <v>1110</v>
      </c>
      <c r="B119" s="5" t="s">
        <v>49</v>
      </c>
      <c r="C119" s="5" t="s">
        <v>38</v>
      </c>
      <c r="D119" s="5" t="s">
        <v>18</v>
      </c>
      <c r="E119" s="5" t="s">
        <v>23</v>
      </c>
      <c r="F119" s="5">
        <v>14</v>
      </c>
      <c r="G119" s="5">
        <v>6793</v>
      </c>
      <c r="H119" s="5">
        <v>7</v>
      </c>
      <c r="I119" s="6">
        <v>46077</v>
      </c>
      <c r="J119" s="6">
        <v>46082</v>
      </c>
      <c r="K119" s="10" t="s">
        <v>29</v>
      </c>
      <c r="L119" s="16">
        <f t="shared" si="1"/>
        <v>88444.86</v>
      </c>
      <c r="M119" s="14" t="str" cm="1">
        <f t="array" ref="M119">_xlfn.IFS(L119&gt;=100000, "Excellent", AND(L119&lt;100000, L119&gt;=50000), "Very Good", AND(L119&lt;50000, L119&gt;=20000), "Good", L119&lt;20000, "Average")</f>
        <v>Very Good</v>
      </c>
    </row>
    <row r="120" spans="1:13" ht="15" thickBot="1" x14ac:dyDescent="0.4">
      <c r="A120" s="5">
        <v>1223</v>
      </c>
      <c r="B120" s="5" t="s">
        <v>59</v>
      </c>
      <c r="C120" s="5" t="s">
        <v>17</v>
      </c>
      <c r="D120" s="5" t="s">
        <v>18</v>
      </c>
      <c r="E120" s="5" t="s">
        <v>23</v>
      </c>
      <c r="F120" s="5">
        <v>4</v>
      </c>
      <c r="G120" s="5">
        <v>2249</v>
      </c>
      <c r="H120" s="5">
        <v>7</v>
      </c>
      <c r="I120" s="6">
        <v>46077</v>
      </c>
      <c r="J120" s="6">
        <v>46084</v>
      </c>
      <c r="K120" s="10" t="s">
        <v>15</v>
      </c>
      <c r="L120" s="16">
        <f t="shared" si="1"/>
        <v>8366.2799999999988</v>
      </c>
      <c r="M120" s="14" t="str" cm="1">
        <f t="array" ref="M120">_xlfn.IFS(L120&gt;=100000, "Excellent", AND(L120&lt;100000, L120&gt;=50000), "Very Good", AND(L120&lt;50000, L120&gt;=20000), "Good", L120&lt;20000, "Average")</f>
        <v>Average</v>
      </c>
    </row>
    <row r="121" spans="1:13" ht="15" thickBot="1" x14ac:dyDescent="0.4">
      <c r="A121" s="5">
        <v>1055</v>
      </c>
      <c r="B121" s="5" t="s">
        <v>48</v>
      </c>
      <c r="C121" s="5" t="s">
        <v>12</v>
      </c>
      <c r="D121" s="5" t="s">
        <v>13</v>
      </c>
      <c r="E121" s="5" t="s">
        <v>37</v>
      </c>
      <c r="F121" s="5">
        <v>18</v>
      </c>
      <c r="G121" s="5">
        <v>185</v>
      </c>
      <c r="H121" s="5">
        <v>15</v>
      </c>
      <c r="I121" s="6">
        <v>46077</v>
      </c>
      <c r="J121" s="6">
        <v>46078</v>
      </c>
      <c r="K121" s="10" t="s">
        <v>15</v>
      </c>
      <c r="L121" s="16">
        <f t="shared" si="1"/>
        <v>2830.5</v>
      </c>
      <c r="M121" s="14" t="str" cm="1">
        <f t="array" ref="M121">_xlfn.IFS(L121&gt;=100000, "Excellent", AND(L121&lt;100000, L121&gt;=50000), "Very Good", AND(L121&lt;50000, L121&gt;=20000), "Good", L121&lt;20000, "Average")</f>
        <v>Average</v>
      </c>
    </row>
    <row r="122" spans="1:13" ht="15" thickBot="1" x14ac:dyDescent="0.4">
      <c r="A122" s="5">
        <v>1272</v>
      </c>
      <c r="B122" s="5" t="s">
        <v>52</v>
      </c>
      <c r="C122" s="5" t="s">
        <v>38</v>
      </c>
      <c r="D122" s="5" t="s">
        <v>34</v>
      </c>
      <c r="E122" s="5" t="s">
        <v>41</v>
      </c>
      <c r="F122" s="5">
        <v>13</v>
      </c>
      <c r="G122" s="5">
        <v>42179</v>
      </c>
      <c r="H122" s="5">
        <v>0</v>
      </c>
      <c r="I122" s="6">
        <v>46078</v>
      </c>
      <c r="J122" s="6">
        <v>46084</v>
      </c>
      <c r="K122" s="10" t="s">
        <v>20</v>
      </c>
      <c r="L122" s="16">
        <f t="shared" si="1"/>
        <v>548327</v>
      </c>
      <c r="M122" s="14" t="str" cm="1">
        <f t="array" ref="M122">_xlfn.IFS(L122&gt;=100000, "Excellent", AND(L122&lt;100000, L122&gt;=50000), "Very Good", AND(L122&lt;50000, L122&gt;=20000), "Good", L122&lt;20000, "Average")</f>
        <v>Excellent</v>
      </c>
    </row>
    <row r="123" spans="1:13" ht="15" thickBot="1" x14ac:dyDescent="0.4">
      <c r="A123" s="5">
        <v>1316</v>
      </c>
      <c r="B123" s="5" t="s">
        <v>46</v>
      </c>
      <c r="C123" s="5" t="s">
        <v>12</v>
      </c>
      <c r="D123" s="5" t="s">
        <v>18</v>
      </c>
      <c r="E123" s="5" t="s">
        <v>28</v>
      </c>
      <c r="F123" s="5">
        <v>7</v>
      </c>
      <c r="G123" s="5">
        <v>9838</v>
      </c>
      <c r="H123" s="5">
        <v>7</v>
      </c>
      <c r="I123" s="6">
        <v>46078</v>
      </c>
      <c r="J123" s="6">
        <v>46085</v>
      </c>
      <c r="K123" s="10" t="s">
        <v>20</v>
      </c>
      <c r="L123" s="16">
        <f t="shared" si="1"/>
        <v>64045.38</v>
      </c>
      <c r="M123" s="14" t="str" cm="1">
        <f t="array" ref="M123">_xlfn.IFS(L123&gt;=100000, "Excellent", AND(L123&lt;100000, L123&gt;=50000), "Very Good", AND(L123&lt;50000, L123&gt;=20000), "Good", L123&lt;20000, "Average")</f>
        <v>Very Good</v>
      </c>
    </row>
    <row r="124" spans="1:13" ht="15" thickBot="1" x14ac:dyDescent="0.4">
      <c r="A124" s="5">
        <v>1020</v>
      </c>
      <c r="B124" s="5" t="s">
        <v>46</v>
      </c>
      <c r="C124" s="5" t="s">
        <v>12</v>
      </c>
      <c r="D124" s="5" t="s">
        <v>18</v>
      </c>
      <c r="E124" s="5" t="s">
        <v>19</v>
      </c>
      <c r="F124" s="5">
        <v>5</v>
      </c>
      <c r="G124" s="5">
        <v>4582</v>
      </c>
      <c r="H124" s="5">
        <v>5</v>
      </c>
      <c r="I124" s="6">
        <v>46078</v>
      </c>
      <c r="J124" s="6">
        <v>46083</v>
      </c>
      <c r="K124" s="10" t="s">
        <v>15</v>
      </c>
      <c r="L124" s="16">
        <f t="shared" si="1"/>
        <v>21764.5</v>
      </c>
      <c r="M124" s="14" t="str" cm="1">
        <f t="array" ref="M124">_xlfn.IFS(L124&gt;=100000, "Excellent", AND(L124&lt;100000, L124&gt;=50000), "Very Good", AND(L124&lt;50000, L124&gt;=20000), "Good", L124&lt;20000, "Average")</f>
        <v>Good</v>
      </c>
    </row>
    <row r="125" spans="1:13" ht="15" thickBot="1" x14ac:dyDescent="0.4">
      <c r="A125" s="5">
        <v>1349</v>
      </c>
      <c r="B125" s="5" t="s">
        <v>40</v>
      </c>
      <c r="C125" s="5" t="s">
        <v>33</v>
      </c>
      <c r="D125" s="5" t="s">
        <v>34</v>
      </c>
      <c r="E125" s="5" t="s">
        <v>35</v>
      </c>
      <c r="F125" s="5">
        <v>20</v>
      </c>
      <c r="G125" s="5">
        <v>62721</v>
      </c>
      <c r="H125" s="5">
        <v>7</v>
      </c>
      <c r="I125" s="6">
        <v>46079</v>
      </c>
      <c r="J125" s="6">
        <v>46083</v>
      </c>
      <c r="K125" s="10" t="s">
        <v>20</v>
      </c>
      <c r="L125" s="16">
        <f t="shared" si="1"/>
        <v>1166610.5999999999</v>
      </c>
      <c r="M125" s="14" t="str" cm="1">
        <f t="array" ref="M125">_xlfn.IFS(L125&gt;=100000, "Excellent", AND(L125&lt;100000, L125&gt;=50000), "Very Good", AND(L125&lt;50000, L125&gt;=20000), "Good", L125&lt;20000, "Average")</f>
        <v>Excellent</v>
      </c>
    </row>
    <row r="126" spans="1:13" ht="15" thickBot="1" x14ac:dyDescent="0.4">
      <c r="A126" s="5">
        <v>1158</v>
      </c>
      <c r="B126" s="5" t="s">
        <v>26</v>
      </c>
      <c r="C126" s="5" t="s">
        <v>38</v>
      </c>
      <c r="D126" s="5" t="s">
        <v>34</v>
      </c>
      <c r="E126" s="5" t="s">
        <v>41</v>
      </c>
      <c r="F126" s="5">
        <v>13</v>
      </c>
      <c r="G126" s="5">
        <v>12518</v>
      </c>
      <c r="H126" s="5">
        <v>2</v>
      </c>
      <c r="I126" s="6">
        <v>46079</v>
      </c>
      <c r="J126" s="6">
        <v>46082</v>
      </c>
      <c r="K126" s="10" t="s">
        <v>51</v>
      </c>
      <c r="L126" s="16">
        <f t="shared" si="1"/>
        <v>159479.32</v>
      </c>
      <c r="M126" s="14" t="str" cm="1">
        <f t="array" ref="M126">_xlfn.IFS(L126&gt;=100000, "Excellent", AND(L126&lt;100000, L126&gt;=50000), "Very Good", AND(L126&lt;50000, L126&gt;=20000), "Good", L126&lt;20000, "Average")</f>
        <v>Excellent</v>
      </c>
    </row>
    <row r="127" spans="1:13" ht="15" thickBot="1" x14ac:dyDescent="0.4">
      <c r="A127" s="5">
        <v>1163</v>
      </c>
      <c r="B127" s="5" t="s">
        <v>29</v>
      </c>
      <c r="C127" s="5" t="s">
        <v>38</v>
      </c>
      <c r="D127" s="5" t="s">
        <v>34</v>
      </c>
      <c r="E127" s="5" t="s">
        <v>39</v>
      </c>
      <c r="F127" s="5">
        <v>9</v>
      </c>
      <c r="G127" s="5">
        <v>62440</v>
      </c>
      <c r="H127" s="5">
        <v>2</v>
      </c>
      <c r="I127" s="6">
        <v>46081</v>
      </c>
      <c r="J127" s="6">
        <v>46086</v>
      </c>
      <c r="K127" s="10" t="s">
        <v>29</v>
      </c>
      <c r="L127" s="16">
        <f t="shared" si="1"/>
        <v>550720.80000000005</v>
      </c>
      <c r="M127" s="14" t="str" cm="1">
        <f t="array" ref="M127">_xlfn.IFS(L127&gt;=100000, "Excellent", AND(L127&lt;100000, L127&gt;=50000), "Very Good", AND(L127&lt;50000, L127&gt;=20000), "Good", L127&lt;20000, "Average")</f>
        <v>Excellent</v>
      </c>
    </row>
    <row r="128" spans="1:13" ht="15" thickBot="1" x14ac:dyDescent="0.4">
      <c r="A128" s="5">
        <v>1042</v>
      </c>
      <c r="B128" s="5" t="s">
        <v>46</v>
      </c>
      <c r="C128" s="5" t="s">
        <v>33</v>
      </c>
      <c r="D128" s="5" t="s">
        <v>13</v>
      </c>
      <c r="E128" s="5" t="s">
        <v>53</v>
      </c>
      <c r="F128" s="5">
        <v>16</v>
      </c>
      <c r="G128" s="5">
        <v>232</v>
      </c>
      <c r="H128" s="5">
        <v>0</v>
      </c>
      <c r="I128" s="6">
        <v>46081</v>
      </c>
      <c r="J128" s="6">
        <v>46088</v>
      </c>
      <c r="K128" s="10" t="s">
        <v>29</v>
      </c>
      <c r="L128" s="16">
        <f t="shared" si="1"/>
        <v>3712</v>
      </c>
      <c r="M128" s="14" t="str" cm="1">
        <f t="array" ref="M128">_xlfn.IFS(L128&gt;=100000, "Excellent", AND(L128&lt;100000, L128&gt;=50000), "Very Good", AND(L128&lt;50000, L128&gt;=20000), "Good", L128&lt;20000, "Average")</f>
        <v>Average</v>
      </c>
    </row>
    <row r="129" spans="1:13" ht="15" thickBot="1" x14ac:dyDescent="0.4">
      <c r="A129" s="5">
        <v>1001</v>
      </c>
      <c r="B129" s="5" t="s">
        <v>11</v>
      </c>
      <c r="C129" s="5" t="s">
        <v>12</v>
      </c>
      <c r="D129" s="5" t="s">
        <v>13</v>
      </c>
      <c r="E129" s="5" t="s">
        <v>14</v>
      </c>
      <c r="F129" s="5">
        <v>3</v>
      </c>
      <c r="G129" s="5">
        <v>222</v>
      </c>
      <c r="H129" s="5">
        <v>15</v>
      </c>
      <c r="I129" s="6">
        <v>46081</v>
      </c>
      <c r="J129" s="6">
        <v>46083</v>
      </c>
      <c r="K129" s="10" t="s">
        <v>15</v>
      </c>
      <c r="L129" s="16">
        <f t="shared" si="1"/>
        <v>566.1</v>
      </c>
      <c r="M129" s="14" t="str" cm="1">
        <f t="array" ref="M129">_xlfn.IFS(L129&gt;=100000, "Excellent", AND(L129&lt;100000, L129&gt;=50000), "Very Good", AND(L129&lt;50000, L129&gt;=20000), "Good", L129&lt;20000, "Average")</f>
        <v>Average</v>
      </c>
    </row>
    <row r="130" spans="1:13" ht="15" thickBot="1" x14ac:dyDescent="0.4">
      <c r="A130" s="5">
        <v>1202</v>
      </c>
      <c r="B130" s="5" t="s">
        <v>57</v>
      </c>
      <c r="C130" s="5" t="s">
        <v>22</v>
      </c>
      <c r="D130" s="5" t="s">
        <v>34</v>
      </c>
      <c r="E130" s="5" t="s">
        <v>35</v>
      </c>
      <c r="F130" s="5">
        <v>2</v>
      </c>
      <c r="G130" s="5">
        <v>20312</v>
      </c>
      <c r="H130" s="5">
        <v>12</v>
      </c>
      <c r="I130" s="6">
        <v>46082</v>
      </c>
      <c r="J130" s="6">
        <v>46091</v>
      </c>
      <c r="K130" s="10" t="s">
        <v>15</v>
      </c>
      <c r="L130" s="16">
        <f t="shared" si="1"/>
        <v>35749.120000000003</v>
      </c>
      <c r="M130" s="14" t="str" cm="1">
        <f t="array" ref="M130">_xlfn.IFS(L130&gt;=100000, "Excellent", AND(L130&lt;100000, L130&gt;=50000), "Very Good", AND(L130&lt;50000, L130&gt;=20000), "Good", L130&lt;20000, "Average")</f>
        <v>Good</v>
      </c>
    </row>
    <row r="131" spans="1:13" ht="15" thickBot="1" x14ac:dyDescent="0.4">
      <c r="A131" s="5">
        <v>1066</v>
      </c>
      <c r="B131" s="5" t="s">
        <v>47</v>
      </c>
      <c r="C131" s="5" t="s">
        <v>25</v>
      </c>
      <c r="D131" s="5" t="s">
        <v>18</v>
      </c>
      <c r="E131" s="5" t="s">
        <v>44</v>
      </c>
      <c r="F131" s="5">
        <v>15</v>
      </c>
      <c r="G131" s="5">
        <v>11987</v>
      </c>
      <c r="H131" s="5">
        <v>5</v>
      </c>
      <c r="I131" s="6">
        <v>46082</v>
      </c>
      <c r="J131" s="6">
        <v>46083</v>
      </c>
      <c r="K131" s="10" t="s">
        <v>15</v>
      </c>
      <c r="L131" s="16">
        <f t="shared" ref="L131:L194" si="2">F131*G131*(1-H131/100)</f>
        <v>170814.75</v>
      </c>
      <c r="M131" s="14" t="str" cm="1">
        <f t="array" ref="M131">_xlfn.IFS(L131&gt;=100000, "Excellent", AND(L131&lt;100000, L131&gt;=50000), "Very Good", AND(L131&lt;50000, L131&gt;=20000), "Good", L131&lt;20000, "Average")</f>
        <v>Excellent</v>
      </c>
    </row>
    <row r="132" spans="1:13" ht="15" thickBot="1" x14ac:dyDescent="0.4">
      <c r="A132" s="5">
        <v>1033</v>
      </c>
      <c r="B132" s="5" t="s">
        <v>11</v>
      </c>
      <c r="C132" s="5" t="s">
        <v>43</v>
      </c>
      <c r="D132" s="5" t="s">
        <v>18</v>
      </c>
      <c r="E132" s="5" t="s">
        <v>19</v>
      </c>
      <c r="F132" s="5">
        <v>9</v>
      </c>
      <c r="G132" s="5">
        <v>4895</v>
      </c>
      <c r="H132" s="5">
        <v>2</v>
      </c>
      <c r="I132" s="6">
        <v>46082</v>
      </c>
      <c r="J132" s="6">
        <v>46084</v>
      </c>
      <c r="K132" s="10" t="s">
        <v>29</v>
      </c>
      <c r="L132" s="16">
        <f t="shared" si="2"/>
        <v>43173.9</v>
      </c>
      <c r="M132" s="14" t="str" cm="1">
        <f t="array" ref="M132">_xlfn.IFS(L132&gt;=100000, "Excellent", AND(L132&lt;100000, L132&gt;=50000), "Very Good", AND(L132&lt;50000, L132&gt;=20000), "Good", L132&lt;20000, "Average")</f>
        <v>Good</v>
      </c>
    </row>
    <row r="133" spans="1:13" ht="15" thickBot="1" x14ac:dyDescent="0.4">
      <c r="A133" s="5">
        <v>1284</v>
      </c>
      <c r="B133" s="5" t="s">
        <v>40</v>
      </c>
      <c r="C133" s="5" t="s">
        <v>25</v>
      </c>
      <c r="D133" s="5" t="s">
        <v>13</v>
      </c>
      <c r="E133" s="5" t="s">
        <v>37</v>
      </c>
      <c r="F133" s="5">
        <v>16</v>
      </c>
      <c r="G133" s="5">
        <v>419</v>
      </c>
      <c r="H133" s="5">
        <v>2</v>
      </c>
      <c r="I133" s="6">
        <v>46082</v>
      </c>
      <c r="J133" s="6">
        <v>46090</v>
      </c>
      <c r="K133" s="10" t="s">
        <v>15</v>
      </c>
      <c r="L133" s="16">
        <f t="shared" si="2"/>
        <v>6569.92</v>
      </c>
      <c r="M133" s="14" t="str" cm="1">
        <f t="array" ref="M133">_xlfn.IFS(L133&gt;=100000, "Excellent", AND(L133&lt;100000, L133&gt;=50000), "Very Good", AND(L133&lt;50000, L133&gt;=20000), "Good", L133&lt;20000, "Average")</f>
        <v>Average</v>
      </c>
    </row>
    <row r="134" spans="1:13" ht="15" thickBot="1" x14ac:dyDescent="0.4">
      <c r="A134" s="5">
        <v>1017</v>
      </c>
      <c r="B134" s="5" t="s">
        <v>46</v>
      </c>
      <c r="C134" s="5" t="s">
        <v>38</v>
      </c>
      <c r="D134" s="5" t="s">
        <v>13</v>
      </c>
      <c r="E134" s="5" t="s">
        <v>36</v>
      </c>
      <c r="F134" s="5">
        <v>8</v>
      </c>
      <c r="G134" s="5">
        <v>179</v>
      </c>
      <c r="H134" s="5">
        <v>15</v>
      </c>
      <c r="I134" s="6">
        <v>46082</v>
      </c>
      <c r="J134" s="6">
        <v>46084</v>
      </c>
      <c r="K134" s="10" t="s">
        <v>15</v>
      </c>
      <c r="L134" s="16">
        <f t="shared" si="2"/>
        <v>1217.2</v>
      </c>
      <c r="M134" s="14" t="str" cm="1">
        <f t="array" ref="M134">_xlfn.IFS(L134&gt;=100000, "Excellent", AND(L134&lt;100000, L134&gt;=50000), "Very Good", AND(L134&lt;50000, L134&gt;=20000), "Good", L134&lt;20000, "Average")</f>
        <v>Average</v>
      </c>
    </row>
    <row r="135" spans="1:13" ht="15" thickBot="1" x14ac:dyDescent="0.4">
      <c r="A135" s="5">
        <v>1271</v>
      </c>
      <c r="B135" s="5" t="s">
        <v>40</v>
      </c>
      <c r="C135" s="5" t="s">
        <v>33</v>
      </c>
      <c r="D135" s="5" t="s">
        <v>34</v>
      </c>
      <c r="E135" s="5" t="s">
        <v>60</v>
      </c>
      <c r="F135" s="5">
        <v>20</v>
      </c>
      <c r="G135" s="5">
        <v>36941</v>
      </c>
      <c r="H135" s="5">
        <v>15</v>
      </c>
      <c r="I135" s="6">
        <v>46083</v>
      </c>
      <c r="J135" s="6">
        <v>46085</v>
      </c>
      <c r="K135" s="10" t="s">
        <v>29</v>
      </c>
      <c r="L135" s="16">
        <f t="shared" si="2"/>
        <v>627997</v>
      </c>
      <c r="M135" s="14" t="str" cm="1">
        <f t="array" ref="M135">_xlfn.IFS(L135&gt;=100000, "Excellent", AND(L135&lt;100000, L135&gt;=50000), "Very Good", AND(L135&lt;50000, L135&gt;=20000), "Good", L135&lt;20000, "Average")</f>
        <v>Excellent</v>
      </c>
    </row>
    <row r="136" spans="1:13" ht="15" thickBot="1" x14ac:dyDescent="0.4">
      <c r="A136" s="5">
        <v>1298</v>
      </c>
      <c r="B136" s="5" t="s">
        <v>21</v>
      </c>
      <c r="C136" s="5" t="s">
        <v>12</v>
      </c>
      <c r="D136" s="5" t="s">
        <v>34</v>
      </c>
      <c r="E136" s="5" t="s">
        <v>61</v>
      </c>
      <c r="F136" s="5">
        <v>19</v>
      </c>
      <c r="G136" s="5">
        <v>20745</v>
      </c>
      <c r="H136" s="5">
        <v>2</v>
      </c>
      <c r="I136" s="6">
        <v>46083</v>
      </c>
      <c r="J136" s="6">
        <v>46093</v>
      </c>
      <c r="K136" s="10" t="s">
        <v>24</v>
      </c>
      <c r="L136" s="16">
        <f t="shared" si="2"/>
        <v>386271.89999999997</v>
      </c>
      <c r="M136" s="14" t="str" cm="1">
        <f t="array" ref="M136">_xlfn.IFS(L136&gt;=100000, "Excellent", AND(L136&lt;100000, L136&gt;=50000), "Very Good", AND(L136&lt;50000, L136&gt;=20000), "Good", L136&lt;20000, "Average")</f>
        <v>Excellent</v>
      </c>
    </row>
    <row r="137" spans="1:13" ht="15" thickBot="1" x14ac:dyDescent="0.4">
      <c r="A137" s="5">
        <v>1078</v>
      </c>
      <c r="B137" s="5" t="s">
        <v>52</v>
      </c>
      <c r="C137" s="5" t="s">
        <v>17</v>
      </c>
      <c r="D137" s="5" t="s">
        <v>34</v>
      </c>
      <c r="E137" s="5" t="s">
        <v>39</v>
      </c>
      <c r="F137" s="5">
        <v>11</v>
      </c>
      <c r="G137" s="5">
        <v>24278</v>
      </c>
      <c r="H137" s="5">
        <v>12</v>
      </c>
      <c r="I137" s="6">
        <v>46084</v>
      </c>
      <c r="J137" s="6">
        <v>46090</v>
      </c>
      <c r="K137" s="10" t="s">
        <v>29</v>
      </c>
      <c r="L137" s="16">
        <f t="shared" si="2"/>
        <v>235011.04</v>
      </c>
      <c r="M137" s="14" t="str" cm="1">
        <f t="array" ref="M137">_xlfn.IFS(L137&gt;=100000, "Excellent", AND(L137&lt;100000, L137&gt;=50000), "Very Good", AND(L137&lt;50000, L137&gt;=20000), "Good", L137&lt;20000, "Average")</f>
        <v>Excellent</v>
      </c>
    </row>
    <row r="138" spans="1:13" ht="15" thickBot="1" x14ac:dyDescent="0.4">
      <c r="A138" s="5">
        <v>1138</v>
      </c>
      <c r="B138" s="5" t="s">
        <v>55</v>
      </c>
      <c r="C138" s="5" t="s">
        <v>43</v>
      </c>
      <c r="D138" s="5" t="s">
        <v>18</v>
      </c>
      <c r="E138" s="5" t="s">
        <v>19</v>
      </c>
      <c r="F138" s="5">
        <v>5</v>
      </c>
      <c r="G138" s="5">
        <v>14466</v>
      </c>
      <c r="H138" s="5">
        <v>2</v>
      </c>
      <c r="I138" s="6">
        <v>46084</v>
      </c>
      <c r="J138" s="6">
        <v>46092</v>
      </c>
      <c r="K138" s="10" t="s">
        <v>51</v>
      </c>
      <c r="L138" s="16">
        <f t="shared" si="2"/>
        <v>70883.399999999994</v>
      </c>
      <c r="M138" s="14" t="str" cm="1">
        <f t="array" ref="M138">_xlfn.IFS(L138&gt;=100000, "Excellent", AND(L138&lt;100000, L138&gt;=50000), "Very Good", AND(L138&lt;50000, L138&gt;=20000), "Good", L138&lt;20000, "Average")</f>
        <v>Very Good</v>
      </c>
    </row>
    <row r="139" spans="1:13" ht="15" thickBot="1" x14ac:dyDescent="0.4">
      <c r="A139" s="5">
        <v>1280</v>
      </c>
      <c r="B139" s="5" t="s">
        <v>59</v>
      </c>
      <c r="C139" s="5" t="s">
        <v>38</v>
      </c>
      <c r="D139" s="5" t="s">
        <v>13</v>
      </c>
      <c r="E139" s="5" t="s">
        <v>53</v>
      </c>
      <c r="F139" s="5">
        <v>9</v>
      </c>
      <c r="G139" s="5">
        <v>50</v>
      </c>
      <c r="H139" s="5">
        <v>7</v>
      </c>
      <c r="I139" s="6">
        <v>46085</v>
      </c>
      <c r="J139" s="6">
        <v>46095</v>
      </c>
      <c r="K139" s="10" t="s">
        <v>51</v>
      </c>
      <c r="L139" s="16">
        <f t="shared" si="2"/>
        <v>418.5</v>
      </c>
      <c r="M139" s="14" t="str" cm="1">
        <f t="array" ref="M139">_xlfn.IFS(L139&gt;=100000, "Excellent", AND(L139&lt;100000, L139&gt;=50000), "Very Good", AND(L139&lt;50000, L139&gt;=20000), "Good", L139&lt;20000, "Average")</f>
        <v>Average</v>
      </c>
    </row>
    <row r="140" spans="1:13" ht="15" thickBot="1" x14ac:dyDescent="0.4">
      <c r="A140" s="5">
        <v>1012</v>
      </c>
      <c r="B140" s="5" t="s">
        <v>26</v>
      </c>
      <c r="C140" s="5" t="s">
        <v>38</v>
      </c>
      <c r="D140" s="5" t="s">
        <v>34</v>
      </c>
      <c r="E140" s="5" t="s">
        <v>39</v>
      </c>
      <c r="F140" s="5">
        <v>3</v>
      </c>
      <c r="G140" s="5">
        <v>64615</v>
      </c>
      <c r="H140" s="5">
        <v>10</v>
      </c>
      <c r="I140" s="6">
        <v>46086</v>
      </c>
      <c r="J140" s="6">
        <v>46095</v>
      </c>
      <c r="K140" s="10" t="s">
        <v>29</v>
      </c>
      <c r="L140" s="16">
        <f t="shared" si="2"/>
        <v>174460.5</v>
      </c>
      <c r="M140" s="14" t="str" cm="1">
        <f t="array" ref="M140">_xlfn.IFS(L140&gt;=100000, "Excellent", AND(L140&lt;100000, L140&gt;=50000), "Very Good", AND(L140&lt;50000, L140&gt;=20000), "Good", L140&lt;20000, "Average")</f>
        <v>Excellent</v>
      </c>
    </row>
    <row r="141" spans="1:13" ht="15" thickBot="1" x14ac:dyDescent="0.4">
      <c r="A141" s="5">
        <v>1336</v>
      </c>
      <c r="B141" s="5" t="s">
        <v>16</v>
      </c>
      <c r="C141" s="5" t="s">
        <v>25</v>
      </c>
      <c r="D141" s="5" t="s">
        <v>18</v>
      </c>
      <c r="E141" s="5" t="s">
        <v>56</v>
      </c>
      <c r="F141" s="5">
        <v>10</v>
      </c>
      <c r="G141" s="5">
        <v>5624</v>
      </c>
      <c r="H141" s="5">
        <v>0</v>
      </c>
      <c r="I141" s="6">
        <v>46086</v>
      </c>
      <c r="J141" s="6">
        <v>46092</v>
      </c>
      <c r="K141" s="10" t="s">
        <v>29</v>
      </c>
      <c r="L141" s="16">
        <f t="shared" si="2"/>
        <v>56240</v>
      </c>
      <c r="M141" s="14" t="str" cm="1">
        <f t="array" ref="M141">_xlfn.IFS(L141&gt;=100000, "Excellent", AND(L141&lt;100000, L141&gt;=50000), "Very Good", AND(L141&lt;50000, L141&gt;=20000), "Good", L141&lt;20000, "Average")</f>
        <v>Very Good</v>
      </c>
    </row>
    <row r="142" spans="1:13" ht="15" thickBot="1" x14ac:dyDescent="0.4">
      <c r="A142" s="5">
        <v>1277</v>
      </c>
      <c r="B142" s="5" t="s">
        <v>59</v>
      </c>
      <c r="C142" s="5" t="s">
        <v>17</v>
      </c>
      <c r="D142" s="5" t="s">
        <v>13</v>
      </c>
      <c r="E142" s="5" t="s">
        <v>36</v>
      </c>
      <c r="F142" s="5">
        <v>14</v>
      </c>
      <c r="G142" s="5">
        <v>276</v>
      </c>
      <c r="H142" s="5">
        <v>0</v>
      </c>
      <c r="I142" s="6">
        <v>46086</v>
      </c>
      <c r="J142" s="6">
        <v>46089</v>
      </c>
      <c r="K142" s="10" t="s">
        <v>15</v>
      </c>
      <c r="L142" s="16">
        <f t="shared" si="2"/>
        <v>3864</v>
      </c>
      <c r="M142" s="14" t="str" cm="1">
        <f t="array" ref="M142">_xlfn.IFS(L142&gt;=100000, "Excellent", AND(L142&lt;100000, L142&gt;=50000), "Very Good", AND(L142&lt;50000, L142&gt;=20000), "Good", L142&lt;20000, "Average")</f>
        <v>Average</v>
      </c>
    </row>
    <row r="143" spans="1:13" ht="15" thickBot="1" x14ac:dyDescent="0.4">
      <c r="A143" s="5">
        <v>1090</v>
      </c>
      <c r="B143" s="5" t="s">
        <v>49</v>
      </c>
      <c r="C143" s="5" t="s">
        <v>31</v>
      </c>
      <c r="D143" s="5" t="s">
        <v>34</v>
      </c>
      <c r="E143" s="5" t="s">
        <v>45</v>
      </c>
      <c r="F143" s="5">
        <v>19</v>
      </c>
      <c r="G143" s="5">
        <v>66139</v>
      </c>
      <c r="H143" s="5">
        <v>5</v>
      </c>
      <c r="I143" s="6">
        <v>46088</v>
      </c>
      <c r="J143" s="6">
        <v>46095</v>
      </c>
      <c r="K143" s="10" t="s">
        <v>24</v>
      </c>
      <c r="L143" s="16">
        <f t="shared" si="2"/>
        <v>1193808.95</v>
      </c>
      <c r="M143" s="14" t="str" cm="1">
        <f t="array" ref="M143">_xlfn.IFS(L143&gt;=100000, "Excellent", AND(L143&lt;100000, L143&gt;=50000), "Very Good", AND(L143&lt;50000, L143&gt;=20000), "Good", L143&lt;20000, "Average")</f>
        <v>Excellent</v>
      </c>
    </row>
    <row r="144" spans="1:13" ht="15" thickBot="1" x14ac:dyDescent="0.4">
      <c r="A144" s="5">
        <v>1175</v>
      </c>
      <c r="B144" s="5" t="s">
        <v>26</v>
      </c>
      <c r="C144" s="5" t="s">
        <v>17</v>
      </c>
      <c r="D144" s="5" t="s">
        <v>34</v>
      </c>
      <c r="E144" s="5" t="s">
        <v>41</v>
      </c>
      <c r="F144" s="5">
        <v>10</v>
      </c>
      <c r="G144" s="5">
        <v>20339</v>
      </c>
      <c r="H144" s="5">
        <v>2</v>
      </c>
      <c r="I144" s="6">
        <v>46088</v>
      </c>
      <c r="J144" s="6">
        <v>46094</v>
      </c>
      <c r="K144" s="10" t="s">
        <v>20</v>
      </c>
      <c r="L144" s="16">
        <f t="shared" si="2"/>
        <v>199322.19999999998</v>
      </c>
      <c r="M144" s="14" t="str" cm="1">
        <f t="array" ref="M144">_xlfn.IFS(L144&gt;=100000, "Excellent", AND(L144&lt;100000, L144&gt;=50000), "Very Good", AND(L144&lt;50000, L144&gt;=20000), "Good", L144&lt;20000, "Average")</f>
        <v>Excellent</v>
      </c>
    </row>
    <row r="145" spans="1:13" ht="15" thickBot="1" x14ac:dyDescent="0.4">
      <c r="A145" s="5">
        <v>1097</v>
      </c>
      <c r="B145" s="5" t="s">
        <v>52</v>
      </c>
      <c r="C145" s="5" t="s">
        <v>22</v>
      </c>
      <c r="D145" s="5" t="s">
        <v>34</v>
      </c>
      <c r="E145" s="5" t="s">
        <v>61</v>
      </c>
      <c r="F145" s="5">
        <v>10</v>
      </c>
      <c r="G145" s="5">
        <v>28980</v>
      </c>
      <c r="H145" s="5">
        <v>10</v>
      </c>
      <c r="I145" s="6">
        <v>46089</v>
      </c>
      <c r="J145" s="6">
        <v>46094</v>
      </c>
      <c r="K145" s="10" t="s">
        <v>24</v>
      </c>
      <c r="L145" s="16">
        <f t="shared" si="2"/>
        <v>260820</v>
      </c>
      <c r="M145" s="14" t="str" cm="1">
        <f t="array" ref="M145">_xlfn.IFS(L145&gt;=100000, "Excellent", AND(L145&lt;100000, L145&gt;=50000), "Very Good", AND(L145&lt;50000, L145&gt;=20000), "Good", L145&lt;20000, "Average")</f>
        <v>Excellent</v>
      </c>
    </row>
    <row r="146" spans="1:13" ht="15" thickBot="1" x14ac:dyDescent="0.4">
      <c r="A146" s="5">
        <v>1381</v>
      </c>
      <c r="B146" s="5" t="s">
        <v>55</v>
      </c>
      <c r="C146" s="5" t="s">
        <v>33</v>
      </c>
      <c r="D146" s="5" t="s">
        <v>18</v>
      </c>
      <c r="E146" s="5" t="s">
        <v>28</v>
      </c>
      <c r="F146" s="5">
        <v>5</v>
      </c>
      <c r="G146" s="5">
        <v>7484</v>
      </c>
      <c r="H146" s="5">
        <v>2</v>
      </c>
      <c r="I146" s="6">
        <v>46089</v>
      </c>
      <c r="J146" s="6">
        <v>46093</v>
      </c>
      <c r="K146" s="10" t="s">
        <v>20</v>
      </c>
      <c r="L146" s="16">
        <f t="shared" si="2"/>
        <v>36671.599999999999</v>
      </c>
      <c r="M146" s="14" t="str" cm="1">
        <f t="array" ref="M146">_xlfn.IFS(L146&gt;=100000, "Excellent", AND(L146&lt;100000, L146&gt;=50000), "Very Good", AND(L146&lt;50000, L146&gt;=20000), "Good", L146&lt;20000, "Average")</f>
        <v>Good</v>
      </c>
    </row>
    <row r="147" spans="1:13" ht="15" thickBot="1" x14ac:dyDescent="0.4">
      <c r="A147" s="5">
        <v>1018</v>
      </c>
      <c r="B147" s="5" t="s">
        <v>47</v>
      </c>
      <c r="C147" s="5" t="s">
        <v>25</v>
      </c>
      <c r="D147" s="5" t="s">
        <v>13</v>
      </c>
      <c r="E147" s="5" t="s">
        <v>14</v>
      </c>
      <c r="F147" s="5">
        <v>20</v>
      </c>
      <c r="G147" s="5">
        <v>301</v>
      </c>
      <c r="H147" s="5">
        <v>0</v>
      </c>
      <c r="I147" s="6">
        <v>46089</v>
      </c>
      <c r="J147" s="6">
        <v>46094</v>
      </c>
      <c r="K147" s="10" t="s">
        <v>29</v>
      </c>
      <c r="L147" s="16">
        <f t="shared" si="2"/>
        <v>6020</v>
      </c>
      <c r="M147" s="14" t="str" cm="1">
        <f t="array" ref="M147">_xlfn.IFS(L147&gt;=100000, "Excellent", AND(L147&lt;100000, L147&gt;=50000), "Very Good", AND(L147&lt;50000, L147&gt;=20000), "Good", L147&lt;20000, "Average")</f>
        <v>Average</v>
      </c>
    </row>
    <row r="148" spans="1:13" ht="15" thickBot="1" x14ac:dyDescent="0.4">
      <c r="A148" s="5">
        <v>1031</v>
      </c>
      <c r="B148" s="5" t="s">
        <v>54</v>
      </c>
      <c r="C148" s="5" t="s">
        <v>31</v>
      </c>
      <c r="D148" s="5" t="s">
        <v>13</v>
      </c>
      <c r="E148" s="5" t="s">
        <v>53</v>
      </c>
      <c r="F148" s="5">
        <v>2</v>
      </c>
      <c r="G148" s="5">
        <v>184</v>
      </c>
      <c r="H148" s="5">
        <v>5</v>
      </c>
      <c r="I148" s="6">
        <v>46089</v>
      </c>
      <c r="J148" s="6">
        <v>46093</v>
      </c>
      <c r="K148" s="10" t="s">
        <v>20</v>
      </c>
      <c r="L148" s="16">
        <f t="shared" si="2"/>
        <v>349.59999999999997</v>
      </c>
      <c r="M148" s="14" t="str" cm="1">
        <f t="array" ref="M148">_xlfn.IFS(L148&gt;=100000, "Excellent", AND(L148&lt;100000, L148&gt;=50000), "Very Good", AND(L148&lt;50000, L148&gt;=20000), "Good", L148&lt;20000, "Average")</f>
        <v>Average</v>
      </c>
    </row>
    <row r="149" spans="1:13" ht="15" thickBot="1" x14ac:dyDescent="0.4">
      <c r="A149" s="5">
        <v>1399</v>
      </c>
      <c r="B149" s="5" t="s">
        <v>48</v>
      </c>
      <c r="C149" s="5" t="s">
        <v>31</v>
      </c>
      <c r="D149" s="5" t="s">
        <v>13</v>
      </c>
      <c r="E149" s="5" t="s">
        <v>14</v>
      </c>
      <c r="F149" s="5">
        <v>15</v>
      </c>
      <c r="G149" s="5">
        <v>87</v>
      </c>
      <c r="H149" s="5">
        <v>15</v>
      </c>
      <c r="I149" s="6">
        <v>46089</v>
      </c>
      <c r="J149" s="6">
        <v>46093</v>
      </c>
      <c r="K149" s="10" t="s">
        <v>20</v>
      </c>
      <c r="L149" s="16">
        <f t="shared" si="2"/>
        <v>1109.25</v>
      </c>
      <c r="M149" s="14" t="str" cm="1">
        <f t="array" ref="M149">_xlfn.IFS(L149&gt;=100000, "Excellent", AND(L149&lt;100000, L149&gt;=50000), "Very Good", AND(L149&lt;50000, L149&gt;=20000), "Good", L149&lt;20000, "Average")</f>
        <v>Average</v>
      </c>
    </row>
    <row r="150" spans="1:13" ht="15" thickBot="1" x14ac:dyDescent="0.4">
      <c r="A150" s="5">
        <v>1192</v>
      </c>
      <c r="B150" s="5" t="s">
        <v>21</v>
      </c>
      <c r="C150" s="5" t="s">
        <v>33</v>
      </c>
      <c r="D150" s="5" t="s">
        <v>13</v>
      </c>
      <c r="E150" s="5" t="s">
        <v>53</v>
      </c>
      <c r="F150" s="5">
        <v>18</v>
      </c>
      <c r="G150" s="5">
        <v>49</v>
      </c>
      <c r="H150" s="5">
        <v>12</v>
      </c>
      <c r="I150" s="6">
        <v>46089</v>
      </c>
      <c r="J150" s="6">
        <v>46095</v>
      </c>
      <c r="K150" s="10" t="s">
        <v>24</v>
      </c>
      <c r="L150" s="16">
        <f t="shared" si="2"/>
        <v>776.16</v>
      </c>
      <c r="M150" s="14" t="str" cm="1">
        <f t="array" ref="M150">_xlfn.IFS(L150&gt;=100000, "Excellent", AND(L150&lt;100000, L150&gt;=50000), "Very Good", AND(L150&lt;50000, L150&gt;=20000), "Good", L150&lt;20000, "Average")</f>
        <v>Average</v>
      </c>
    </row>
    <row r="151" spans="1:13" ht="15" thickBot="1" x14ac:dyDescent="0.4">
      <c r="A151" s="5">
        <v>1400</v>
      </c>
      <c r="B151" s="5" t="s">
        <v>40</v>
      </c>
      <c r="C151" s="5" t="s">
        <v>22</v>
      </c>
      <c r="D151" s="5" t="s">
        <v>34</v>
      </c>
      <c r="E151" s="5" t="s">
        <v>35</v>
      </c>
      <c r="F151" s="5">
        <v>13</v>
      </c>
      <c r="G151" s="5">
        <v>52411</v>
      </c>
      <c r="H151" s="5">
        <v>15</v>
      </c>
      <c r="I151" s="6">
        <v>46090</v>
      </c>
      <c r="J151" s="6">
        <v>46092</v>
      </c>
      <c r="K151" s="10" t="s">
        <v>20</v>
      </c>
      <c r="L151" s="16">
        <f t="shared" si="2"/>
        <v>579141.54999999993</v>
      </c>
      <c r="M151" s="14" t="str" cm="1">
        <f t="array" ref="M151">_xlfn.IFS(L151&gt;=100000, "Excellent", AND(L151&lt;100000, L151&gt;=50000), "Very Good", AND(L151&lt;50000, L151&gt;=20000), "Good", L151&lt;20000, "Average")</f>
        <v>Excellent</v>
      </c>
    </row>
    <row r="152" spans="1:13" ht="15" thickBot="1" x14ac:dyDescent="0.4">
      <c r="A152" s="5">
        <v>1112</v>
      </c>
      <c r="B152" s="5" t="s">
        <v>21</v>
      </c>
      <c r="C152" s="5" t="s">
        <v>43</v>
      </c>
      <c r="D152" s="5" t="s">
        <v>18</v>
      </c>
      <c r="E152" s="5" t="s">
        <v>44</v>
      </c>
      <c r="F152" s="5">
        <v>7</v>
      </c>
      <c r="G152" s="5">
        <v>1959</v>
      </c>
      <c r="H152" s="5">
        <v>15</v>
      </c>
      <c r="I152" s="6">
        <v>46090</v>
      </c>
      <c r="J152" s="6">
        <v>46100</v>
      </c>
      <c r="K152" s="10" t="s">
        <v>15</v>
      </c>
      <c r="L152" s="16">
        <f t="shared" si="2"/>
        <v>11656.05</v>
      </c>
      <c r="M152" s="14" t="str" cm="1">
        <f t="array" ref="M152">_xlfn.IFS(L152&gt;=100000, "Excellent", AND(L152&lt;100000, L152&gt;=50000), "Very Good", AND(L152&lt;50000, L152&gt;=20000), "Good", L152&lt;20000, "Average")</f>
        <v>Average</v>
      </c>
    </row>
    <row r="153" spans="1:13" ht="15" thickBot="1" x14ac:dyDescent="0.4">
      <c r="A153" s="5">
        <v>1043</v>
      </c>
      <c r="B153" s="5" t="s">
        <v>49</v>
      </c>
      <c r="C153" s="5" t="s">
        <v>38</v>
      </c>
      <c r="D153" s="5" t="s">
        <v>34</v>
      </c>
      <c r="E153" s="5" t="s">
        <v>35</v>
      </c>
      <c r="F153" s="5">
        <v>20</v>
      </c>
      <c r="G153" s="5">
        <v>46093</v>
      </c>
      <c r="H153" s="5">
        <v>5</v>
      </c>
      <c r="I153" s="6">
        <v>46091</v>
      </c>
      <c r="J153" s="6">
        <v>46098</v>
      </c>
      <c r="K153" s="10" t="s">
        <v>29</v>
      </c>
      <c r="L153" s="16">
        <f t="shared" si="2"/>
        <v>875767</v>
      </c>
      <c r="M153" s="14" t="str" cm="1">
        <f t="array" ref="M153">_xlfn.IFS(L153&gt;=100000, "Excellent", AND(L153&lt;100000, L153&gt;=50000), "Very Good", AND(L153&lt;50000, L153&gt;=20000), "Good", L153&lt;20000, "Average")</f>
        <v>Excellent</v>
      </c>
    </row>
    <row r="154" spans="1:13" ht="15" thickBot="1" x14ac:dyDescent="0.4">
      <c r="A154" s="5">
        <v>1255</v>
      </c>
      <c r="B154" s="5" t="s">
        <v>32</v>
      </c>
      <c r="C154" s="5" t="s">
        <v>17</v>
      </c>
      <c r="D154" s="5" t="s">
        <v>18</v>
      </c>
      <c r="E154" s="5" t="s">
        <v>19</v>
      </c>
      <c r="F154" s="5">
        <v>1</v>
      </c>
      <c r="G154" s="5">
        <v>2240</v>
      </c>
      <c r="H154" s="5">
        <v>5</v>
      </c>
      <c r="I154" s="6">
        <v>46091</v>
      </c>
      <c r="J154" s="6">
        <v>46095</v>
      </c>
      <c r="K154" s="10" t="s">
        <v>20</v>
      </c>
      <c r="L154" s="16">
        <f t="shared" si="2"/>
        <v>2128</v>
      </c>
      <c r="M154" s="14" t="str" cm="1">
        <f t="array" ref="M154">_xlfn.IFS(L154&gt;=100000, "Excellent", AND(L154&lt;100000, L154&gt;=50000), "Very Good", AND(L154&lt;50000, L154&gt;=20000), "Good", L154&lt;20000, "Average")</f>
        <v>Average</v>
      </c>
    </row>
    <row r="155" spans="1:13" ht="15" thickBot="1" x14ac:dyDescent="0.4">
      <c r="A155" s="5">
        <v>1106</v>
      </c>
      <c r="B155" s="5" t="s">
        <v>27</v>
      </c>
      <c r="C155" s="5" t="s">
        <v>43</v>
      </c>
      <c r="D155" s="5" t="s">
        <v>18</v>
      </c>
      <c r="E155" s="5" t="s">
        <v>23</v>
      </c>
      <c r="F155" s="5">
        <v>20</v>
      </c>
      <c r="G155" s="5">
        <v>2141</v>
      </c>
      <c r="H155" s="5">
        <v>2</v>
      </c>
      <c r="I155" s="6">
        <v>46091</v>
      </c>
      <c r="J155" s="6">
        <v>46097</v>
      </c>
      <c r="K155" s="10" t="s">
        <v>29</v>
      </c>
      <c r="L155" s="16">
        <f t="shared" si="2"/>
        <v>41963.6</v>
      </c>
      <c r="M155" s="14" t="str" cm="1">
        <f t="array" ref="M155">_xlfn.IFS(L155&gt;=100000, "Excellent", AND(L155&lt;100000, L155&gt;=50000), "Very Good", AND(L155&lt;50000, L155&gt;=20000), "Good", L155&lt;20000, "Average")</f>
        <v>Good</v>
      </c>
    </row>
    <row r="156" spans="1:13" ht="15" thickBot="1" x14ac:dyDescent="0.4">
      <c r="A156" s="5">
        <v>1275</v>
      </c>
      <c r="B156" s="5" t="s">
        <v>16</v>
      </c>
      <c r="C156" s="5" t="s">
        <v>31</v>
      </c>
      <c r="D156" s="5" t="s">
        <v>13</v>
      </c>
      <c r="E156" s="5" t="s">
        <v>50</v>
      </c>
      <c r="F156" s="5">
        <v>20</v>
      </c>
      <c r="G156" s="5">
        <v>451</v>
      </c>
      <c r="H156" s="5">
        <v>15</v>
      </c>
      <c r="I156" s="6">
        <v>46092</v>
      </c>
      <c r="J156" s="6">
        <v>46094</v>
      </c>
      <c r="K156" s="10" t="s">
        <v>20</v>
      </c>
      <c r="L156" s="16">
        <f t="shared" si="2"/>
        <v>7667</v>
      </c>
      <c r="M156" s="14" t="str" cm="1">
        <f t="array" ref="M156">_xlfn.IFS(L156&gt;=100000, "Excellent", AND(L156&lt;100000, L156&gt;=50000), "Very Good", AND(L156&lt;50000, L156&gt;=20000), "Good", L156&lt;20000, "Average")</f>
        <v>Average</v>
      </c>
    </row>
    <row r="157" spans="1:13" ht="15" thickBot="1" x14ac:dyDescent="0.4">
      <c r="A157" s="5">
        <v>1166</v>
      </c>
      <c r="B157" s="5" t="s">
        <v>32</v>
      </c>
      <c r="C157" s="5" t="s">
        <v>31</v>
      </c>
      <c r="D157" s="5" t="s">
        <v>13</v>
      </c>
      <c r="E157" s="5" t="s">
        <v>37</v>
      </c>
      <c r="F157" s="5">
        <v>1</v>
      </c>
      <c r="G157" s="5">
        <v>396</v>
      </c>
      <c r="H157" s="5">
        <v>5</v>
      </c>
      <c r="I157" s="6">
        <v>46092</v>
      </c>
      <c r="J157" s="6">
        <v>46093</v>
      </c>
      <c r="K157" s="10" t="s">
        <v>20</v>
      </c>
      <c r="L157" s="16">
        <f t="shared" si="2"/>
        <v>376.2</v>
      </c>
      <c r="M157" s="14" t="str" cm="1">
        <f t="array" ref="M157">_xlfn.IFS(L157&gt;=100000, "Excellent", AND(L157&lt;100000, L157&gt;=50000), "Very Good", AND(L157&lt;50000, L157&gt;=20000), "Good", L157&lt;20000, "Average")</f>
        <v>Average</v>
      </c>
    </row>
    <row r="158" spans="1:13" ht="15" thickBot="1" x14ac:dyDescent="0.4">
      <c r="A158" s="5">
        <v>1139</v>
      </c>
      <c r="B158" s="5" t="s">
        <v>55</v>
      </c>
      <c r="C158" s="5" t="s">
        <v>33</v>
      </c>
      <c r="D158" s="5" t="s">
        <v>34</v>
      </c>
      <c r="E158" s="5" t="s">
        <v>61</v>
      </c>
      <c r="F158" s="5">
        <v>17</v>
      </c>
      <c r="G158" s="5">
        <v>28839</v>
      </c>
      <c r="H158" s="5">
        <v>10</v>
      </c>
      <c r="I158" s="6">
        <v>46093</v>
      </c>
      <c r="J158" s="6">
        <v>46099</v>
      </c>
      <c r="K158" s="10" t="s">
        <v>15</v>
      </c>
      <c r="L158" s="16">
        <f t="shared" si="2"/>
        <v>441236.7</v>
      </c>
      <c r="M158" s="14" t="str" cm="1">
        <f t="array" ref="M158">_xlfn.IFS(L158&gt;=100000, "Excellent", AND(L158&lt;100000, L158&gt;=50000), "Very Good", AND(L158&lt;50000, L158&gt;=20000), "Good", L158&lt;20000, "Average")</f>
        <v>Excellent</v>
      </c>
    </row>
    <row r="159" spans="1:13" ht="15" thickBot="1" x14ac:dyDescent="0.4">
      <c r="A159" s="5">
        <v>1155</v>
      </c>
      <c r="B159" s="5" t="s">
        <v>11</v>
      </c>
      <c r="C159" s="5" t="s">
        <v>31</v>
      </c>
      <c r="D159" s="5" t="s">
        <v>18</v>
      </c>
      <c r="E159" s="5" t="s">
        <v>28</v>
      </c>
      <c r="F159" s="5">
        <v>13</v>
      </c>
      <c r="G159" s="5">
        <v>4341</v>
      </c>
      <c r="H159" s="5">
        <v>15</v>
      </c>
      <c r="I159" s="6">
        <v>46093</v>
      </c>
      <c r="J159" s="6">
        <v>46096</v>
      </c>
      <c r="K159" s="10" t="s">
        <v>24</v>
      </c>
      <c r="L159" s="16">
        <f t="shared" si="2"/>
        <v>47968.049999999996</v>
      </c>
      <c r="M159" s="14" t="str" cm="1">
        <f t="array" ref="M159">_xlfn.IFS(L159&gt;=100000, "Excellent", AND(L159&lt;100000, L159&gt;=50000), "Very Good", AND(L159&lt;50000, L159&gt;=20000), "Good", L159&lt;20000, "Average")</f>
        <v>Good</v>
      </c>
    </row>
    <row r="160" spans="1:13" ht="15" thickBot="1" x14ac:dyDescent="0.4">
      <c r="A160" s="5">
        <v>1319</v>
      </c>
      <c r="B160" s="5" t="s">
        <v>21</v>
      </c>
      <c r="C160" s="5" t="s">
        <v>17</v>
      </c>
      <c r="D160" s="5" t="s">
        <v>34</v>
      </c>
      <c r="E160" s="5" t="s">
        <v>61</v>
      </c>
      <c r="F160" s="5">
        <v>17</v>
      </c>
      <c r="G160" s="5">
        <v>58407</v>
      </c>
      <c r="H160" s="5">
        <v>7</v>
      </c>
      <c r="I160" s="6">
        <v>46094</v>
      </c>
      <c r="J160" s="6">
        <v>46102</v>
      </c>
      <c r="K160" s="10" t="s">
        <v>15</v>
      </c>
      <c r="L160" s="16">
        <f t="shared" si="2"/>
        <v>923414.66999999993</v>
      </c>
      <c r="M160" s="14" t="str" cm="1">
        <f t="array" ref="M160">_xlfn.IFS(L160&gt;=100000, "Excellent", AND(L160&lt;100000, L160&gt;=50000), "Very Good", AND(L160&lt;50000, L160&gt;=20000), "Good", L160&lt;20000, "Average")</f>
        <v>Excellent</v>
      </c>
    </row>
    <row r="161" spans="1:13" ht="15" thickBot="1" x14ac:dyDescent="0.4">
      <c r="A161" s="5">
        <v>1388</v>
      </c>
      <c r="B161" s="5" t="s">
        <v>55</v>
      </c>
      <c r="C161" s="5" t="s">
        <v>31</v>
      </c>
      <c r="D161" s="5" t="s">
        <v>18</v>
      </c>
      <c r="E161" s="5" t="s">
        <v>28</v>
      </c>
      <c r="F161" s="5">
        <v>12</v>
      </c>
      <c r="G161" s="5">
        <v>11662</v>
      </c>
      <c r="H161" s="5">
        <v>12</v>
      </c>
      <c r="I161" s="6">
        <v>46094</v>
      </c>
      <c r="J161" s="6">
        <v>46096</v>
      </c>
      <c r="K161" s="10" t="s">
        <v>20</v>
      </c>
      <c r="L161" s="16">
        <f t="shared" si="2"/>
        <v>123150.72</v>
      </c>
      <c r="M161" s="14" t="str" cm="1">
        <f t="array" ref="M161">_xlfn.IFS(L161&gt;=100000, "Excellent", AND(L161&lt;100000, L161&gt;=50000), "Very Good", AND(L161&lt;50000, L161&gt;=20000), "Good", L161&lt;20000, "Average")</f>
        <v>Excellent</v>
      </c>
    </row>
    <row r="162" spans="1:13" ht="15" thickBot="1" x14ac:dyDescent="0.4">
      <c r="A162" s="5">
        <v>1362</v>
      </c>
      <c r="B162" s="5" t="s">
        <v>16</v>
      </c>
      <c r="C162" s="5" t="s">
        <v>12</v>
      </c>
      <c r="D162" s="5" t="s">
        <v>18</v>
      </c>
      <c r="E162" s="5" t="s">
        <v>28</v>
      </c>
      <c r="F162" s="5">
        <v>1</v>
      </c>
      <c r="G162" s="5">
        <v>10474</v>
      </c>
      <c r="H162" s="5">
        <v>0</v>
      </c>
      <c r="I162" s="6">
        <v>46094</v>
      </c>
      <c r="J162" s="6">
        <v>46096</v>
      </c>
      <c r="K162" s="10" t="s">
        <v>29</v>
      </c>
      <c r="L162" s="16">
        <f t="shared" si="2"/>
        <v>10474</v>
      </c>
      <c r="M162" s="14" t="str" cm="1">
        <f t="array" ref="M162">_xlfn.IFS(L162&gt;=100000, "Excellent", AND(L162&lt;100000, L162&gt;=50000), "Very Good", AND(L162&lt;50000, L162&gt;=20000), "Good", L162&lt;20000, "Average")</f>
        <v>Average</v>
      </c>
    </row>
    <row r="163" spans="1:13" ht="15" thickBot="1" x14ac:dyDescent="0.4">
      <c r="A163" s="5">
        <v>1345</v>
      </c>
      <c r="B163" s="5" t="s">
        <v>32</v>
      </c>
      <c r="C163" s="5" t="s">
        <v>12</v>
      </c>
      <c r="D163" s="5" t="s">
        <v>34</v>
      </c>
      <c r="E163" s="5" t="s">
        <v>45</v>
      </c>
      <c r="F163" s="5">
        <v>12</v>
      </c>
      <c r="G163" s="5">
        <v>50544</v>
      </c>
      <c r="H163" s="5">
        <v>10</v>
      </c>
      <c r="I163" s="6">
        <v>46095</v>
      </c>
      <c r="J163" s="6">
        <v>46097</v>
      </c>
      <c r="K163" s="10" t="s">
        <v>29</v>
      </c>
      <c r="L163" s="16">
        <f t="shared" si="2"/>
        <v>545875.20000000007</v>
      </c>
      <c r="M163" s="14" t="str" cm="1">
        <f t="array" ref="M163">_xlfn.IFS(L163&gt;=100000, "Excellent", AND(L163&lt;100000, L163&gt;=50000), "Very Good", AND(L163&lt;50000, L163&gt;=20000), "Good", L163&lt;20000, "Average")</f>
        <v>Excellent</v>
      </c>
    </row>
    <row r="164" spans="1:13" ht="15" thickBot="1" x14ac:dyDescent="0.4">
      <c r="A164" s="5">
        <v>1013</v>
      </c>
      <c r="B164" s="5" t="s">
        <v>16</v>
      </c>
      <c r="C164" s="5" t="s">
        <v>31</v>
      </c>
      <c r="D164" s="5" t="s">
        <v>13</v>
      </c>
      <c r="E164" s="5" t="s">
        <v>36</v>
      </c>
      <c r="F164" s="5">
        <v>17</v>
      </c>
      <c r="G164" s="5">
        <v>459</v>
      </c>
      <c r="H164" s="5">
        <v>12</v>
      </c>
      <c r="I164" s="6">
        <v>46095</v>
      </c>
      <c r="J164" s="6">
        <v>46105</v>
      </c>
      <c r="K164" s="10" t="s">
        <v>29</v>
      </c>
      <c r="L164" s="16">
        <f t="shared" si="2"/>
        <v>6866.64</v>
      </c>
      <c r="M164" s="14" t="str" cm="1">
        <f t="array" ref="M164">_xlfn.IFS(L164&gt;=100000, "Excellent", AND(L164&lt;100000, L164&gt;=50000), "Very Good", AND(L164&lt;50000, L164&gt;=20000), "Good", L164&lt;20000, "Average")</f>
        <v>Average</v>
      </c>
    </row>
    <row r="165" spans="1:13" ht="15" thickBot="1" x14ac:dyDescent="0.4">
      <c r="A165" s="5">
        <v>1359</v>
      </c>
      <c r="B165" s="5" t="s">
        <v>54</v>
      </c>
      <c r="C165" s="5" t="s">
        <v>12</v>
      </c>
      <c r="D165" s="5" t="s">
        <v>34</v>
      </c>
      <c r="E165" s="5" t="s">
        <v>61</v>
      </c>
      <c r="F165" s="5">
        <v>9</v>
      </c>
      <c r="G165" s="5">
        <v>38179</v>
      </c>
      <c r="H165" s="5">
        <v>0</v>
      </c>
      <c r="I165" s="6">
        <v>46096</v>
      </c>
      <c r="J165" s="6">
        <v>46099</v>
      </c>
      <c r="K165" s="10" t="s">
        <v>15</v>
      </c>
      <c r="L165" s="16">
        <f t="shared" si="2"/>
        <v>343611</v>
      </c>
      <c r="M165" s="14" t="str" cm="1">
        <f t="array" ref="M165">_xlfn.IFS(L165&gt;=100000, "Excellent", AND(L165&lt;100000, L165&gt;=50000), "Very Good", AND(L165&lt;50000, L165&gt;=20000), "Good", L165&lt;20000, "Average")</f>
        <v>Excellent</v>
      </c>
    </row>
    <row r="166" spans="1:13" ht="15" thickBot="1" x14ac:dyDescent="0.4">
      <c r="A166" s="5">
        <v>1266</v>
      </c>
      <c r="B166" s="5" t="s">
        <v>29</v>
      </c>
      <c r="C166" s="5" t="s">
        <v>33</v>
      </c>
      <c r="D166" s="5" t="s">
        <v>13</v>
      </c>
      <c r="E166" s="5" t="s">
        <v>14</v>
      </c>
      <c r="F166" s="5">
        <v>17</v>
      </c>
      <c r="G166" s="5">
        <v>365</v>
      </c>
      <c r="H166" s="5">
        <v>2</v>
      </c>
      <c r="I166" s="6">
        <v>46096</v>
      </c>
      <c r="J166" s="6">
        <v>46104</v>
      </c>
      <c r="K166" s="10" t="s">
        <v>51</v>
      </c>
      <c r="L166" s="16">
        <f t="shared" si="2"/>
        <v>6080.9</v>
      </c>
      <c r="M166" s="14" t="str" cm="1">
        <f t="array" ref="M166">_xlfn.IFS(L166&gt;=100000, "Excellent", AND(L166&lt;100000, L166&gt;=50000), "Very Good", AND(L166&lt;50000, L166&gt;=20000), "Good", L166&lt;20000, "Average")</f>
        <v>Average</v>
      </c>
    </row>
    <row r="167" spans="1:13" ht="15" thickBot="1" x14ac:dyDescent="0.4">
      <c r="A167" s="5">
        <v>1238</v>
      </c>
      <c r="B167" s="5" t="s">
        <v>30</v>
      </c>
      <c r="C167" s="5" t="s">
        <v>31</v>
      </c>
      <c r="D167" s="5" t="s">
        <v>13</v>
      </c>
      <c r="E167" s="5" t="s">
        <v>14</v>
      </c>
      <c r="F167" s="5">
        <v>6</v>
      </c>
      <c r="G167" s="5">
        <v>180</v>
      </c>
      <c r="H167" s="5">
        <v>12</v>
      </c>
      <c r="I167" s="6">
        <v>46096</v>
      </c>
      <c r="J167" s="6">
        <v>46097</v>
      </c>
      <c r="K167" s="10" t="s">
        <v>51</v>
      </c>
      <c r="L167" s="16">
        <f t="shared" si="2"/>
        <v>950.4</v>
      </c>
      <c r="M167" s="14" t="str" cm="1">
        <f t="array" ref="M167">_xlfn.IFS(L167&gt;=100000, "Excellent", AND(L167&lt;100000, L167&gt;=50000), "Very Good", AND(L167&lt;50000, L167&gt;=20000), "Good", L167&lt;20000, "Average")</f>
        <v>Average</v>
      </c>
    </row>
    <row r="168" spans="1:13" ht="15" thickBot="1" x14ac:dyDescent="0.4">
      <c r="A168" s="5">
        <v>1276</v>
      </c>
      <c r="B168" s="5" t="s">
        <v>40</v>
      </c>
      <c r="C168" s="5" t="s">
        <v>12</v>
      </c>
      <c r="D168" s="5" t="s">
        <v>18</v>
      </c>
      <c r="E168" s="5" t="s">
        <v>19</v>
      </c>
      <c r="F168" s="5">
        <v>1</v>
      </c>
      <c r="G168" s="5">
        <v>13437</v>
      </c>
      <c r="H168" s="5">
        <v>15</v>
      </c>
      <c r="I168" s="6">
        <v>46097</v>
      </c>
      <c r="J168" s="6">
        <v>46099</v>
      </c>
      <c r="K168" s="10" t="s">
        <v>24</v>
      </c>
      <c r="L168" s="16">
        <f t="shared" si="2"/>
        <v>11421.449999999999</v>
      </c>
      <c r="M168" s="14" t="str" cm="1">
        <f t="array" ref="M168">_xlfn.IFS(L168&gt;=100000, "Excellent", AND(L168&lt;100000, L168&gt;=50000), "Very Good", AND(L168&lt;50000, L168&gt;=20000), "Good", L168&lt;20000, "Average")</f>
        <v>Average</v>
      </c>
    </row>
    <row r="169" spans="1:13" ht="15" thickBot="1" x14ac:dyDescent="0.4">
      <c r="A169" s="5">
        <v>1030</v>
      </c>
      <c r="B169" s="5" t="s">
        <v>52</v>
      </c>
      <c r="C169" s="5" t="s">
        <v>12</v>
      </c>
      <c r="D169" s="5" t="s">
        <v>13</v>
      </c>
      <c r="E169" s="5" t="s">
        <v>53</v>
      </c>
      <c r="F169" s="5">
        <v>13</v>
      </c>
      <c r="G169" s="5">
        <v>336</v>
      </c>
      <c r="H169" s="5">
        <v>10</v>
      </c>
      <c r="I169" s="6">
        <v>46098</v>
      </c>
      <c r="J169" s="6">
        <v>46108</v>
      </c>
      <c r="K169" s="10" t="s">
        <v>15</v>
      </c>
      <c r="L169" s="16">
        <f t="shared" si="2"/>
        <v>3931.2000000000003</v>
      </c>
      <c r="M169" s="14" t="str" cm="1">
        <f t="array" ref="M169">_xlfn.IFS(L169&gt;=100000, "Excellent", AND(L169&lt;100000, L169&gt;=50000), "Very Good", AND(L169&lt;50000, L169&gt;=20000), "Good", L169&lt;20000, "Average")</f>
        <v>Average</v>
      </c>
    </row>
    <row r="170" spans="1:13" ht="15" thickBot="1" x14ac:dyDescent="0.4">
      <c r="A170" s="5">
        <v>1391</v>
      </c>
      <c r="B170" s="5" t="s">
        <v>30</v>
      </c>
      <c r="C170" s="5" t="s">
        <v>31</v>
      </c>
      <c r="D170" s="5" t="s">
        <v>34</v>
      </c>
      <c r="E170" s="5" t="s">
        <v>35</v>
      </c>
      <c r="F170" s="5">
        <v>5</v>
      </c>
      <c r="G170" s="5">
        <v>65270</v>
      </c>
      <c r="H170" s="5">
        <v>5</v>
      </c>
      <c r="I170" s="6">
        <v>46100</v>
      </c>
      <c r="J170" s="6">
        <v>46103</v>
      </c>
      <c r="K170" s="10" t="s">
        <v>24</v>
      </c>
      <c r="L170" s="16">
        <f t="shared" si="2"/>
        <v>310032.5</v>
      </c>
      <c r="M170" s="14" t="str" cm="1">
        <f t="array" ref="M170">_xlfn.IFS(L170&gt;=100000, "Excellent", AND(L170&lt;100000, L170&gt;=50000), "Very Good", AND(L170&lt;50000, L170&gt;=20000), "Good", L170&lt;20000, "Average")</f>
        <v>Excellent</v>
      </c>
    </row>
    <row r="171" spans="1:13" ht="15" thickBot="1" x14ac:dyDescent="0.4">
      <c r="A171" s="5">
        <v>1162</v>
      </c>
      <c r="B171" s="5" t="s">
        <v>57</v>
      </c>
      <c r="C171" s="5" t="s">
        <v>31</v>
      </c>
      <c r="D171" s="5" t="s">
        <v>34</v>
      </c>
      <c r="E171" s="5" t="s">
        <v>45</v>
      </c>
      <c r="F171" s="5">
        <v>2</v>
      </c>
      <c r="G171" s="5">
        <v>28176</v>
      </c>
      <c r="H171" s="5">
        <v>10</v>
      </c>
      <c r="I171" s="6">
        <v>46100</v>
      </c>
      <c r="J171" s="6">
        <v>46101</v>
      </c>
      <c r="K171" s="10" t="s">
        <v>20</v>
      </c>
      <c r="L171" s="16">
        <f t="shared" si="2"/>
        <v>50716.800000000003</v>
      </c>
      <c r="M171" s="14" t="str" cm="1">
        <f t="array" ref="M171">_xlfn.IFS(L171&gt;=100000, "Excellent", AND(L171&lt;100000, L171&gt;=50000), "Very Good", AND(L171&lt;50000, L171&gt;=20000), "Good", L171&lt;20000, "Average")</f>
        <v>Very Good</v>
      </c>
    </row>
    <row r="172" spans="1:13" ht="15" thickBot="1" x14ac:dyDescent="0.4">
      <c r="A172" s="5">
        <v>1283</v>
      </c>
      <c r="B172" s="5" t="s">
        <v>40</v>
      </c>
      <c r="C172" s="5" t="s">
        <v>12</v>
      </c>
      <c r="D172" s="5" t="s">
        <v>18</v>
      </c>
      <c r="E172" s="5" t="s">
        <v>23</v>
      </c>
      <c r="F172" s="5">
        <v>6</v>
      </c>
      <c r="G172" s="5">
        <v>1167</v>
      </c>
      <c r="H172" s="5">
        <v>2</v>
      </c>
      <c r="I172" s="6">
        <v>46100</v>
      </c>
      <c r="J172" s="6">
        <v>46106</v>
      </c>
      <c r="K172" s="10" t="s">
        <v>15</v>
      </c>
      <c r="L172" s="16">
        <f t="shared" si="2"/>
        <v>6861.96</v>
      </c>
      <c r="M172" s="14" t="str" cm="1">
        <f t="array" ref="M172">_xlfn.IFS(L172&gt;=100000, "Excellent", AND(L172&lt;100000, L172&gt;=50000), "Very Good", AND(L172&lt;50000, L172&gt;=20000), "Good", L172&lt;20000, "Average")</f>
        <v>Average</v>
      </c>
    </row>
    <row r="173" spans="1:13" ht="15" thickBot="1" x14ac:dyDescent="0.4">
      <c r="A173" s="5">
        <v>1094</v>
      </c>
      <c r="B173" s="5" t="s">
        <v>47</v>
      </c>
      <c r="C173" s="5" t="s">
        <v>43</v>
      </c>
      <c r="D173" s="5" t="s">
        <v>34</v>
      </c>
      <c r="E173" s="5" t="s">
        <v>61</v>
      </c>
      <c r="F173" s="5">
        <v>4</v>
      </c>
      <c r="G173" s="5">
        <v>7073</v>
      </c>
      <c r="H173" s="5">
        <v>0</v>
      </c>
      <c r="I173" s="6">
        <v>46101</v>
      </c>
      <c r="J173" s="6">
        <v>46105</v>
      </c>
      <c r="K173" s="10" t="s">
        <v>29</v>
      </c>
      <c r="L173" s="16">
        <f t="shared" si="2"/>
        <v>28292</v>
      </c>
      <c r="M173" s="14" t="str" cm="1">
        <f t="array" ref="M173">_xlfn.IFS(L173&gt;=100000, "Excellent", AND(L173&lt;100000, L173&gt;=50000), "Very Good", AND(L173&lt;50000, L173&gt;=20000), "Good", L173&lt;20000, "Average")</f>
        <v>Good</v>
      </c>
    </row>
    <row r="174" spans="1:13" ht="15" thickBot="1" x14ac:dyDescent="0.4">
      <c r="A174" s="5">
        <v>1387</v>
      </c>
      <c r="B174" s="5" t="s">
        <v>54</v>
      </c>
      <c r="C174" s="5" t="s">
        <v>33</v>
      </c>
      <c r="D174" s="5" t="s">
        <v>34</v>
      </c>
      <c r="E174" s="5" t="s">
        <v>35</v>
      </c>
      <c r="F174" s="5">
        <v>11</v>
      </c>
      <c r="G174" s="5">
        <v>56515</v>
      </c>
      <c r="H174" s="5">
        <v>5</v>
      </c>
      <c r="I174" s="6">
        <v>46102</v>
      </c>
      <c r="J174" s="6">
        <v>46112</v>
      </c>
      <c r="K174" s="10" t="s">
        <v>24</v>
      </c>
      <c r="L174" s="16">
        <f t="shared" si="2"/>
        <v>590581.75</v>
      </c>
      <c r="M174" s="14" t="str" cm="1">
        <f t="array" ref="M174">_xlfn.IFS(L174&gt;=100000, "Excellent", AND(L174&lt;100000, L174&gt;=50000), "Very Good", AND(L174&lt;50000, L174&gt;=20000), "Good", L174&lt;20000, "Average")</f>
        <v>Excellent</v>
      </c>
    </row>
    <row r="175" spans="1:13" ht="15" thickBot="1" x14ac:dyDescent="0.4">
      <c r="A175" s="5">
        <v>1049</v>
      </c>
      <c r="B175" s="5" t="s">
        <v>52</v>
      </c>
      <c r="C175" s="5" t="s">
        <v>25</v>
      </c>
      <c r="D175" s="5" t="s">
        <v>34</v>
      </c>
      <c r="E175" s="5" t="s">
        <v>45</v>
      </c>
      <c r="F175" s="5">
        <v>2</v>
      </c>
      <c r="G175" s="5">
        <v>40789</v>
      </c>
      <c r="H175" s="5">
        <v>0</v>
      </c>
      <c r="I175" s="6">
        <v>46102</v>
      </c>
      <c r="J175" s="6">
        <v>46108</v>
      </c>
      <c r="K175" s="10" t="s">
        <v>24</v>
      </c>
      <c r="L175" s="16">
        <f t="shared" si="2"/>
        <v>81578</v>
      </c>
      <c r="M175" s="14" t="str" cm="1">
        <f t="array" ref="M175">_xlfn.IFS(L175&gt;=100000, "Excellent", AND(L175&lt;100000, L175&gt;=50000), "Very Good", AND(L175&lt;50000, L175&gt;=20000), "Good", L175&lt;20000, "Average")</f>
        <v>Very Good</v>
      </c>
    </row>
    <row r="176" spans="1:13" ht="15" thickBot="1" x14ac:dyDescent="0.4">
      <c r="A176" s="5">
        <v>1145</v>
      </c>
      <c r="B176" s="5" t="s">
        <v>42</v>
      </c>
      <c r="C176" s="5" t="s">
        <v>33</v>
      </c>
      <c r="D176" s="5" t="s">
        <v>34</v>
      </c>
      <c r="E176" s="5" t="s">
        <v>39</v>
      </c>
      <c r="F176" s="5">
        <v>2</v>
      </c>
      <c r="G176" s="5">
        <v>34429</v>
      </c>
      <c r="H176" s="5">
        <v>12</v>
      </c>
      <c r="I176" s="6">
        <v>46102</v>
      </c>
      <c r="J176" s="6">
        <v>46112</v>
      </c>
      <c r="K176" s="10" t="s">
        <v>24</v>
      </c>
      <c r="L176" s="16">
        <f t="shared" si="2"/>
        <v>60595.040000000001</v>
      </c>
      <c r="M176" s="14" t="str" cm="1">
        <f t="array" ref="M176">_xlfn.IFS(L176&gt;=100000, "Excellent", AND(L176&lt;100000, L176&gt;=50000), "Very Good", AND(L176&lt;50000, L176&gt;=20000), "Good", L176&lt;20000, "Average")</f>
        <v>Very Good</v>
      </c>
    </row>
    <row r="177" spans="1:13" ht="15" thickBot="1" x14ac:dyDescent="0.4">
      <c r="A177" s="5">
        <v>1121</v>
      </c>
      <c r="B177" s="5" t="s">
        <v>29</v>
      </c>
      <c r="C177" s="5" t="s">
        <v>12</v>
      </c>
      <c r="D177" s="5" t="s">
        <v>34</v>
      </c>
      <c r="E177" s="5" t="s">
        <v>39</v>
      </c>
      <c r="F177" s="5">
        <v>4</v>
      </c>
      <c r="G177" s="5">
        <v>55809</v>
      </c>
      <c r="H177" s="5">
        <v>2</v>
      </c>
      <c r="I177" s="6">
        <v>46103</v>
      </c>
      <c r="J177" s="6">
        <v>46108</v>
      </c>
      <c r="K177" s="10" t="s">
        <v>29</v>
      </c>
      <c r="L177" s="16">
        <f t="shared" si="2"/>
        <v>218771.28</v>
      </c>
      <c r="M177" s="14" t="str" cm="1">
        <f t="array" ref="M177">_xlfn.IFS(L177&gt;=100000, "Excellent", AND(L177&lt;100000, L177&gt;=50000), "Very Good", AND(L177&lt;50000, L177&gt;=20000), "Good", L177&lt;20000, "Average")</f>
        <v>Excellent</v>
      </c>
    </row>
    <row r="178" spans="1:13" ht="15" thickBot="1" x14ac:dyDescent="0.4">
      <c r="A178" s="5">
        <v>1209</v>
      </c>
      <c r="B178" s="5" t="s">
        <v>48</v>
      </c>
      <c r="C178" s="5" t="s">
        <v>38</v>
      </c>
      <c r="D178" s="5" t="s">
        <v>34</v>
      </c>
      <c r="E178" s="5" t="s">
        <v>35</v>
      </c>
      <c r="F178" s="5">
        <v>19</v>
      </c>
      <c r="G178" s="5">
        <v>20284</v>
      </c>
      <c r="H178" s="5">
        <v>10</v>
      </c>
      <c r="I178" s="6">
        <v>46103</v>
      </c>
      <c r="J178" s="6">
        <v>46110</v>
      </c>
      <c r="K178" s="10" t="s">
        <v>20</v>
      </c>
      <c r="L178" s="16">
        <f t="shared" si="2"/>
        <v>346856.4</v>
      </c>
      <c r="M178" s="14" t="str" cm="1">
        <f t="array" ref="M178">_xlfn.IFS(L178&gt;=100000, "Excellent", AND(L178&lt;100000, L178&gt;=50000), "Very Good", AND(L178&lt;50000, L178&gt;=20000), "Good", L178&lt;20000, "Average")</f>
        <v>Excellent</v>
      </c>
    </row>
    <row r="179" spans="1:13" ht="15" thickBot="1" x14ac:dyDescent="0.4">
      <c r="A179" s="5">
        <v>1161</v>
      </c>
      <c r="B179" s="5" t="s">
        <v>27</v>
      </c>
      <c r="C179" s="5" t="s">
        <v>25</v>
      </c>
      <c r="D179" s="5" t="s">
        <v>34</v>
      </c>
      <c r="E179" s="5" t="s">
        <v>39</v>
      </c>
      <c r="F179" s="5">
        <v>4</v>
      </c>
      <c r="G179" s="5">
        <v>54659</v>
      </c>
      <c r="H179" s="5">
        <v>7</v>
      </c>
      <c r="I179" s="6">
        <v>46105</v>
      </c>
      <c r="J179" s="6">
        <v>46109</v>
      </c>
      <c r="K179" s="10" t="s">
        <v>20</v>
      </c>
      <c r="L179" s="16">
        <f t="shared" si="2"/>
        <v>203331.47999999998</v>
      </c>
      <c r="M179" s="14" t="str" cm="1">
        <f t="array" ref="M179">_xlfn.IFS(L179&gt;=100000, "Excellent", AND(L179&lt;100000, L179&gt;=50000), "Very Good", AND(L179&lt;50000, L179&gt;=20000), "Good", L179&lt;20000, "Average")</f>
        <v>Excellent</v>
      </c>
    </row>
    <row r="180" spans="1:13" ht="15" thickBot="1" x14ac:dyDescent="0.4">
      <c r="A180" s="5">
        <v>1377</v>
      </c>
      <c r="B180" s="5" t="s">
        <v>32</v>
      </c>
      <c r="C180" s="5" t="s">
        <v>38</v>
      </c>
      <c r="D180" s="5" t="s">
        <v>18</v>
      </c>
      <c r="E180" s="5" t="s">
        <v>19</v>
      </c>
      <c r="F180" s="5">
        <v>3</v>
      </c>
      <c r="G180" s="5">
        <v>5480</v>
      </c>
      <c r="H180" s="5">
        <v>12</v>
      </c>
      <c r="I180" s="6">
        <v>46105</v>
      </c>
      <c r="J180" s="6">
        <v>46111</v>
      </c>
      <c r="K180" s="10" t="s">
        <v>24</v>
      </c>
      <c r="L180" s="16">
        <f t="shared" si="2"/>
        <v>14467.2</v>
      </c>
      <c r="M180" s="14" t="str" cm="1">
        <f t="array" ref="M180">_xlfn.IFS(L180&gt;=100000, "Excellent", AND(L180&lt;100000, L180&gt;=50000), "Very Good", AND(L180&lt;50000, L180&gt;=20000), "Good", L180&lt;20000, "Average")</f>
        <v>Average</v>
      </c>
    </row>
    <row r="181" spans="1:13" ht="15" thickBot="1" x14ac:dyDescent="0.4">
      <c r="A181" s="5">
        <v>1170</v>
      </c>
      <c r="B181" s="5" t="s">
        <v>49</v>
      </c>
      <c r="C181" s="5" t="s">
        <v>38</v>
      </c>
      <c r="D181" s="5" t="s">
        <v>13</v>
      </c>
      <c r="E181" s="5" t="s">
        <v>14</v>
      </c>
      <c r="F181" s="5">
        <v>6</v>
      </c>
      <c r="G181" s="5">
        <v>339</v>
      </c>
      <c r="H181" s="5">
        <v>12</v>
      </c>
      <c r="I181" s="6">
        <v>46105</v>
      </c>
      <c r="J181" s="6">
        <v>46106</v>
      </c>
      <c r="K181" s="10" t="s">
        <v>24</v>
      </c>
      <c r="L181" s="16">
        <f t="shared" si="2"/>
        <v>1789.92</v>
      </c>
      <c r="M181" s="14" t="str" cm="1">
        <f t="array" ref="M181">_xlfn.IFS(L181&gt;=100000, "Excellent", AND(L181&lt;100000, L181&gt;=50000), "Very Good", AND(L181&lt;50000, L181&gt;=20000), "Good", L181&lt;20000, "Average")</f>
        <v>Average</v>
      </c>
    </row>
    <row r="182" spans="1:13" ht="15" thickBot="1" x14ac:dyDescent="0.4">
      <c r="A182" s="5">
        <v>1102</v>
      </c>
      <c r="B182" s="5" t="s">
        <v>54</v>
      </c>
      <c r="C182" s="5" t="s">
        <v>25</v>
      </c>
      <c r="D182" s="5" t="s">
        <v>34</v>
      </c>
      <c r="E182" s="5" t="s">
        <v>45</v>
      </c>
      <c r="F182" s="5">
        <v>12</v>
      </c>
      <c r="G182" s="5">
        <v>63402</v>
      </c>
      <c r="H182" s="5">
        <v>7</v>
      </c>
      <c r="I182" s="6">
        <v>46106</v>
      </c>
      <c r="J182" s="6">
        <v>46113</v>
      </c>
      <c r="K182" s="10" t="s">
        <v>51</v>
      </c>
      <c r="L182" s="16">
        <f t="shared" si="2"/>
        <v>707566.32</v>
      </c>
      <c r="M182" s="14" t="str" cm="1">
        <f t="array" ref="M182">_xlfn.IFS(L182&gt;=100000, "Excellent", AND(L182&lt;100000, L182&gt;=50000), "Very Good", AND(L182&lt;50000, L182&gt;=20000), "Good", L182&lt;20000, "Average")</f>
        <v>Excellent</v>
      </c>
    </row>
    <row r="183" spans="1:13" ht="15" thickBot="1" x14ac:dyDescent="0.4">
      <c r="A183" s="5">
        <v>1198</v>
      </c>
      <c r="B183" s="5" t="s">
        <v>58</v>
      </c>
      <c r="C183" s="5" t="s">
        <v>12</v>
      </c>
      <c r="D183" s="5" t="s">
        <v>13</v>
      </c>
      <c r="E183" s="5" t="s">
        <v>14</v>
      </c>
      <c r="F183" s="5">
        <v>12</v>
      </c>
      <c r="G183" s="5">
        <v>491</v>
      </c>
      <c r="H183" s="5">
        <v>2</v>
      </c>
      <c r="I183" s="6">
        <v>46106</v>
      </c>
      <c r="J183" s="6">
        <v>46109</v>
      </c>
      <c r="K183" s="10" t="s">
        <v>51</v>
      </c>
      <c r="L183" s="16">
        <f t="shared" si="2"/>
        <v>5774.16</v>
      </c>
      <c r="M183" s="14" t="str" cm="1">
        <f t="array" ref="M183">_xlfn.IFS(L183&gt;=100000, "Excellent", AND(L183&lt;100000, L183&gt;=50000), "Very Good", AND(L183&lt;50000, L183&gt;=20000), "Good", L183&lt;20000, "Average")</f>
        <v>Average</v>
      </c>
    </row>
    <row r="184" spans="1:13" ht="15" thickBot="1" x14ac:dyDescent="0.4">
      <c r="A184" s="5">
        <v>1379</v>
      </c>
      <c r="B184" s="5" t="s">
        <v>47</v>
      </c>
      <c r="C184" s="5" t="s">
        <v>17</v>
      </c>
      <c r="D184" s="5" t="s">
        <v>13</v>
      </c>
      <c r="E184" s="5" t="s">
        <v>14</v>
      </c>
      <c r="F184" s="5">
        <v>11</v>
      </c>
      <c r="G184" s="5">
        <v>136</v>
      </c>
      <c r="H184" s="5">
        <v>15</v>
      </c>
      <c r="I184" s="6">
        <v>46106</v>
      </c>
      <c r="J184" s="6">
        <v>46107</v>
      </c>
      <c r="K184" s="10" t="s">
        <v>20</v>
      </c>
      <c r="L184" s="16">
        <f t="shared" si="2"/>
        <v>1271.5999999999999</v>
      </c>
      <c r="M184" s="14" t="str" cm="1">
        <f t="array" ref="M184">_xlfn.IFS(L184&gt;=100000, "Excellent", AND(L184&lt;100000, L184&gt;=50000), "Very Good", AND(L184&lt;50000, L184&gt;=20000), "Good", L184&lt;20000, "Average")</f>
        <v>Average</v>
      </c>
    </row>
    <row r="185" spans="1:13" ht="15" thickBot="1" x14ac:dyDescent="0.4">
      <c r="A185" s="5">
        <v>1039</v>
      </c>
      <c r="B185" s="5" t="s">
        <v>48</v>
      </c>
      <c r="C185" s="5" t="s">
        <v>38</v>
      </c>
      <c r="D185" s="5" t="s">
        <v>34</v>
      </c>
      <c r="E185" s="5" t="s">
        <v>45</v>
      </c>
      <c r="F185" s="5">
        <v>5</v>
      </c>
      <c r="G185" s="5">
        <v>60236</v>
      </c>
      <c r="H185" s="5">
        <v>10</v>
      </c>
      <c r="I185" s="6">
        <v>46107</v>
      </c>
      <c r="J185" s="6">
        <v>46110</v>
      </c>
      <c r="K185" s="10" t="s">
        <v>20</v>
      </c>
      <c r="L185" s="16">
        <f t="shared" si="2"/>
        <v>271062</v>
      </c>
      <c r="M185" s="14" t="str" cm="1">
        <f t="array" ref="M185">_xlfn.IFS(L185&gt;=100000, "Excellent", AND(L185&lt;100000, L185&gt;=50000), "Very Good", AND(L185&lt;50000, L185&gt;=20000), "Good", L185&lt;20000, "Average")</f>
        <v>Excellent</v>
      </c>
    </row>
    <row r="186" spans="1:13" ht="15" thickBot="1" x14ac:dyDescent="0.4">
      <c r="A186" s="5">
        <v>1321</v>
      </c>
      <c r="B186" s="5" t="s">
        <v>32</v>
      </c>
      <c r="C186" s="5" t="s">
        <v>22</v>
      </c>
      <c r="D186" s="5" t="s">
        <v>18</v>
      </c>
      <c r="E186" s="5" t="s">
        <v>19</v>
      </c>
      <c r="F186" s="5">
        <v>8</v>
      </c>
      <c r="G186" s="5">
        <v>5619</v>
      </c>
      <c r="H186" s="5">
        <v>7</v>
      </c>
      <c r="I186" s="6">
        <v>46107</v>
      </c>
      <c r="J186" s="6">
        <v>46109</v>
      </c>
      <c r="K186" s="10" t="s">
        <v>51</v>
      </c>
      <c r="L186" s="16">
        <f t="shared" si="2"/>
        <v>41805.360000000001</v>
      </c>
      <c r="M186" s="14" t="str" cm="1">
        <f t="array" ref="M186">_xlfn.IFS(L186&gt;=100000, "Excellent", AND(L186&lt;100000, L186&gt;=50000), "Very Good", AND(L186&lt;50000, L186&gt;=20000), "Good", L186&lt;20000, "Average")</f>
        <v>Good</v>
      </c>
    </row>
    <row r="187" spans="1:13" ht="15" thickBot="1" x14ac:dyDescent="0.4">
      <c r="A187" s="5">
        <v>1123</v>
      </c>
      <c r="B187" s="5" t="s">
        <v>32</v>
      </c>
      <c r="C187" s="5" t="s">
        <v>31</v>
      </c>
      <c r="D187" s="5" t="s">
        <v>34</v>
      </c>
      <c r="E187" s="5" t="s">
        <v>45</v>
      </c>
      <c r="F187" s="5">
        <v>16</v>
      </c>
      <c r="G187" s="5">
        <v>1332</v>
      </c>
      <c r="H187" s="5">
        <v>7</v>
      </c>
      <c r="I187" s="6">
        <v>46107</v>
      </c>
      <c r="J187" s="6">
        <v>46109</v>
      </c>
      <c r="K187" s="10" t="s">
        <v>29</v>
      </c>
      <c r="L187" s="16">
        <f t="shared" si="2"/>
        <v>19820.16</v>
      </c>
      <c r="M187" s="14" t="str" cm="1">
        <f t="array" ref="M187">_xlfn.IFS(L187&gt;=100000, "Excellent", AND(L187&lt;100000, L187&gt;=50000), "Very Good", AND(L187&lt;50000, L187&gt;=20000), "Good", L187&lt;20000, "Average")</f>
        <v>Average</v>
      </c>
    </row>
    <row r="188" spans="1:13" ht="15" thickBot="1" x14ac:dyDescent="0.4">
      <c r="A188" s="5">
        <v>1182</v>
      </c>
      <c r="B188" s="5" t="s">
        <v>42</v>
      </c>
      <c r="C188" s="5" t="s">
        <v>12</v>
      </c>
      <c r="D188" s="5" t="s">
        <v>34</v>
      </c>
      <c r="E188" s="5" t="s">
        <v>39</v>
      </c>
      <c r="F188" s="5">
        <v>8</v>
      </c>
      <c r="G188" s="5">
        <v>66022</v>
      </c>
      <c r="H188" s="5">
        <v>12</v>
      </c>
      <c r="I188" s="6">
        <v>46108</v>
      </c>
      <c r="J188" s="6">
        <v>46114</v>
      </c>
      <c r="K188" s="10" t="s">
        <v>24</v>
      </c>
      <c r="L188" s="16">
        <f t="shared" si="2"/>
        <v>464794.88</v>
      </c>
      <c r="M188" s="14" t="str" cm="1">
        <f t="array" ref="M188">_xlfn.IFS(L188&gt;=100000, "Excellent", AND(L188&lt;100000, L188&gt;=50000), "Very Good", AND(L188&lt;50000, L188&gt;=20000), "Good", L188&lt;20000, "Average")</f>
        <v>Excellent</v>
      </c>
    </row>
    <row r="189" spans="1:13" ht="15" thickBot="1" x14ac:dyDescent="0.4">
      <c r="A189" s="5">
        <v>1183</v>
      </c>
      <c r="B189" s="5" t="s">
        <v>52</v>
      </c>
      <c r="C189" s="5" t="s">
        <v>43</v>
      </c>
      <c r="D189" s="5" t="s">
        <v>13</v>
      </c>
      <c r="E189" s="5" t="s">
        <v>14</v>
      </c>
      <c r="F189" s="5">
        <v>2</v>
      </c>
      <c r="G189" s="5">
        <v>309</v>
      </c>
      <c r="H189" s="5">
        <v>2</v>
      </c>
      <c r="I189" s="6">
        <v>46109</v>
      </c>
      <c r="J189" s="6">
        <v>46111</v>
      </c>
      <c r="K189" s="10" t="s">
        <v>20</v>
      </c>
      <c r="L189" s="16">
        <f t="shared" si="2"/>
        <v>605.64</v>
      </c>
      <c r="M189" s="14" t="str" cm="1">
        <f t="array" ref="M189">_xlfn.IFS(L189&gt;=100000, "Excellent", AND(L189&lt;100000, L189&gt;=50000), "Very Good", AND(L189&lt;50000, L189&gt;=20000), "Good", L189&lt;20000, "Average")</f>
        <v>Average</v>
      </c>
    </row>
    <row r="190" spans="1:13" ht="15" thickBot="1" x14ac:dyDescent="0.4">
      <c r="A190" s="5">
        <v>1328</v>
      </c>
      <c r="B190" s="5" t="s">
        <v>16</v>
      </c>
      <c r="C190" s="5" t="s">
        <v>38</v>
      </c>
      <c r="D190" s="5" t="s">
        <v>13</v>
      </c>
      <c r="E190" s="5" t="s">
        <v>36</v>
      </c>
      <c r="F190" s="5">
        <v>4</v>
      </c>
      <c r="G190" s="5">
        <v>132</v>
      </c>
      <c r="H190" s="5">
        <v>0</v>
      </c>
      <c r="I190" s="6">
        <v>46109</v>
      </c>
      <c r="J190" s="6">
        <v>46114</v>
      </c>
      <c r="K190" s="10" t="s">
        <v>29</v>
      </c>
      <c r="L190" s="16">
        <f t="shared" si="2"/>
        <v>528</v>
      </c>
      <c r="M190" s="14" t="str" cm="1">
        <f t="array" ref="M190">_xlfn.IFS(L190&gt;=100000, "Excellent", AND(L190&lt;100000, L190&gt;=50000), "Very Good", AND(L190&lt;50000, L190&gt;=20000), "Good", L190&lt;20000, "Average")</f>
        <v>Average</v>
      </c>
    </row>
    <row r="191" spans="1:13" ht="15" thickBot="1" x14ac:dyDescent="0.4">
      <c r="A191" s="5">
        <v>1290</v>
      </c>
      <c r="B191" s="5" t="s">
        <v>26</v>
      </c>
      <c r="C191" s="5" t="s">
        <v>22</v>
      </c>
      <c r="D191" s="5" t="s">
        <v>34</v>
      </c>
      <c r="E191" s="5" t="s">
        <v>35</v>
      </c>
      <c r="F191" s="5">
        <v>3</v>
      </c>
      <c r="G191" s="5">
        <v>69793</v>
      </c>
      <c r="H191" s="5">
        <v>15</v>
      </c>
      <c r="I191" s="6">
        <v>46110</v>
      </c>
      <c r="J191" s="6">
        <v>46111</v>
      </c>
      <c r="K191" s="10" t="s">
        <v>29</v>
      </c>
      <c r="L191" s="16">
        <f t="shared" si="2"/>
        <v>177972.15</v>
      </c>
      <c r="M191" s="14" t="str" cm="1">
        <f t="array" ref="M191">_xlfn.IFS(L191&gt;=100000, "Excellent", AND(L191&lt;100000, L191&gt;=50000), "Very Good", AND(L191&lt;50000, L191&gt;=20000), "Good", L191&lt;20000, "Average")</f>
        <v>Excellent</v>
      </c>
    </row>
    <row r="192" spans="1:13" ht="15" thickBot="1" x14ac:dyDescent="0.4">
      <c r="A192" s="5">
        <v>1193</v>
      </c>
      <c r="B192" s="5" t="s">
        <v>57</v>
      </c>
      <c r="C192" s="5" t="s">
        <v>12</v>
      </c>
      <c r="D192" s="5" t="s">
        <v>18</v>
      </c>
      <c r="E192" s="5" t="s">
        <v>23</v>
      </c>
      <c r="F192" s="5">
        <v>19</v>
      </c>
      <c r="G192" s="5">
        <v>2699</v>
      </c>
      <c r="H192" s="5">
        <v>7</v>
      </c>
      <c r="I192" s="6">
        <v>46110</v>
      </c>
      <c r="J192" s="6">
        <v>46112</v>
      </c>
      <c r="K192" s="10" t="s">
        <v>29</v>
      </c>
      <c r="L192" s="16">
        <f t="shared" si="2"/>
        <v>47691.329999999994</v>
      </c>
      <c r="M192" s="14" t="str" cm="1">
        <f t="array" ref="M192">_xlfn.IFS(L192&gt;=100000, "Excellent", AND(L192&lt;100000, L192&gt;=50000), "Very Good", AND(L192&lt;50000, L192&gt;=20000), "Good", L192&lt;20000, "Average")</f>
        <v>Good</v>
      </c>
    </row>
    <row r="193" spans="1:13" ht="15" thickBot="1" x14ac:dyDescent="0.4">
      <c r="A193" s="5">
        <v>1300</v>
      </c>
      <c r="B193" s="5" t="s">
        <v>47</v>
      </c>
      <c r="C193" s="5" t="s">
        <v>33</v>
      </c>
      <c r="D193" s="5" t="s">
        <v>34</v>
      </c>
      <c r="E193" s="5" t="s">
        <v>45</v>
      </c>
      <c r="F193" s="5">
        <v>20</v>
      </c>
      <c r="G193" s="5">
        <v>1392</v>
      </c>
      <c r="H193" s="5">
        <v>2</v>
      </c>
      <c r="I193" s="6">
        <v>46110</v>
      </c>
      <c r="J193" s="6">
        <v>46117</v>
      </c>
      <c r="K193" s="10" t="s">
        <v>24</v>
      </c>
      <c r="L193" s="16">
        <f t="shared" si="2"/>
        <v>27283.200000000001</v>
      </c>
      <c r="M193" s="14" t="str" cm="1">
        <f t="array" ref="M193">_xlfn.IFS(L193&gt;=100000, "Excellent", AND(L193&lt;100000, L193&gt;=50000), "Very Good", AND(L193&lt;50000, L193&gt;=20000), "Good", L193&lt;20000, "Average")</f>
        <v>Good</v>
      </c>
    </row>
    <row r="194" spans="1:13" ht="15" thickBot="1" x14ac:dyDescent="0.4">
      <c r="A194" s="5">
        <v>1180</v>
      </c>
      <c r="B194" s="5" t="s">
        <v>40</v>
      </c>
      <c r="C194" s="5" t="s">
        <v>31</v>
      </c>
      <c r="D194" s="5" t="s">
        <v>18</v>
      </c>
      <c r="E194" s="5" t="s">
        <v>28</v>
      </c>
      <c r="F194" s="5">
        <v>2</v>
      </c>
      <c r="G194" s="5">
        <v>2076</v>
      </c>
      <c r="H194" s="5">
        <v>2</v>
      </c>
      <c r="I194" s="6">
        <v>46111</v>
      </c>
      <c r="J194" s="6">
        <v>46121</v>
      </c>
      <c r="K194" s="10" t="s">
        <v>29</v>
      </c>
      <c r="L194" s="16">
        <f t="shared" si="2"/>
        <v>4068.96</v>
      </c>
      <c r="M194" s="14" t="str" cm="1">
        <f t="array" ref="M194">_xlfn.IFS(L194&gt;=100000, "Excellent", AND(L194&lt;100000, L194&gt;=50000), "Very Good", AND(L194&lt;50000, L194&gt;=20000), "Good", L194&lt;20000, "Average")</f>
        <v>Average</v>
      </c>
    </row>
    <row r="195" spans="1:13" ht="15" thickBot="1" x14ac:dyDescent="0.4">
      <c r="A195" s="5">
        <v>1178</v>
      </c>
      <c r="B195" s="5" t="s">
        <v>57</v>
      </c>
      <c r="C195" s="5" t="s">
        <v>17</v>
      </c>
      <c r="D195" s="5" t="s">
        <v>13</v>
      </c>
      <c r="E195" s="5" t="s">
        <v>50</v>
      </c>
      <c r="F195" s="5">
        <v>5</v>
      </c>
      <c r="G195" s="5">
        <v>50</v>
      </c>
      <c r="H195" s="5">
        <v>0</v>
      </c>
      <c r="I195" s="6">
        <v>46111</v>
      </c>
      <c r="J195" s="6">
        <v>46117</v>
      </c>
      <c r="K195" s="10" t="s">
        <v>20</v>
      </c>
      <c r="L195" s="16">
        <f t="shared" ref="L195:L258" si="3">F195*G195*(1-H195/100)</f>
        <v>250</v>
      </c>
      <c r="M195" s="14" t="str" cm="1">
        <f t="array" ref="M195">_xlfn.IFS(L195&gt;=100000, "Excellent", AND(L195&lt;100000, L195&gt;=50000), "Very Good", AND(L195&lt;50000, L195&gt;=20000), "Good", L195&lt;20000, "Average")</f>
        <v>Average</v>
      </c>
    </row>
    <row r="196" spans="1:13" ht="15" thickBot="1" x14ac:dyDescent="0.4">
      <c r="A196" s="5">
        <v>1251</v>
      </c>
      <c r="B196" s="5" t="s">
        <v>55</v>
      </c>
      <c r="C196" s="5" t="s">
        <v>38</v>
      </c>
      <c r="D196" s="5" t="s">
        <v>34</v>
      </c>
      <c r="E196" s="5" t="s">
        <v>61</v>
      </c>
      <c r="F196" s="5">
        <v>19</v>
      </c>
      <c r="G196" s="5">
        <v>48548</v>
      </c>
      <c r="H196" s="5">
        <v>0</v>
      </c>
      <c r="I196" s="6">
        <v>46112</v>
      </c>
      <c r="J196" s="6">
        <v>46121</v>
      </c>
      <c r="K196" s="10" t="s">
        <v>51</v>
      </c>
      <c r="L196" s="16">
        <f t="shared" si="3"/>
        <v>922412</v>
      </c>
      <c r="M196" s="14" t="str" cm="1">
        <f t="array" ref="M196">_xlfn.IFS(L196&gt;=100000, "Excellent", AND(L196&lt;100000, L196&gt;=50000), "Very Good", AND(L196&lt;50000, L196&gt;=20000), "Good", L196&lt;20000, "Average")</f>
        <v>Excellent</v>
      </c>
    </row>
    <row r="197" spans="1:13" ht="15" thickBot="1" x14ac:dyDescent="0.4">
      <c r="A197" s="5">
        <v>1133</v>
      </c>
      <c r="B197" s="5" t="s">
        <v>11</v>
      </c>
      <c r="C197" s="5" t="s">
        <v>12</v>
      </c>
      <c r="D197" s="5" t="s">
        <v>18</v>
      </c>
      <c r="E197" s="5" t="s">
        <v>56</v>
      </c>
      <c r="F197" s="5">
        <v>6</v>
      </c>
      <c r="G197" s="5">
        <v>9037</v>
      </c>
      <c r="H197" s="5">
        <v>2</v>
      </c>
      <c r="I197" s="6">
        <v>46112</v>
      </c>
      <c r="J197" s="6">
        <v>46121</v>
      </c>
      <c r="K197" s="10" t="s">
        <v>51</v>
      </c>
      <c r="L197" s="16">
        <f t="shared" si="3"/>
        <v>53137.56</v>
      </c>
      <c r="M197" s="14" t="str" cm="1">
        <f t="array" ref="M197">_xlfn.IFS(L197&gt;=100000, "Excellent", AND(L197&lt;100000, L197&gt;=50000), "Very Good", AND(L197&lt;50000, L197&gt;=20000), "Good", L197&lt;20000, "Average")</f>
        <v>Very Good</v>
      </c>
    </row>
    <row r="198" spans="1:13" ht="15" thickBot="1" x14ac:dyDescent="0.4">
      <c r="A198" s="5">
        <v>1227</v>
      </c>
      <c r="B198" s="5" t="s">
        <v>58</v>
      </c>
      <c r="C198" s="5" t="s">
        <v>22</v>
      </c>
      <c r="D198" s="5" t="s">
        <v>34</v>
      </c>
      <c r="E198" s="5" t="s">
        <v>45</v>
      </c>
      <c r="F198" s="5">
        <v>16</v>
      </c>
      <c r="G198" s="5">
        <v>1321</v>
      </c>
      <c r="H198" s="5">
        <v>12</v>
      </c>
      <c r="I198" s="6">
        <v>46113</v>
      </c>
      <c r="J198" s="6">
        <v>46116</v>
      </c>
      <c r="K198" s="10" t="s">
        <v>15</v>
      </c>
      <c r="L198" s="16">
        <f t="shared" si="3"/>
        <v>18599.68</v>
      </c>
      <c r="M198" s="14" t="str" cm="1">
        <f t="array" ref="M198">_xlfn.IFS(L198&gt;=100000, "Excellent", AND(L198&lt;100000, L198&gt;=50000), "Very Good", AND(L198&lt;50000, L198&gt;=20000), "Good", L198&lt;20000, "Average")</f>
        <v>Average</v>
      </c>
    </row>
    <row r="199" spans="1:13" ht="15" thickBot="1" x14ac:dyDescent="0.4">
      <c r="A199" s="5">
        <v>1077</v>
      </c>
      <c r="B199" s="5" t="s">
        <v>55</v>
      </c>
      <c r="C199" s="5" t="s">
        <v>25</v>
      </c>
      <c r="D199" s="5" t="s">
        <v>13</v>
      </c>
      <c r="E199" s="5" t="s">
        <v>14</v>
      </c>
      <c r="F199" s="5">
        <v>1</v>
      </c>
      <c r="G199" s="5">
        <v>123</v>
      </c>
      <c r="H199" s="5">
        <v>10</v>
      </c>
      <c r="I199" s="6">
        <v>46113</v>
      </c>
      <c r="J199" s="6">
        <v>46121</v>
      </c>
      <c r="K199" s="10" t="s">
        <v>51</v>
      </c>
      <c r="L199" s="16">
        <f t="shared" si="3"/>
        <v>110.7</v>
      </c>
      <c r="M199" s="14" t="str" cm="1">
        <f t="array" ref="M199">_xlfn.IFS(L199&gt;=100000, "Excellent", AND(L199&lt;100000, L199&gt;=50000), "Very Good", AND(L199&lt;50000, L199&gt;=20000), "Good", L199&lt;20000, "Average")</f>
        <v>Average</v>
      </c>
    </row>
    <row r="200" spans="1:13" ht="15" thickBot="1" x14ac:dyDescent="0.4">
      <c r="A200" s="5">
        <v>1059</v>
      </c>
      <c r="B200" s="5" t="s">
        <v>54</v>
      </c>
      <c r="C200" s="5" t="s">
        <v>25</v>
      </c>
      <c r="D200" s="5" t="s">
        <v>13</v>
      </c>
      <c r="E200" s="5" t="s">
        <v>50</v>
      </c>
      <c r="F200" s="5">
        <v>20</v>
      </c>
      <c r="G200" s="5">
        <v>112</v>
      </c>
      <c r="H200" s="5">
        <v>10</v>
      </c>
      <c r="I200" s="6">
        <v>46113</v>
      </c>
      <c r="J200" s="6">
        <v>46122</v>
      </c>
      <c r="K200" s="10" t="s">
        <v>51</v>
      </c>
      <c r="L200" s="16">
        <f t="shared" si="3"/>
        <v>2016</v>
      </c>
      <c r="M200" s="14" t="str" cm="1">
        <f t="array" ref="M200">_xlfn.IFS(L200&gt;=100000, "Excellent", AND(L200&lt;100000, L200&gt;=50000), "Very Good", AND(L200&lt;50000, L200&gt;=20000), "Good", L200&lt;20000, "Average")</f>
        <v>Average</v>
      </c>
    </row>
    <row r="201" spans="1:13" ht="15" thickBot="1" x14ac:dyDescent="0.4">
      <c r="A201" s="5">
        <v>1234</v>
      </c>
      <c r="B201" s="5" t="s">
        <v>11</v>
      </c>
      <c r="C201" s="5" t="s">
        <v>25</v>
      </c>
      <c r="D201" s="5" t="s">
        <v>18</v>
      </c>
      <c r="E201" s="5" t="s">
        <v>28</v>
      </c>
      <c r="F201" s="5">
        <v>1</v>
      </c>
      <c r="G201" s="5">
        <v>14320</v>
      </c>
      <c r="H201" s="5">
        <v>12</v>
      </c>
      <c r="I201" s="6">
        <v>46114</v>
      </c>
      <c r="J201" s="6">
        <v>46121</v>
      </c>
      <c r="K201" s="10" t="s">
        <v>51</v>
      </c>
      <c r="L201" s="16">
        <f t="shared" si="3"/>
        <v>12601.6</v>
      </c>
      <c r="M201" s="14" t="str" cm="1">
        <f t="array" ref="M201">_xlfn.IFS(L201&gt;=100000, "Excellent", AND(L201&lt;100000, L201&gt;=50000), "Very Good", AND(L201&lt;50000, L201&gt;=20000), "Good", L201&lt;20000, "Average")</f>
        <v>Average</v>
      </c>
    </row>
    <row r="202" spans="1:13" ht="15" thickBot="1" x14ac:dyDescent="0.4">
      <c r="A202" s="5">
        <v>1074</v>
      </c>
      <c r="B202" s="5" t="s">
        <v>26</v>
      </c>
      <c r="C202" s="5" t="s">
        <v>31</v>
      </c>
      <c r="D202" s="5" t="s">
        <v>13</v>
      </c>
      <c r="E202" s="5" t="s">
        <v>50</v>
      </c>
      <c r="F202" s="5">
        <v>11</v>
      </c>
      <c r="G202" s="5">
        <v>390</v>
      </c>
      <c r="H202" s="5">
        <v>15</v>
      </c>
      <c r="I202" s="6">
        <v>46114</v>
      </c>
      <c r="J202" s="6">
        <v>46123</v>
      </c>
      <c r="K202" s="10" t="s">
        <v>29</v>
      </c>
      <c r="L202" s="16">
        <f t="shared" si="3"/>
        <v>3646.5</v>
      </c>
      <c r="M202" s="14" t="str" cm="1">
        <f t="array" ref="M202">_xlfn.IFS(L202&gt;=100000, "Excellent", AND(L202&lt;100000, L202&gt;=50000), "Very Good", AND(L202&lt;50000, L202&gt;=20000), "Good", L202&lt;20000, "Average")</f>
        <v>Average</v>
      </c>
    </row>
    <row r="203" spans="1:13" ht="15" thickBot="1" x14ac:dyDescent="0.4">
      <c r="A203" s="5">
        <v>1213</v>
      </c>
      <c r="B203" s="5" t="s">
        <v>32</v>
      </c>
      <c r="C203" s="5" t="s">
        <v>38</v>
      </c>
      <c r="D203" s="5" t="s">
        <v>34</v>
      </c>
      <c r="E203" s="5" t="s">
        <v>45</v>
      </c>
      <c r="F203" s="5">
        <v>16</v>
      </c>
      <c r="G203" s="5">
        <v>27741</v>
      </c>
      <c r="H203" s="5">
        <v>12</v>
      </c>
      <c r="I203" s="6">
        <v>46116</v>
      </c>
      <c r="J203" s="6">
        <v>46119</v>
      </c>
      <c r="K203" s="10" t="s">
        <v>15</v>
      </c>
      <c r="L203" s="16">
        <f t="shared" si="3"/>
        <v>390593.28000000003</v>
      </c>
      <c r="M203" s="14" t="str" cm="1">
        <f t="array" ref="M203">_xlfn.IFS(L203&gt;=100000, "Excellent", AND(L203&lt;100000, L203&gt;=50000), "Very Good", AND(L203&lt;50000, L203&gt;=20000), "Good", L203&lt;20000, "Average")</f>
        <v>Excellent</v>
      </c>
    </row>
    <row r="204" spans="1:13" ht="15" thickBot="1" x14ac:dyDescent="0.4">
      <c r="A204" s="5">
        <v>1028</v>
      </c>
      <c r="B204" s="5" t="s">
        <v>47</v>
      </c>
      <c r="C204" s="5" t="s">
        <v>22</v>
      </c>
      <c r="D204" s="5" t="s">
        <v>13</v>
      </c>
      <c r="E204" s="5" t="s">
        <v>36</v>
      </c>
      <c r="F204" s="5">
        <v>13</v>
      </c>
      <c r="G204" s="5">
        <v>433</v>
      </c>
      <c r="H204" s="5">
        <v>2</v>
      </c>
      <c r="I204" s="6">
        <v>46116</v>
      </c>
      <c r="J204" s="6">
        <v>46121</v>
      </c>
      <c r="K204" s="10" t="s">
        <v>24</v>
      </c>
      <c r="L204" s="16">
        <f t="shared" si="3"/>
        <v>5516.42</v>
      </c>
      <c r="M204" s="14" t="str" cm="1">
        <f t="array" ref="M204">_xlfn.IFS(L204&gt;=100000, "Excellent", AND(L204&lt;100000, L204&gt;=50000), "Very Good", AND(L204&lt;50000, L204&gt;=20000), "Good", L204&lt;20000, "Average")</f>
        <v>Average</v>
      </c>
    </row>
    <row r="205" spans="1:13" ht="15" thickBot="1" x14ac:dyDescent="0.4">
      <c r="A205" s="5">
        <v>1287</v>
      </c>
      <c r="B205" s="5" t="s">
        <v>59</v>
      </c>
      <c r="C205" s="5" t="s">
        <v>31</v>
      </c>
      <c r="D205" s="5" t="s">
        <v>13</v>
      </c>
      <c r="E205" s="5" t="s">
        <v>14</v>
      </c>
      <c r="F205" s="5">
        <v>15</v>
      </c>
      <c r="G205" s="5">
        <v>251</v>
      </c>
      <c r="H205" s="5">
        <v>2</v>
      </c>
      <c r="I205" s="6">
        <v>46116</v>
      </c>
      <c r="J205" s="6">
        <v>46122</v>
      </c>
      <c r="K205" s="10" t="s">
        <v>51</v>
      </c>
      <c r="L205" s="16">
        <f t="shared" si="3"/>
        <v>3689.7</v>
      </c>
      <c r="M205" s="14" t="str" cm="1">
        <f t="array" ref="M205">_xlfn.IFS(L205&gt;=100000, "Excellent", AND(L205&lt;100000, L205&gt;=50000), "Very Good", AND(L205&lt;50000, L205&gt;=20000), "Good", L205&lt;20000, "Average")</f>
        <v>Average</v>
      </c>
    </row>
    <row r="206" spans="1:13" ht="15" thickBot="1" x14ac:dyDescent="0.4">
      <c r="A206" s="5">
        <v>1022</v>
      </c>
      <c r="B206" s="5" t="s">
        <v>26</v>
      </c>
      <c r="C206" s="5" t="s">
        <v>17</v>
      </c>
      <c r="D206" s="5" t="s">
        <v>34</v>
      </c>
      <c r="E206" s="5" t="s">
        <v>45</v>
      </c>
      <c r="F206" s="5">
        <v>15</v>
      </c>
      <c r="G206" s="5">
        <v>11596</v>
      </c>
      <c r="H206" s="5">
        <v>0</v>
      </c>
      <c r="I206" s="6">
        <v>46117</v>
      </c>
      <c r="J206" s="6">
        <v>46121</v>
      </c>
      <c r="K206" s="10" t="s">
        <v>29</v>
      </c>
      <c r="L206" s="16">
        <f t="shared" si="3"/>
        <v>173940</v>
      </c>
      <c r="M206" s="14" t="str" cm="1">
        <f t="array" ref="M206">_xlfn.IFS(L206&gt;=100000, "Excellent", AND(L206&lt;100000, L206&gt;=50000), "Very Good", AND(L206&lt;50000, L206&gt;=20000), "Good", L206&lt;20000, "Average")</f>
        <v>Excellent</v>
      </c>
    </row>
    <row r="207" spans="1:13" ht="15" thickBot="1" x14ac:dyDescent="0.4">
      <c r="A207" s="5">
        <v>1265</v>
      </c>
      <c r="B207" s="5" t="s">
        <v>58</v>
      </c>
      <c r="C207" s="5" t="s">
        <v>22</v>
      </c>
      <c r="D207" s="5" t="s">
        <v>18</v>
      </c>
      <c r="E207" s="5" t="s">
        <v>19</v>
      </c>
      <c r="F207" s="5">
        <v>1</v>
      </c>
      <c r="G207" s="5">
        <v>1052</v>
      </c>
      <c r="H207" s="5">
        <v>7</v>
      </c>
      <c r="I207" s="6">
        <v>46117</v>
      </c>
      <c r="J207" s="6">
        <v>46127</v>
      </c>
      <c r="K207" s="10" t="s">
        <v>51</v>
      </c>
      <c r="L207" s="16">
        <f t="shared" si="3"/>
        <v>978.3599999999999</v>
      </c>
      <c r="M207" s="14" t="str" cm="1">
        <f t="array" ref="M207">_xlfn.IFS(L207&gt;=100000, "Excellent", AND(L207&lt;100000, L207&gt;=50000), "Very Good", AND(L207&lt;50000, L207&gt;=20000), "Good", L207&lt;20000, "Average")</f>
        <v>Average</v>
      </c>
    </row>
    <row r="208" spans="1:13" ht="15" thickBot="1" x14ac:dyDescent="0.4">
      <c r="A208" s="5">
        <v>1354</v>
      </c>
      <c r="B208" s="5" t="s">
        <v>47</v>
      </c>
      <c r="C208" s="5" t="s">
        <v>43</v>
      </c>
      <c r="D208" s="5" t="s">
        <v>34</v>
      </c>
      <c r="E208" s="5" t="s">
        <v>35</v>
      </c>
      <c r="F208" s="5">
        <v>15</v>
      </c>
      <c r="G208" s="5">
        <v>14927</v>
      </c>
      <c r="H208" s="5">
        <v>15</v>
      </c>
      <c r="I208" s="6">
        <v>46118</v>
      </c>
      <c r="J208" s="6">
        <v>46120</v>
      </c>
      <c r="K208" s="10" t="s">
        <v>51</v>
      </c>
      <c r="L208" s="16">
        <f t="shared" si="3"/>
        <v>190319.25</v>
      </c>
      <c r="M208" s="14" t="str" cm="1">
        <f t="array" ref="M208">_xlfn.IFS(L208&gt;=100000, "Excellent", AND(L208&lt;100000, L208&gt;=50000), "Very Good", AND(L208&lt;50000, L208&gt;=20000), "Good", L208&lt;20000, "Average")</f>
        <v>Excellent</v>
      </c>
    </row>
    <row r="209" spans="1:13" ht="15" thickBot="1" x14ac:dyDescent="0.4">
      <c r="A209" s="5">
        <v>1108</v>
      </c>
      <c r="B209" s="5" t="s">
        <v>42</v>
      </c>
      <c r="C209" s="5" t="s">
        <v>33</v>
      </c>
      <c r="D209" s="5" t="s">
        <v>18</v>
      </c>
      <c r="E209" s="5" t="s">
        <v>28</v>
      </c>
      <c r="F209" s="5">
        <v>15</v>
      </c>
      <c r="G209" s="5">
        <v>13843</v>
      </c>
      <c r="H209" s="5">
        <v>7</v>
      </c>
      <c r="I209" s="6">
        <v>46119</v>
      </c>
      <c r="J209" s="6">
        <v>46127</v>
      </c>
      <c r="K209" s="10" t="s">
        <v>20</v>
      </c>
      <c r="L209" s="16">
        <f t="shared" si="3"/>
        <v>193109.84999999998</v>
      </c>
      <c r="M209" s="14" t="str" cm="1">
        <f t="array" ref="M209">_xlfn.IFS(L209&gt;=100000, "Excellent", AND(L209&lt;100000, L209&gt;=50000), "Very Good", AND(L209&lt;50000, L209&gt;=20000), "Good", L209&lt;20000, "Average")</f>
        <v>Excellent</v>
      </c>
    </row>
    <row r="210" spans="1:13" ht="15" thickBot="1" x14ac:dyDescent="0.4">
      <c r="A210" s="5">
        <v>1241</v>
      </c>
      <c r="B210" s="5" t="s">
        <v>46</v>
      </c>
      <c r="C210" s="5" t="s">
        <v>31</v>
      </c>
      <c r="D210" s="5" t="s">
        <v>18</v>
      </c>
      <c r="E210" s="5" t="s">
        <v>44</v>
      </c>
      <c r="F210" s="5">
        <v>1</v>
      </c>
      <c r="G210" s="5">
        <v>12537</v>
      </c>
      <c r="H210" s="5">
        <v>0</v>
      </c>
      <c r="I210" s="6">
        <v>46119</v>
      </c>
      <c r="J210" s="6">
        <v>46122</v>
      </c>
      <c r="K210" s="10" t="s">
        <v>15</v>
      </c>
      <c r="L210" s="16">
        <f t="shared" si="3"/>
        <v>12537</v>
      </c>
      <c r="M210" s="14" t="str" cm="1">
        <f t="array" ref="M210">_xlfn.IFS(L210&gt;=100000, "Excellent", AND(L210&lt;100000, L210&gt;=50000), "Very Good", AND(L210&lt;50000, L210&gt;=20000), "Good", L210&lt;20000, "Average")</f>
        <v>Average</v>
      </c>
    </row>
    <row r="211" spans="1:13" ht="15" thickBot="1" x14ac:dyDescent="0.4">
      <c r="A211" s="5">
        <v>1203</v>
      </c>
      <c r="B211" s="5" t="s">
        <v>40</v>
      </c>
      <c r="C211" s="5" t="s">
        <v>22</v>
      </c>
      <c r="D211" s="5" t="s">
        <v>18</v>
      </c>
      <c r="E211" s="5" t="s">
        <v>23</v>
      </c>
      <c r="F211" s="5">
        <v>17</v>
      </c>
      <c r="G211" s="5">
        <v>6695</v>
      </c>
      <c r="H211" s="5">
        <v>2</v>
      </c>
      <c r="I211" s="6">
        <v>46119</v>
      </c>
      <c r="J211" s="6">
        <v>46122</v>
      </c>
      <c r="K211" s="10" t="s">
        <v>51</v>
      </c>
      <c r="L211" s="16">
        <f t="shared" si="3"/>
        <v>111538.7</v>
      </c>
      <c r="M211" s="14" t="str" cm="1">
        <f t="array" ref="M211">_xlfn.IFS(L211&gt;=100000, "Excellent", AND(L211&lt;100000, L211&gt;=50000), "Very Good", AND(L211&lt;50000, L211&gt;=20000), "Good", L211&lt;20000, "Average")</f>
        <v>Excellent</v>
      </c>
    </row>
    <row r="212" spans="1:13" ht="15" thickBot="1" x14ac:dyDescent="0.4">
      <c r="A212" s="5">
        <v>1261</v>
      </c>
      <c r="B212" s="5" t="s">
        <v>40</v>
      </c>
      <c r="C212" s="5" t="s">
        <v>17</v>
      </c>
      <c r="D212" s="5" t="s">
        <v>13</v>
      </c>
      <c r="E212" s="5" t="s">
        <v>50</v>
      </c>
      <c r="F212" s="5">
        <v>20</v>
      </c>
      <c r="G212" s="5">
        <v>162</v>
      </c>
      <c r="H212" s="5">
        <v>7</v>
      </c>
      <c r="I212" s="6">
        <v>46119</v>
      </c>
      <c r="J212" s="6">
        <v>46120</v>
      </c>
      <c r="K212" s="10" t="s">
        <v>51</v>
      </c>
      <c r="L212" s="16">
        <f t="shared" si="3"/>
        <v>3013.2</v>
      </c>
      <c r="M212" s="14" t="str" cm="1">
        <f t="array" ref="M212">_xlfn.IFS(L212&gt;=100000, "Excellent", AND(L212&lt;100000, L212&gt;=50000), "Very Good", AND(L212&lt;50000, L212&gt;=20000), "Good", L212&lt;20000, "Average")</f>
        <v>Average</v>
      </c>
    </row>
    <row r="213" spans="1:13" ht="15" thickBot="1" x14ac:dyDescent="0.4">
      <c r="A213" s="5">
        <v>1172</v>
      </c>
      <c r="B213" s="5" t="s">
        <v>16</v>
      </c>
      <c r="C213" s="5" t="s">
        <v>12</v>
      </c>
      <c r="D213" s="5" t="s">
        <v>34</v>
      </c>
      <c r="E213" s="5" t="s">
        <v>45</v>
      </c>
      <c r="F213" s="5">
        <v>13</v>
      </c>
      <c r="G213" s="5">
        <v>43163</v>
      </c>
      <c r="H213" s="5">
        <v>12</v>
      </c>
      <c r="I213" s="6">
        <v>46120</v>
      </c>
      <c r="J213" s="6">
        <v>46129</v>
      </c>
      <c r="K213" s="10" t="s">
        <v>24</v>
      </c>
      <c r="L213" s="16">
        <f t="shared" si="3"/>
        <v>493784.72000000003</v>
      </c>
      <c r="M213" s="14" t="str" cm="1">
        <f t="array" ref="M213">_xlfn.IFS(L213&gt;=100000, "Excellent", AND(L213&lt;100000, L213&gt;=50000), "Very Good", AND(L213&lt;50000, L213&gt;=20000), "Good", L213&lt;20000, "Average")</f>
        <v>Excellent</v>
      </c>
    </row>
    <row r="214" spans="1:13" ht="15" thickBot="1" x14ac:dyDescent="0.4">
      <c r="A214" s="5">
        <v>1169</v>
      </c>
      <c r="B214" s="5" t="s">
        <v>47</v>
      </c>
      <c r="C214" s="5" t="s">
        <v>12</v>
      </c>
      <c r="D214" s="5" t="s">
        <v>18</v>
      </c>
      <c r="E214" s="5" t="s">
        <v>56</v>
      </c>
      <c r="F214" s="5">
        <v>12</v>
      </c>
      <c r="G214" s="5">
        <v>12104</v>
      </c>
      <c r="H214" s="5">
        <v>7</v>
      </c>
      <c r="I214" s="6">
        <v>46121</v>
      </c>
      <c r="J214" s="6">
        <v>46130</v>
      </c>
      <c r="K214" s="10" t="s">
        <v>24</v>
      </c>
      <c r="L214" s="16">
        <f t="shared" si="3"/>
        <v>135080.63999999998</v>
      </c>
      <c r="M214" s="14" t="str" cm="1">
        <f t="array" ref="M214">_xlfn.IFS(L214&gt;=100000, "Excellent", AND(L214&lt;100000, L214&gt;=50000), "Very Good", AND(L214&lt;50000, L214&gt;=20000), "Good", L214&lt;20000, "Average")</f>
        <v>Excellent</v>
      </c>
    </row>
    <row r="215" spans="1:13" ht="15" thickBot="1" x14ac:dyDescent="0.4">
      <c r="A215" s="5">
        <v>1363</v>
      </c>
      <c r="B215" s="5" t="s">
        <v>27</v>
      </c>
      <c r="C215" s="5" t="s">
        <v>25</v>
      </c>
      <c r="D215" s="5" t="s">
        <v>34</v>
      </c>
      <c r="E215" s="5" t="s">
        <v>35</v>
      </c>
      <c r="F215" s="5">
        <v>7</v>
      </c>
      <c r="G215" s="5">
        <v>45381</v>
      </c>
      <c r="H215" s="5">
        <v>0</v>
      </c>
      <c r="I215" s="6">
        <v>46122</v>
      </c>
      <c r="J215" s="6">
        <v>46128</v>
      </c>
      <c r="K215" s="10" t="s">
        <v>15</v>
      </c>
      <c r="L215" s="16">
        <f t="shared" si="3"/>
        <v>317667</v>
      </c>
      <c r="M215" s="14" t="str" cm="1">
        <f t="array" ref="M215">_xlfn.IFS(L215&gt;=100000, "Excellent", AND(L215&lt;100000, L215&gt;=50000), "Very Good", AND(L215&lt;50000, L215&gt;=20000), "Good", L215&lt;20000, "Average")</f>
        <v>Excellent</v>
      </c>
    </row>
    <row r="216" spans="1:13" ht="15" thickBot="1" x14ac:dyDescent="0.4">
      <c r="A216" s="5">
        <v>1289</v>
      </c>
      <c r="B216" s="5" t="s">
        <v>26</v>
      </c>
      <c r="C216" s="5" t="s">
        <v>22</v>
      </c>
      <c r="D216" s="5" t="s">
        <v>34</v>
      </c>
      <c r="E216" s="5" t="s">
        <v>45</v>
      </c>
      <c r="F216" s="5">
        <v>19</v>
      </c>
      <c r="G216" s="5">
        <v>25336</v>
      </c>
      <c r="H216" s="5">
        <v>2</v>
      </c>
      <c r="I216" s="6">
        <v>46122</v>
      </c>
      <c r="J216" s="6">
        <v>46130</v>
      </c>
      <c r="K216" s="10" t="s">
        <v>24</v>
      </c>
      <c r="L216" s="16">
        <f t="shared" si="3"/>
        <v>471756.32</v>
      </c>
      <c r="M216" s="14" t="str" cm="1">
        <f t="array" ref="M216">_xlfn.IFS(L216&gt;=100000, "Excellent", AND(L216&lt;100000, L216&gt;=50000), "Very Good", AND(L216&lt;50000, L216&gt;=20000), "Good", L216&lt;20000, "Average")</f>
        <v>Excellent</v>
      </c>
    </row>
    <row r="217" spans="1:13" ht="15" thickBot="1" x14ac:dyDescent="0.4">
      <c r="A217" s="5">
        <v>1239</v>
      </c>
      <c r="B217" s="5" t="s">
        <v>48</v>
      </c>
      <c r="C217" s="5" t="s">
        <v>17</v>
      </c>
      <c r="D217" s="5" t="s">
        <v>18</v>
      </c>
      <c r="E217" s="5" t="s">
        <v>56</v>
      </c>
      <c r="F217" s="5">
        <v>2</v>
      </c>
      <c r="G217" s="5">
        <v>12330</v>
      </c>
      <c r="H217" s="5">
        <v>12</v>
      </c>
      <c r="I217" s="6">
        <v>46122</v>
      </c>
      <c r="J217" s="6">
        <v>46125</v>
      </c>
      <c r="K217" s="10" t="s">
        <v>15</v>
      </c>
      <c r="L217" s="16">
        <f t="shared" si="3"/>
        <v>21700.799999999999</v>
      </c>
      <c r="M217" s="14" t="str" cm="1">
        <f t="array" ref="M217">_xlfn.IFS(L217&gt;=100000, "Excellent", AND(L217&lt;100000, L217&gt;=50000), "Very Good", AND(L217&lt;50000, L217&gt;=20000), "Good", L217&lt;20000, "Average")</f>
        <v>Good</v>
      </c>
    </row>
    <row r="218" spans="1:13" ht="15" thickBot="1" x14ac:dyDescent="0.4">
      <c r="A218" s="5">
        <v>1221</v>
      </c>
      <c r="B218" s="5" t="s">
        <v>11</v>
      </c>
      <c r="C218" s="5" t="s">
        <v>31</v>
      </c>
      <c r="D218" s="5" t="s">
        <v>18</v>
      </c>
      <c r="E218" s="5" t="s">
        <v>56</v>
      </c>
      <c r="F218" s="5">
        <v>18</v>
      </c>
      <c r="G218" s="5">
        <v>2681</v>
      </c>
      <c r="H218" s="5">
        <v>10</v>
      </c>
      <c r="I218" s="6">
        <v>46122</v>
      </c>
      <c r="J218" s="6">
        <v>46125</v>
      </c>
      <c r="K218" s="10" t="s">
        <v>51</v>
      </c>
      <c r="L218" s="16">
        <f t="shared" si="3"/>
        <v>43432.200000000004</v>
      </c>
      <c r="M218" s="14" t="str" cm="1">
        <f t="array" ref="M218">_xlfn.IFS(L218&gt;=100000, "Excellent", AND(L218&lt;100000, L218&gt;=50000), "Very Good", AND(L218&lt;50000, L218&gt;=20000), "Good", L218&lt;20000, "Average")</f>
        <v>Good</v>
      </c>
    </row>
    <row r="219" spans="1:13" ht="15" thickBot="1" x14ac:dyDescent="0.4">
      <c r="A219" s="5">
        <v>1299</v>
      </c>
      <c r="B219" s="5" t="s">
        <v>26</v>
      </c>
      <c r="C219" s="5" t="s">
        <v>17</v>
      </c>
      <c r="D219" s="5" t="s">
        <v>18</v>
      </c>
      <c r="E219" s="5" t="s">
        <v>56</v>
      </c>
      <c r="F219" s="5">
        <v>8</v>
      </c>
      <c r="G219" s="5">
        <v>8783</v>
      </c>
      <c r="H219" s="5">
        <v>2</v>
      </c>
      <c r="I219" s="6">
        <v>46123</v>
      </c>
      <c r="J219" s="6">
        <v>46132</v>
      </c>
      <c r="K219" s="10" t="s">
        <v>15</v>
      </c>
      <c r="L219" s="16">
        <f t="shared" si="3"/>
        <v>68858.720000000001</v>
      </c>
      <c r="M219" s="14" t="str" cm="1">
        <f t="array" ref="M219">_xlfn.IFS(L219&gt;=100000, "Excellent", AND(L219&lt;100000, L219&gt;=50000), "Very Good", AND(L219&lt;50000, L219&gt;=20000), "Good", L219&lt;20000, "Average")</f>
        <v>Very Good</v>
      </c>
    </row>
    <row r="220" spans="1:13" ht="15" thickBot="1" x14ac:dyDescent="0.4">
      <c r="A220" s="5">
        <v>1204</v>
      </c>
      <c r="B220" s="5" t="s">
        <v>16</v>
      </c>
      <c r="C220" s="5" t="s">
        <v>31</v>
      </c>
      <c r="D220" s="5" t="s">
        <v>13</v>
      </c>
      <c r="E220" s="5" t="s">
        <v>37</v>
      </c>
      <c r="F220" s="5">
        <v>13</v>
      </c>
      <c r="G220" s="5">
        <v>416</v>
      </c>
      <c r="H220" s="5">
        <v>10</v>
      </c>
      <c r="I220" s="6">
        <v>46123</v>
      </c>
      <c r="J220" s="6">
        <v>46132</v>
      </c>
      <c r="K220" s="10" t="s">
        <v>20</v>
      </c>
      <c r="L220" s="16">
        <f t="shared" si="3"/>
        <v>4867.2</v>
      </c>
      <c r="M220" s="14" t="str" cm="1">
        <f t="array" ref="M220">_xlfn.IFS(L220&gt;=100000, "Excellent", AND(L220&lt;100000, L220&gt;=50000), "Very Good", AND(L220&lt;50000, L220&gt;=20000), "Good", L220&lt;20000, "Average")</f>
        <v>Average</v>
      </c>
    </row>
    <row r="221" spans="1:13" ht="15" thickBot="1" x14ac:dyDescent="0.4">
      <c r="A221" s="5">
        <v>1279</v>
      </c>
      <c r="B221" s="5" t="s">
        <v>55</v>
      </c>
      <c r="C221" s="5" t="s">
        <v>33</v>
      </c>
      <c r="D221" s="5" t="s">
        <v>34</v>
      </c>
      <c r="E221" s="5" t="s">
        <v>45</v>
      </c>
      <c r="F221" s="5">
        <v>20</v>
      </c>
      <c r="G221" s="5">
        <v>49042</v>
      </c>
      <c r="H221" s="5">
        <v>2</v>
      </c>
      <c r="I221" s="6">
        <v>46124</v>
      </c>
      <c r="J221" s="6">
        <v>46126</v>
      </c>
      <c r="K221" s="10" t="s">
        <v>15</v>
      </c>
      <c r="L221" s="16">
        <f t="shared" si="3"/>
        <v>961223.2</v>
      </c>
      <c r="M221" s="14" t="str" cm="1">
        <f t="array" ref="M221">_xlfn.IFS(L221&gt;=100000, "Excellent", AND(L221&lt;100000, L221&gt;=50000), "Very Good", AND(L221&lt;50000, L221&gt;=20000), "Good", L221&lt;20000, "Average")</f>
        <v>Excellent</v>
      </c>
    </row>
    <row r="222" spans="1:13" ht="15" thickBot="1" x14ac:dyDescent="0.4">
      <c r="A222" s="5">
        <v>1392</v>
      </c>
      <c r="B222" s="5" t="s">
        <v>29</v>
      </c>
      <c r="C222" s="5" t="s">
        <v>43</v>
      </c>
      <c r="D222" s="5" t="s">
        <v>34</v>
      </c>
      <c r="E222" s="5" t="s">
        <v>35</v>
      </c>
      <c r="F222" s="5">
        <v>13</v>
      </c>
      <c r="G222" s="5">
        <v>23903</v>
      </c>
      <c r="H222" s="5">
        <v>5</v>
      </c>
      <c r="I222" s="6">
        <v>46124</v>
      </c>
      <c r="J222" s="6">
        <v>46125</v>
      </c>
      <c r="K222" s="10" t="s">
        <v>29</v>
      </c>
      <c r="L222" s="16">
        <f t="shared" si="3"/>
        <v>295202.05</v>
      </c>
      <c r="M222" s="14" t="str" cm="1">
        <f t="array" ref="M222">_xlfn.IFS(L222&gt;=100000, "Excellent", AND(L222&lt;100000, L222&gt;=50000), "Very Good", AND(L222&lt;50000, L222&gt;=20000), "Good", L222&lt;20000, "Average")</f>
        <v>Excellent</v>
      </c>
    </row>
    <row r="223" spans="1:13" ht="15" thickBot="1" x14ac:dyDescent="0.4">
      <c r="A223" s="5">
        <v>1303</v>
      </c>
      <c r="B223" s="5" t="s">
        <v>57</v>
      </c>
      <c r="C223" s="5" t="s">
        <v>38</v>
      </c>
      <c r="D223" s="5" t="s">
        <v>34</v>
      </c>
      <c r="E223" s="5" t="s">
        <v>35</v>
      </c>
      <c r="F223" s="5">
        <v>13</v>
      </c>
      <c r="G223" s="5">
        <v>5170</v>
      </c>
      <c r="H223" s="5">
        <v>2</v>
      </c>
      <c r="I223" s="6">
        <v>46124</v>
      </c>
      <c r="J223" s="6">
        <v>46127</v>
      </c>
      <c r="K223" s="10" t="s">
        <v>15</v>
      </c>
      <c r="L223" s="16">
        <f t="shared" si="3"/>
        <v>65865.8</v>
      </c>
      <c r="M223" s="14" t="str" cm="1">
        <f t="array" ref="M223">_xlfn.IFS(L223&gt;=100000, "Excellent", AND(L223&lt;100000, L223&gt;=50000), "Very Good", AND(L223&lt;50000, L223&gt;=20000), "Good", L223&lt;20000, "Average")</f>
        <v>Very Good</v>
      </c>
    </row>
    <row r="224" spans="1:13" ht="15" thickBot="1" x14ac:dyDescent="0.4">
      <c r="A224" s="5">
        <v>1225</v>
      </c>
      <c r="B224" s="5" t="s">
        <v>42</v>
      </c>
      <c r="C224" s="5" t="s">
        <v>31</v>
      </c>
      <c r="D224" s="5" t="s">
        <v>34</v>
      </c>
      <c r="E224" s="5" t="s">
        <v>35</v>
      </c>
      <c r="F224" s="5">
        <v>16</v>
      </c>
      <c r="G224" s="5">
        <v>32262</v>
      </c>
      <c r="H224" s="5">
        <v>12</v>
      </c>
      <c r="I224" s="6">
        <v>46125</v>
      </c>
      <c r="J224" s="6">
        <v>46126</v>
      </c>
      <c r="K224" s="10" t="s">
        <v>20</v>
      </c>
      <c r="L224" s="16">
        <f t="shared" si="3"/>
        <v>454248.96000000002</v>
      </c>
      <c r="M224" s="14" t="str" cm="1">
        <f t="array" ref="M224">_xlfn.IFS(L224&gt;=100000, "Excellent", AND(L224&lt;100000, L224&gt;=50000), "Very Good", AND(L224&lt;50000, L224&gt;=20000), "Good", L224&lt;20000, "Average")</f>
        <v>Excellent</v>
      </c>
    </row>
    <row r="225" spans="1:13" ht="15" thickBot="1" x14ac:dyDescent="0.4">
      <c r="A225" s="5">
        <v>1130</v>
      </c>
      <c r="B225" s="5" t="s">
        <v>48</v>
      </c>
      <c r="C225" s="5" t="s">
        <v>33</v>
      </c>
      <c r="D225" s="5" t="s">
        <v>13</v>
      </c>
      <c r="E225" s="5" t="s">
        <v>14</v>
      </c>
      <c r="F225" s="5">
        <v>12</v>
      </c>
      <c r="G225" s="5">
        <v>50</v>
      </c>
      <c r="H225" s="5">
        <v>2</v>
      </c>
      <c r="I225" s="6">
        <v>46125</v>
      </c>
      <c r="J225" s="6">
        <v>46131</v>
      </c>
      <c r="K225" s="10" t="s">
        <v>24</v>
      </c>
      <c r="L225" s="16">
        <f t="shared" si="3"/>
        <v>588</v>
      </c>
      <c r="M225" s="14" t="str" cm="1">
        <f t="array" ref="M225">_xlfn.IFS(L225&gt;=100000, "Excellent", AND(L225&lt;100000, L225&gt;=50000), "Very Good", AND(L225&lt;50000, L225&gt;=20000), "Good", L225&lt;20000, "Average")</f>
        <v>Average</v>
      </c>
    </row>
    <row r="226" spans="1:13" ht="15" thickBot="1" x14ac:dyDescent="0.4">
      <c r="A226" s="5">
        <v>1073</v>
      </c>
      <c r="B226" s="5" t="s">
        <v>58</v>
      </c>
      <c r="C226" s="5" t="s">
        <v>17</v>
      </c>
      <c r="D226" s="5" t="s">
        <v>18</v>
      </c>
      <c r="E226" s="5" t="s">
        <v>56</v>
      </c>
      <c r="F226" s="5">
        <v>4</v>
      </c>
      <c r="G226" s="5">
        <v>2453</v>
      </c>
      <c r="H226" s="5">
        <v>7</v>
      </c>
      <c r="I226" s="6">
        <v>46126</v>
      </c>
      <c r="J226" s="6">
        <v>46129</v>
      </c>
      <c r="K226" s="10" t="s">
        <v>51</v>
      </c>
      <c r="L226" s="16">
        <f t="shared" si="3"/>
        <v>9125.16</v>
      </c>
      <c r="M226" s="14" t="str" cm="1">
        <f t="array" ref="M226">_xlfn.IFS(L226&gt;=100000, "Excellent", AND(L226&lt;100000, L226&gt;=50000), "Very Good", AND(L226&lt;50000, L226&gt;=20000), "Good", L226&lt;20000, "Average")</f>
        <v>Average</v>
      </c>
    </row>
    <row r="227" spans="1:13" ht="15" thickBot="1" x14ac:dyDescent="0.4">
      <c r="A227" s="5">
        <v>1098</v>
      </c>
      <c r="B227" s="5" t="s">
        <v>26</v>
      </c>
      <c r="C227" s="5" t="s">
        <v>25</v>
      </c>
      <c r="D227" s="5" t="s">
        <v>13</v>
      </c>
      <c r="E227" s="5" t="s">
        <v>53</v>
      </c>
      <c r="F227" s="5">
        <v>17</v>
      </c>
      <c r="G227" s="5">
        <v>345</v>
      </c>
      <c r="H227" s="5">
        <v>2</v>
      </c>
      <c r="I227" s="6">
        <v>46126</v>
      </c>
      <c r="J227" s="6">
        <v>46127</v>
      </c>
      <c r="K227" s="10" t="s">
        <v>51</v>
      </c>
      <c r="L227" s="16">
        <f t="shared" si="3"/>
        <v>5747.7</v>
      </c>
      <c r="M227" s="14" t="str" cm="1">
        <f t="array" ref="M227">_xlfn.IFS(L227&gt;=100000, "Excellent", AND(L227&lt;100000, L227&gt;=50000), "Very Good", AND(L227&lt;50000, L227&gt;=20000), "Good", L227&lt;20000, "Average")</f>
        <v>Average</v>
      </c>
    </row>
    <row r="228" spans="1:13" ht="15" thickBot="1" x14ac:dyDescent="0.4">
      <c r="A228" s="5">
        <v>1329</v>
      </c>
      <c r="B228" s="5" t="s">
        <v>30</v>
      </c>
      <c r="C228" s="5" t="s">
        <v>43</v>
      </c>
      <c r="D228" s="5" t="s">
        <v>13</v>
      </c>
      <c r="E228" s="5" t="s">
        <v>53</v>
      </c>
      <c r="F228" s="5">
        <v>18</v>
      </c>
      <c r="G228" s="5">
        <v>227</v>
      </c>
      <c r="H228" s="5">
        <v>5</v>
      </c>
      <c r="I228" s="6">
        <v>46126</v>
      </c>
      <c r="J228" s="6">
        <v>46136</v>
      </c>
      <c r="K228" s="10" t="s">
        <v>29</v>
      </c>
      <c r="L228" s="16">
        <f t="shared" si="3"/>
        <v>3881.7</v>
      </c>
      <c r="M228" s="14" t="str" cm="1">
        <f t="array" ref="M228">_xlfn.IFS(L228&gt;=100000, "Excellent", AND(L228&lt;100000, L228&gt;=50000), "Very Good", AND(L228&lt;50000, L228&gt;=20000), "Good", L228&lt;20000, "Average")</f>
        <v>Average</v>
      </c>
    </row>
    <row r="229" spans="1:13" ht="15" thickBot="1" x14ac:dyDescent="0.4">
      <c r="A229" s="5">
        <v>1358</v>
      </c>
      <c r="B229" s="5" t="s">
        <v>40</v>
      </c>
      <c r="C229" s="5" t="s">
        <v>38</v>
      </c>
      <c r="D229" s="5" t="s">
        <v>18</v>
      </c>
      <c r="E229" s="5" t="s">
        <v>19</v>
      </c>
      <c r="F229" s="5">
        <v>7</v>
      </c>
      <c r="G229" s="5">
        <v>6618</v>
      </c>
      <c r="H229" s="5">
        <v>0</v>
      </c>
      <c r="I229" s="6">
        <v>46127</v>
      </c>
      <c r="J229" s="6">
        <v>46129</v>
      </c>
      <c r="K229" s="10" t="s">
        <v>20</v>
      </c>
      <c r="L229" s="16">
        <f t="shared" si="3"/>
        <v>46326</v>
      </c>
      <c r="M229" s="14" t="str" cm="1">
        <f t="array" ref="M229">_xlfn.IFS(L229&gt;=100000, "Excellent", AND(L229&lt;100000, L229&gt;=50000), "Very Good", AND(L229&lt;50000, L229&gt;=20000), "Good", L229&lt;20000, "Average")</f>
        <v>Good</v>
      </c>
    </row>
    <row r="230" spans="1:13" ht="15" thickBot="1" x14ac:dyDescent="0.4">
      <c r="A230" s="5">
        <v>1050</v>
      </c>
      <c r="B230" s="5" t="s">
        <v>32</v>
      </c>
      <c r="C230" s="5" t="s">
        <v>25</v>
      </c>
      <c r="D230" s="5" t="s">
        <v>13</v>
      </c>
      <c r="E230" s="5" t="s">
        <v>53</v>
      </c>
      <c r="F230" s="5">
        <v>12</v>
      </c>
      <c r="G230" s="5">
        <v>360</v>
      </c>
      <c r="H230" s="5">
        <v>5</v>
      </c>
      <c r="I230" s="6">
        <v>46127</v>
      </c>
      <c r="J230" s="6">
        <v>46137</v>
      </c>
      <c r="K230" s="10" t="s">
        <v>29</v>
      </c>
      <c r="L230" s="16">
        <f t="shared" si="3"/>
        <v>4104</v>
      </c>
      <c r="M230" s="14" t="str" cm="1">
        <f t="array" ref="M230">_xlfn.IFS(L230&gt;=100000, "Excellent", AND(L230&lt;100000, L230&gt;=50000), "Very Good", AND(L230&lt;50000, L230&gt;=20000), "Good", L230&lt;20000, "Average")</f>
        <v>Average</v>
      </c>
    </row>
    <row r="231" spans="1:13" ht="15" thickBot="1" x14ac:dyDescent="0.4">
      <c r="A231" s="5">
        <v>1380</v>
      </c>
      <c r="B231" s="5" t="s">
        <v>52</v>
      </c>
      <c r="C231" s="5" t="s">
        <v>43</v>
      </c>
      <c r="D231" s="5" t="s">
        <v>13</v>
      </c>
      <c r="E231" s="5" t="s">
        <v>53</v>
      </c>
      <c r="F231" s="5">
        <v>3</v>
      </c>
      <c r="G231" s="5">
        <v>412</v>
      </c>
      <c r="H231" s="5">
        <v>7</v>
      </c>
      <c r="I231" s="6">
        <v>46128</v>
      </c>
      <c r="J231" s="6">
        <v>46138</v>
      </c>
      <c r="K231" s="10" t="s">
        <v>24</v>
      </c>
      <c r="L231" s="16">
        <f t="shared" si="3"/>
        <v>1149.48</v>
      </c>
      <c r="M231" s="14" t="str" cm="1">
        <f t="array" ref="M231">_xlfn.IFS(L231&gt;=100000, "Excellent", AND(L231&lt;100000, L231&gt;=50000), "Very Good", AND(L231&lt;50000, L231&gt;=20000), "Good", L231&lt;20000, "Average")</f>
        <v>Average</v>
      </c>
    </row>
    <row r="232" spans="1:13" ht="15" thickBot="1" x14ac:dyDescent="0.4">
      <c r="A232" s="5">
        <v>1308</v>
      </c>
      <c r="B232" s="5" t="s">
        <v>30</v>
      </c>
      <c r="C232" s="5" t="s">
        <v>22</v>
      </c>
      <c r="D232" s="5" t="s">
        <v>34</v>
      </c>
      <c r="E232" s="5" t="s">
        <v>41</v>
      </c>
      <c r="F232" s="5">
        <v>12</v>
      </c>
      <c r="G232" s="5">
        <v>66075</v>
      </c>
      <c r="H232" s="5">
        <v>5</v>
      </c>
      <c r="I232" s="6">
        <v>46129</v>
      </c>
      <c r="J232" s="6">
        <v>46135</v>
      </c>
      <c r="K232" s="10" t="s">
        <v>20</v>
      </c>
      <c r="L232" s="16">
        <f t="shared" si="3"/>
        <v>753255</v>
      </c>
      <c r="M232" s="14" t="str" cm="1">
        <f t="array" ref="M232">_xlfn.IFS(L232&gt;=100000, "Excellent", AND(L232&lt;100000, L232&gt;=50000), "Very Good", AND(L232&lt;50000, L232&gt;=20000), "Good", L232&lt;20000, "Average")</f>
        <v>Excellent</v>
      </c>
    </row>
    <row r="233" spans="1:13" ht="15" thickBot="1" x14ac:dyDescent="0.4">
      <c r="A233" s="5">
        <v>1014</v>
      </c>
      <c r="B233" s="5" t="s">
        <v>40</v>
      </c>
      <c r="C233" s="5" t="s">
        <v>17</v>
      </c>
      <c r="D233" s="5" t="s">
        <v>34</v>
      </c>
      <c r="E233" s="5" t="s">
        <v>41</v>
      </c>
      <c r="F233" s="5">
        <v>19</v>
      </c>
      <c r="G233" s="5">
        <v>53683</v>
      </c>
      <c r="H233" s="5">
        <v>12</v>
      </c>
      <c r="I233" s="6">
        <v>46129</v>
      </c>
      <c r="J233" s="6">
        <v>46134</v>
      </c>
      <c r="K233" s="10" t="s">
        <v>29</v>
      </c>
      <c r="L233" s="16">
        <f t="shared" si="3"/>
        <v>897579.76</v>
      </c>
      <c r="M233" s="14" t="str" cm="1">
        <f t="array" ref="M233">_xlfn.IFS(L233&gt;=100000, "Excellent", AND(L233&lt;100000, L233&gt;=50000), "Very Good", AND(L233&lt;50000, L233&gt;=20000), "Good", L233&lt;20000, "Average")</f>
        <v>Excellent</v>
      </c>
    </row>
    <row r="234" spans="1:13" ht="15" thickBot="1" x14ac:dyDescent="0.4">
      <c r="A234" s="5">
        <v>1071</v>
      </c>
      <c r="B234" s="5" t="s">
        <v>59</v>
      </c>
      <c r="C234" s="5" t="s">
        <v>22</v>
      </c>
      <c r="D234" s="5" t="s">
        <v>34</v>
      </c>
      <c r="E234" s="5" t="s">
        <v>61</v>
      </c>
      <c r="F234" s="5">
        <v>18</v>
      </c>
      <c r="G234" s="5">
        <v>32197</v>
      </c>
      <c r="H234" s="5">
        <v>5</v>
      </c>
      <c r="I234" s="6">
        <v>46129</v>
      </c>
      <c r="J234" s="6">
        <v>46137</v>
      </c>
      <c r="K234" s="10" t="s">
        <v>20</v>
      </c>
      <c r="L234" s="16">
        <f t="shared" si="3"/>
        <v>550568.69999999995</v>
      </c>
      <c r="M234" s="14" t="str" cm="1">
        <f t="array" ref="M234">_xlfn.IFS(L234&gt;=100000, "Excellent", AND(L234&lt;100000, L234&gt;=50000), "Very Good", AND(L234&lt;50000, L234&gt;=20000), "Good", L234&lt;20000, "Average")</f>
        <v>Excellent</v>
      </c>
    </row>
    <row r="235" spans="1:13" ht="15" thickBot="1" x14ac:dyDescent="0.4">
      <c r="A235" s="5">
        <v>1194</v>
      </c>
      <c r="B235" s="5" t="s">
        <v>57</v>
      </c>
      <c r="C235" s="5" t="s">
        <v>43</v>
      </c>
      <c r="D235" s="5" t="s">
        <v>18</v>
      </c>
      <c r="E235" s="5" t="s">
        <v>28</v>
      </c>
      <c r="F235" s="5">
        <v>13</v>
      </c>
      <c r="G235" s="5">
        <v>12856</v>
      </c>
      <c r="H235" s="5">
        <v>15</v>
      </c>
      <c r="I235" s="6">
        <v>46129</v>
      </c>
      <c r="J235" s="6">
        <v>46133</v>
      </c>
      <c r="K235" s="10" t="s">
        <v>51</v>
      </c>
      <c r="L235" s="16">
        <f t="shared" si="3"/>
        <v>142058.79999999999</v>
      </c>
      <c r="M235" s="14" t="str" cm="1">
        <f t="array" ref="M235">_xlfn.IFS(L235&gt;=100000, "Excellent", AND(L235&lt;100000, L235&gt;=50000), "Very Good", AND(L235&lt;50000, L235&gt;=20000), "Good", L235&lt;20000, "Average")</f>
        <v>Excellent</v>
      </c>
    </row>
    <row r="236" spans="1:13" ht="15" thickBot="1" x14ac:dyDescent="0.4">
      <c r="A236" s="5">
        <v>1269</v>
      </c>
      <c r="B236" s="5" t="s">
        <v>52</v>
      </c>
      <c r="C236" s="5" t="s">
        <v>43</v>
      </c>
      <c r="D236" s="5" t="s">
        <v>18</v>
      </c>
      <c r="E236" s="5" t="s">
        <v>19</v>
      </c>
      <c r="F236" s="5">
        <v>14</v>
      </c>
      <c r="G236" s="5">
        <v>5704</v>
      </c>
      <c r="H236" s="5">
        <v>2</v>
      </c>
      <c r="I236" s="6">
        <v>46129</v>
      </c>
      <c r="J236" s="6">
        <v>46131</v>
      </c>
      <c r="K236" s="10" t="s">
        <v>15</v>
      </c>
      <c r="L236" s="16">
        <f t="shared" si="3"/>
        <v>78258.880000000005</v>
      </c>
      <c r="M236" s="14" t="str" cm="1">
        <f t="array" ref="M236">_xlfn.IFS(L236&gt;=100000, "Excellent", AND(L236&lt;100000, L236&gt;=50000), "Very Good", AND(L236&lt;50000, L236&gt;=20000), "Good", L236&lt;20000, "Average")</f>
        <v>Very Good</v>
      </c>
    </row>
    <row r="237" spans="1:13" ht="15" thickBot="1" x14ac:dyDescent="0.4">
      <c r="A237" s="5">
        <v>1267</v>
      </c>
      <c r="B237" s="5" t="s">
        <v>27</v>
      </c>
      <c r="C237" s="5" t="s">
        <v>38</v>
      </c>
      <c r="D237" s="5" t="s">
        <v>13</v>
      </c>
      <c r="E237" s="5" t="s">
        <v>50</v>
      </c>
      <c r="F237" s="5">
        <v>1</v>
      </c>
      <c r="G237" s="5">
        <v>50</v>
      </c>
      <c r="H237" s="5">
        <v>0</v>
      </c>
      <c r="I237" s="6">
        <v>46129</v>
      </c>
      <c r="J237" s="6">
        <v>46138</v>
      </c>
      <c r="K237" s="10" t="s">
        <v>20</v>
      </c>
      <c r="L237" s="16">
        <f t="shared" si="3"/>
        <v>50</v>
      </c>
      <c r="M237" s="14" t="str" cm="1">
        <f t="array" ref="M237">_xlfn.IFS(L237&gt;=100000, "Excellent", AND(L237&lt;100000, L237&gt;=50000), "Very Good", AND(L237&lt;50000, L237&gt;=20000), "Good", L237&lt;20000, "Average")</f>
        <v>Average</v>
      </c>
    </row>
    <row r="238" spans="1:13" ht="15" thickBot="1" x14ac:dyDescent="0.4">
      <c r="A238" s="5">
        <v>1382</v>
      </c>
      <c r="B238" s="5" t="s">
        <v>49</v>
      </c>
      <c r="C238" s="5" t="s">
        <v>33</v>
      </c>
      <c r="D238" s="5" t="s">
        <v>34</v>
      </c>
      <c r="E238" s="5" t="s">
        <v>60</v>
      </c>
      <c r="F238" s="5">
        <v>11</v>
      </c>
      <c r="G238" s="5">
        <v>36198</v>
      </c>
      <c r="H238" s="5">
        <v>0</v>
      </c>
      <c r="I238" s="6">
        <v>46130</v>
      </c>
      <c r="J238" s="6">
        <v>46134</v>
      </c>
      <c r="K238" s="10" t="s">
        <v>15</v>
      </c>
      <c r="L238" s="16">
        <f t="shared" si="3"/>
        <v>398178</v>
      </c>
      <c r="M238" s="14" t="str" cm="1">
        <f t="array" ref="M238">_xlfn.IFS(L238&gt;=100000, "Excellent", AND(L238&lt;100000, L238&gt;=50000), "Very Good", AND(L238&lt;50000, L238&gt;=20000), "Good", L238&lt;20000, "Average")</f>
        <v>Excellent</v>
      </c>
    </row>
    <row r="239" spans="1:13" ht="15" thickBot="1" x14ac:dyDescent="0.4">
      <c r="A239" s="5">
        <v>1263</v>
      </c>
      <c r="B239" s="5" t="s">
        <v>29</v>
      </c>
      <c r="C239" s="5" t="s">
        <v>38</v>
      </c>
      <c r="D239" s="5" t="s">
        <v>18</v>
      </c>
      <c r="E239" s="5" t="s">
        <v>28</v>
      </c>
      <c r="F239" s="5">
        <v>10</v>
      </c>
      <c r="G239" s="5">
        <v>1505</v>
      </c>
      <c r="H239" s="5">
        <v>0</v>
      </c>
      <c r="I239" s="6">
        <v>46130</v>
      </c>
      <c r="J239" s="6">
        <v>46138</v>
      </c>
      <c r="K239" s="10" t="s">
        <v>51</v>
      </c>
      <c r="L239" s="16">
        <f t="shared" si="3"/>
        <v>15050</v>
      </c>
      <c r="M239" s="14" t="str" cm="1">
        <f t="array" ref="M239">_xlfn.IFS(L239&gt;=100000, "Excellent", AND(L239&lt;100000, L239&gt;=50000), "Very Good", AND(L239&lt;50000, L239&gt;=20000), "Good", L239&lt;20000, "Average")</f>
        <v>Average</v>
      </c>
    </row>
    <row r="240" spans="1:13" ht="15" thickBot="1" x14ac:dyDescent="0.4">
      <c r="A240" s="5">
        <v>1168</v>
      </c>
      <c r="B240" s="5" t="s">
        <v>54</v>
      </c>
      <c r="C240" s="5" t="s">
        <v>12</v>
      </c>
      <c r="D240" s="5" t="s">
        <v>13</v>
      </c>
      <c r="E240" s="5" t="s">
        <v>37</v>
      </c>
      <c r="F240" s="5">
        <v>18</v>
      </c>
      <c r="G240" s="5">
        <v>335</v>
      </c>
      <c r="H240" s="5">
        <v>15</v>
      </c>
      <c r="I240" s="6">
        <v>46130</v>
      </c>
      <c r="J240" s="6">
        <v>46140</v>
      </c>
      <c r="K240" s="10" t="s">
        <v>29</v>
      </c>
      <c r="L240" s="16">
        <f t="shared" si="3"/>
        <v>5125.5</v>
      </c>
      <c r="M240" s="14" t="str" cm="1">
        <f t="array" ref="M240">_xlfn.IFS(L240&gt;=100000, "Excellent", AND(L240&lt;100000, L240&gt;=50000), "Very Good", AND(L240&lt;50000, L240&gt;=20000), "Good", L240&lt;20000, "Average")</f>
        <v>Average</v>
      </c>
    </row>
    <row r="241" spans="1:13" ht="15" thickBot="1" x14ac:dyDescent="0.4">
      <c r="A241" s="5">
        <v>1215</v>
      </c>
      <c r="B241" s="5" t="s">
        <v>27</v>
      </c>
      <c r="C241" s="5" t="s">
        <v>12</v>
      </c>
      <c r="D241" s="5" t="s">
        <v>18</v>
      </c>
      <c r="E241" s="5" t="s">
        <v>28</v>
      </c>
      <c r="F241" s="5">
        <v>6</v>
      </c>
      <c r="G241" s="5">
        <v>1254</v>
      </c>
      <c r="H241" s="5">
        <v>0</v>
      </c>
      <c r="I241" s="6">
        <v>46131</v>
      </c>
      <c r="J241" s="6">
        <v>46136</v>
      </c>
      <c r="K241" s="10" t="s">
        <v>29</v>
      </c>
      <c r="L241" s="16">
        <f t="shared" si="3"/>
        <v>7524</v>
      </c>
      <c r="M241" s="14" t="str" cm="1">
        <f t="array" ref="M241">_xlfn.IFS(L241&gt;=100000, "Excellent", AND(L241&lt;100000, L241&gt;=50000), "Very Good", AND(L241&lt;50000, L241&gt;=20000), "Good", L241&lt;20000, "Average")</f>
        <v>Average</v>
      </c>
    </row>
    <row r="242" spans="1:13" ht="15" thickBot="1" x14ac:dyDescent="0.4">
      <c r="A242" s="5">
        <v>1122</v>
      </c>
      <c r="B242" s="5" t="s">
        <v>40</v>
      </c>
      <c r="C242" s="5" t="s">
        <v>22</v>
      </c>
      <c r="D242" s="5" t="s">
        <v>34</v>
      </c>
      <c r="E242" s="5" t="s">
        <v>39</v>
      </c>
      <c r="F242" s="5">
        <v>14</v>
      </c>
      <c r="G242" s="5">
        <v>49990</v>
      </c>
      <c r="H242" s="5">
        <v>10</v>
      </c>
      <c r="I242" s="6">
        <v>46132</v>
      </c>
      <c r="J242" s="6">
        <v>46135</v>
      </c>
      <c r="K242" s="10" t="s">
        <v>29</v>
      </c>
      <c r="L242" s="16">
        <f t="shared" si="3"/>
        <v>629874</v>
      </c>
      <c r="M242" s="14" t="str" cm="1">
        <f t="array" ref="M242">_xlfn.IFS(L242&gt;=100000, "Excellent", AND(L242&lt;100000, L242&gt;=50000), "Very Good", AND(L242&lt;50000, L242&gt;=20000), "Good", L242&lt;20000, "Average")</f>
        <v>Excellent</v>
      </c>
    </row>
    <row r="243" spans="1:13" ht="15" thickBot="1" x14ac:dyDescent="0.4">
      <c r="A243" s="5">
        <v>1342</v>
      </c>
      <c r="B243" s="5" t="s">
        <v>59</v>
      </c>
      <c r="C243" s="5" t="s">
        <v>31</v>
      </c>
      <c r="D243" s="5" t="s">
        <v>34</v>
      </c>
      <c r="E243" s="5" t="s">
        <v>35</v>
      </c>
      <c r="F243" s="5">
        <v>13</v>
      </c>
      <c r="G243" s="5">
        <v>47881</v>
      </c>
      <c r="H243" s="5">
        <v>15</v>
      </c>
      <c r="I243" s="6">
        <v>46132</v>
      </c>
      <c r="J243" s="6">
        <v>46139</v>
      </c>
      <c r="K243" s="10" t="s">
        <v>29</v>
      </c>
      <c r="L243" s="16">
        <f t="shared" si="3"/>
        <v>529085.04999999993</v>
      </c>
      <c r="M243" s="14" t="str" cm="1">
        <f t="array" ref="M243">_xlfn.IFS(L243&gt;=100000, "Excellent", AND(L243&lt;100000, L243&gt;=50000), "Very Good", AND(L243&lt;50000, L243&gt;=20000), "Good", L243&lt;20000, "Average")</f>
        <v>Excellent</v>
      </c>
    </row>
    <row r="244" spans="1:13" ht="15" thickBot="1" x14ac:dyDescent="0.4">
      <c r="A244" s="5">
        <v>1080</v>
      </c>
      <c r="B244" s="5" t="s">
        <v>21</v>
      </c>
      <c r="C244" s="5" t="s">
        <v>22</v>
      </c>
      <c r="D244" s="5" t="s">
        <v>34</v>
      </c>
      <c r="E244" s="5" t="s">
        <v>41</v>
      </c>
      <c r="F244" s="5">
        <v>12</v>
      </c>
      <c r="G244" s="5">
        <v>54161</v>
      </c>
      <c r="H244" s="5">
        <v>15</v>
      </c>
      <c r="I244" s="6">
        <v>46133</v>
      </c>
      <c r="J244" s="6">
        <v>46143</v>
      </c>
      <c r="K244" s="10" t="s">
        <v>24</v>
      </c>
      <c r="L244" s="16">
        <f t="shared" si="3"/>
        <v>552442.19999999995</v>
      </c>
      <c r="M244" s="14" t="str" cm="1">
        <f t="array" ref="M244">_xlfn.IFS(L244&gt;=100000, "Excellent", AND(L244&lt;100000, L244&gt;=50000), "Very Good", AND(L244&lt;50000, L244&gt;=20000), "Good", L244&lt;20000, "Average")</f>
        <v>Excellent</v>
      </c>
    </row>
    <row r="245" spans="1:13" ht="15" thickBot="1" x14ac:dyDescent="0.4">
      <c r="A245" s="5">
        <v>1111</v>
      </c>
      <c r="B245" s="5" t="s">
        <v>47</v>
      </c>
      <c r="C245" s="5" t="s">
        <v>17</v>
      </c>
      <c r="D245" s="5" t="s">
        <v>34</v>
      </c>
      <c r="E245" s="5" t="s">
        <v>35</v>
      </c>
      <c r="F245" s="5">
        <v>5</v>
      </c>
      <c r="G245" s="5">
        <v>49945</v>
      </c>
      <c r="H245" s="5">
        <v>12</v>
      </c>
      <c r="I245" s="6">
        <v>46133</v>
      </c>
      <c r="J245" s="6">
        <v>46141</v>
      </c>
      <c r="K245" s="10" t="s">
        <v>29</v>
      </c>
      <c r="L245" s="16">
        <f t="shared" si="3"/>
        <v>219758</v>
      </c>
      <c r="M245" s="14" t="str" cm="1">
        <f t="array" ref="M245">_xlfn.IFS(L245&gt;=100000, "Excellent", AND(L245&lt;100000, L245&gt;=50000), "Very Good", AND(L245&lt;50000, L245&gt;=20000), "Good", L245&lt;20000, "Average")</f>
        <v>Excellent</v>
      </c>
    </row>
    <row r="246" spans="1:13" ht="15" thickBot="1" x14ac:dyDescent="0.4">
      <c r="A246" s="5">
        <v>1056</v>
      </c>
      <c r="B246" s="5" t="s">
        <v>11</v>
      </c>
      <c r="C246" s="5" t="s">
        <v>22</v>
      </c>
      <c r="D246" s="5" t="s">
        <v>18</v>
      </c>
      <c r="E246" s="5" t="s">
        <v>19</v>
      </c>
      <c r="F246" s="5">
        <v>3</v>
      </c>
      <c r="G246" s="5">
        <v>9771</v>
      </c>
      <c r="H246" s="5">
        <v>5</v>
      </c>
      <c r="I246" s="6">
        <v>46133</v>
      </c>
      <c r="J246" s="6">
        <v>46139</v>
      </c>
      <c r="K246" s="10" t="s">
        <v>24</v>
      </c>
      <c r="L246" s="16">
        <f t="shared" si="3"/>
        <v>27847.35</v>
      </c>
      <c r="M246" s="14" t="str" cm="1">
        <f t="array" ref="M246">_xlfn.IFS(L246&gt;=100000, "Excellent", AND(L246&lt;100000, L246&gt;=50000), "Very Good", AND(L246&lt;50000, L246&gt;=20000), "Good", L246&lt;20000, "Average")</f>
        <v>Good</v>
      </c>
    </row>
    <row r="247" spans="1:13" ht="15" thickBot="1" x14ac:dyDescent="0.4">
      <c r="A247" s="5">
        <v>1357</v>
      </c>
      <c r="B247" s="5" t="s">
        <v>59</v>
      </c>
      <c r="C247" s="5" t="s">
        <v>25</v>
      </c>
      <c r="D247" s="5" t="s">
        <v>13</v>
      </c>
      <c r="E247" s="5" t="s">
        <v>37</v>
      </c>
      <c r="F247" s="5">
        <v>6</v>
      </c>
      <c r="G247" s="5">
        <v>365</v>
      </c>
      <c r="H247" s="5">
        <v>7</v>
      </c>
      <c r="I247" s="6">
        <v>46133</v>
      </c>
      <c r="J247" s="6">
        <v>46140</v>
      </c>
      <c r="K247" s="10" t="s">
        <v>51</v>
      </c>
      <c r="L247" s="16">
        <f t="shared" si="3"/>
        <v>2036.6999999999998</v>
      </c>
      <c r="M247" s="14" t="str" cm="1">
        <f t="array" ref="M247">_xlfn.IFS(L247&gt;=100000, "Excellent", AND(L247&lt;100000, L247&gt;=50000), "Very Good", AND(L247&lt;50000, L247&gt;=20000), "Good", L247&lt;20000, "Average")</f>
        <v>Average</v>
      </c>
    </row>
    <row r="248" spans="1:13" ht="15" thickBot="1" x14ac:dyDescent="0.4">
      <c r="A248" s="5">
        <v>1125</v>
      </c>
      <c r="B248" s="5" t="s">
        <v>49</v>
      </c>
      <c r="C248" s="5" t="s">
        <v>33</v>
      </c>
      <c r="D248" s="5" t="s">
        <v>13</v>
      </c>
      <c r="E248" s="5" t="s">
        <v>14</v>
      </c>
      <c r="F248" s="5">
        <v>6</v>
      </c>
      <c r="G248" s="5">
        <v>30</v>
      </c>
      <c r="H248" s="5">
        <v>2</v>
      </c>
      <c r="I248" s="6">
        <v>46133</v>
      </c>
      <c r="J248" s="6">
        <v>46138</v>
      </c>
      <c r="K248" s="10" t="s">
        <v>24</v>
      </c>
      <c r="L248" s="16">
        <f t="shared" si="3"/>
        <v>176.4</v>
      </c>
      <c r="M248" s="14" t="str" cm="1">
        <f t="array" ref="M248">_xlfn.IFS(L248&gt;=100000, "Excellent", AND(L248&lt;100000, L248&gt;=50000), "Very Good", AND(L248&lt;50000, L248&gt;=20000), "Good", L248&lt;20000, "Average")</f>
        <v>Average</v>
      </c>
    </row>
    <row r="249" spans="1:13" ht="15" thickBot="1" x14ac:dyDescent="0.4">
      <c r="A249" s="5">
        <v>1200</v>
      </c>
      <c r="B249" s="5" t="s">
        <v>29</v>
      </c>
      <c r="C249" s="5" t="s">
        <v>31</v>
      </c>
      <c r="D249" s="5" t="s">
        <v>34</v>
      </c>
      <c r="E249" s="5" t="s">
        <v>45</v>
      </c>
      <c r="F249" s="5">
        <v>13</v>
      </c>
      <c r="G249" s="5">
        <v>69422</v>
      </c>
      <c r="H249" s="5">
        <v>0</v>
      </c>
      <c r="I249" s="6">
        <v>46134</v>
      </c>
      <c r="J249" s="6">
        <v>46143</v>
      </c>
      <c r="K249" s="10" t="s">
        <v>29</v>
      </c>
      <c r="L249" s="16">
        <f t="shared" si="3"/>
        <v>902486</v>
      </c>
      <c r="M249" s="14" t="str" cm="1">
        <f t="array" ref="M249">_xlfn.IFS(L249&gt;=100000, "Excellent", AND(L249&lt;100000, L249&gt;=50000), "Very Good", AND(L249&lt;50000, L249&gt;=20000), "Good", L249&lt;20000, "Average")</f>
        <v>Excellent</v>
      </c>
    </row>
    <row r="250" spans="1:13" ht="15" thickBot="1" x14ac:dyDescent="0.4">
      <c r="A250" s="5">
        <v>1270</v>
      </c>
      <c r="B250" s="5" t="s">
        <v>49</v>
      </c>
      <c r="C250" s="5" t="s">
        <v>43</v>
      </c>
      <c r="D250" s="5" t="s">
        <v>34</v>
      </c>
      <c r="E250" s="5" t="s">
        <v>35</v>
      </c>
      <c r="F250" s="5">
        <v>16</v>
      </c>
      <c r="G250" s="5">
        <v>62941</v>
      </c>
      <c r="H250" s="5">
        <v>7</v>
      </c>
      <c r="I250" s="6">
        <v>46135</v>
      </c>
      <c r="J250" s="6">
        <v>46141</v>
      </c>
      <c r="K250" s="10" t="s">
        <v>51</v>
      </c>
      <c r="L250" s="16">
        <f t="shared" si="3"/>
        <v>936562.08</v>
      </c>
      <c r="M250" s="14" t="str" cm="1">
        <f t="array" ref="M250">_xlfn.IFS(L250&gt;=100000, "Excellent", AND(L250&lt;100000, L250&gt;=50000), "Very Good", AND(L250&lt;50000, L250&gt;=20000), "Good", L250&lt;20000, "Average")</f>
        <v>Excellent</v>
      </c>
    </row>
    <row r="251" spans="1:13" ht="15" thickBot="1" x14ac:dyDescent="0.4">
      <c r="A251" s="5">
        <v>1216</v>
      </c>
      <c r="B251" s="5" t="s">
        <v>40</v>
      </c>
      <c r="C251" s="5" t="s">
        <v>22</v>
      </c>
      <c r="D251" s="5" t="s">
        <v>34</v>
      </c>
      <c r="E251" s="5" t="s">
        <v>45</v>
      </c>
      <c r="F251" s="5">
        <v>10</v>
      </c>
      <c r="G251" s="5">
        <v>56709</v>
      </c>
      <c r="H251" s="5">
        <v>15</v>
      </c>
      <c r="I251" s="6">
        <v>46135</v>
      </c>
      <c r="J251" s="6">
        <v>46139</v>
      </c>
      <c r="K251" s="10" t="s">
        <v>29</v>
      </c>
      <c r="L251" s="16">
        <f t="shared" si="3"/>
        <v>482026.5</v>
      </c>
      <c r="M251" s="14" t="str" cm="1">
        <f t="array" ref="M251">_xlfn.IFS(L251&gt;=100000, "Excellent", AND(L251&lt;100000, L251&gt;=50000), "Very Good", AND(L251&lt;50000, L251&gt;=20000), "Good", L251&lt;20000, "Average")</f>
        <v>Excellent</v>
      </c>
    </row>
    <row r="252" spans="1:13" ht="15" thickBot="1" x14ac:dyDescent="0.4">
      <c r="A252" s="5">
        <v>1091</v>
      </c>
      <c r="B252" s="5" t="s">
        <v>55</v>
      </c>
      <c r="C252" s="5" t="s">
        <v>17</v>
      </c>
      <c r="D252" s="5" t="s">
        <v>13</v>
      </c>
      <c r="E252" s="5" t="s">
        <v>53</v>
      </c>
      <c r="F252" s="5">
        <v>2</v>
      </c>
      <c r="G252" s="5">
        <v>305</v>
      </c>
      <c r="H252" s="5">
        <v>0</v>
      </c>
      <c r="I252" s="6">
        <v>46136</v>
      </c>
      <c r="J252" s="6">
        <v>46144</v>
      </c>
      <c r="K252" s="10" t="s">
        <v>15</v>
      </c>
      <c r="L252" s="16">
        <f t="shared" si="3"/>
        <v>610</v>
      </c>
      <c r="M252" s="14" t="str" cm="1">
        <f t="array" ref="M252">_xlfn.IFS(L252&gt;=100000, "Excellent", AND(L252&lt;100000, L252&gt;=50000), "Very Good", AND(L252&lt;50000, L252&gt;=20000), "Good", L252&lt;20000, "Average")</f>
        <v>Average</v>
      </c>
    </row>
    <row r="253" spans="1:13" ht="15" thickBot="1" x14ac:dyDescent="0.4">
      <c r="A253" s="5">
        <v>1016</v>
      </c>
      <c r="B253" s="5" t="s">
        <v>32</v>
      </c>
      <c r="C253" s="5" t="s">
        <v>33</v>
      </c>
      <c r="D253" s="5" t="s">
        <v>34</v>
      </c>
      <c r="E253" s="5" t="s">
        <v>45</v>
      </c>
      <c r="F253" s="5">
        <v>16</v>
      </c>
      <c r="G253" s="5">
        <v>30234</v>
      </c>
      <c r="H253" s="5">
        <v>15</v>
      </c>
      <c r="I253" s="6">
        <v>46137</v>
      </c>
      <c r="J253" s="6">
        <v>46140</v>
      </c>
      <c r="K253" s="10" t="s">
        <v>24</v>
      </c>
      <c r="L253" s="16">
        <f t="shared" si="3"/>
        <v>411182.39999999997</v>
      </c>
      <c r="M253" s="14" t="str" cm="1">
        <f t="array" ref="M253">_xlfn.IFS(L253&gt;=100000, "Excellent", AND(L253&lt;100000, L253&gt;=50000), "Very Good", AND(L253&lt;50000, L253&gt;=20000), "Good", L253&lt;20000, "Average")</f>
        <v>Excellent</v>
      </c>
    </row>
    <row r="254" spans="1:13" ht="15" thickBot="1" x14ac:dyDescent="0.4">
      <c r="A254" s="5">
        <v>1237</v>
      </c>
      <c r="B254" s="5" t="s">
        <v>46</v>
      </c>
      <c r="C254" s="5" t="s">
        <v>38</v>
      </c>
      <c r="D254" s="5" t="s">
        <v>18</v>
      </c>
      <c r="E254" s="5" t="s">
        <v>56</v>
      </c>
      <c r="F254" s="5">
        <v>8</v>
      </c>
      <c r="G254" s="5">
        <v>12123</v>
      </c>
      <c r="H254" s="5">
        <v>2</v>
      </c>
      <c r="I254" s="6">
        <v>46137</v>
      </c>
      <c r="J254" s="6">
        <v>46145</v>
      </c>
      <c r="K254" s="10" t="s">
        <v>15</v>
      </c>
      <c r="L254" s="16">
        <f t="shared" si="3"/>
        <v>95044.319999999992</v>
      </c>
      <c r="M254" s="14" t="str" cm="1">
        <f t="array" ref="M254">_xlfn.IFS(L254&gt;=100000, "Excellent", AND(L254&lt;100000, L254&gt;=50000), "Very Good", AND(L254&lt;50000, L254&gt;=20000), "Good", L254&lt;20000, "Average")</f>
        <v>Very Good</v>
      </c>
    </row>
    <row r="255" spans="1:13" ht="15" thickBot="1" x14ac:dyDescent="0.4">
      <c r="A255" s="5">
        <v>1258</v>
      </c>
      <c r="B255" s="5" t="s">
        <v>32</v>
      </c>
      <c r="C255" s="5" t="s">
        <v>31</v>
      </c>
      <c r="D255" s="5" t="s">
        <v>34</v>
      </c>
      <c r="E255" s="5" t="s">
        <v>60</v>
      </c>
      <c r="F255" s="5">
        <v>1</v>
      </c>
      <c r="G255" s="5">
        <v>10600</v>
      </c>
      <c r="H255" s="5">
        <v>5</v>
      </c>
      <c r="I255" s="6">
        <v>46137</v>
      </c>
      <c r="J255" s="6">
        <v>46138</v>
      </c>
      <c r="K255" s="10" t="s">
        <v>29</v>
      </c>
      <c r="L255" s="16">
        <f t="shared" si="3"/>
        <v>10070</v>
      </c>
      <c r="M255" s="14" t="str" cm="1">
        <f t="array" ref="M255">_xlfn.IFS(L255&gt;=100000, "Excellent", AND(L255&lt;100000, L255&gt;=50000), "Very Good", AND(L255&lt;50000, L255&gt;=20000), "Good", L255&lt;20000, "Average")</f>
        <v>Average</v>
      </c>
    </row>
    <row r="256" spans="1:13" ht="15" thickBot="1" x14ac:dyDescent="0.4">
      <c r="A256" s="5">
        <v>1188</v>
      </c>
      <c r="B256" s="5" t="s">
        <v>29</v>
      </c>
      <c r="C256" s="5" t="s">
        <v>22</v>
      </c>
      <c r="D256" s="5" t="s">
        <v>18</v>
      </c>
      <c r="E256" s="5" t="s">
        <v>56</v>
      </c>
      <c r="F256" s="5">
        <v>6</v>
      </c>
      <c r="G256" s="5">
        <v>10368</v>
      </c>
      <c r="H256" s="5">
        <v>7</v>
      </c>
      <c r="I256" s="6">
        <v>46137</v>
      </c>
      <c r="J256" s="6">
        <v>46142</v>
      </c>
      <c r="K256" s="10" t="s">
        <v>15</v>
      </c>
      <c r="L256" s="16">
        <f t="shared" si="3"/>
        <v>57853.439999999995</v>
      </c>
      <c r="M256" s="14" t="str" cm="1">
        <f t="array" ref="M256">_xlfn.IFS(L256&gt;=100000, "Excellent", AND(L256&lt;100000, L256&gt;=50000), "Very Good", AND(L256&lt;50000, L256&gt;=20000), "Good", L256&lt;20000, "Average")</f>
        <v>Very Good</v>
      </c>
    </row>
    <row r="257" spans="1:13" ht="15" thickBot="1" x14ac:dyDescent="0.4">
      <c r="A257" s="5">
        <v>1291</v>
      </c>
      <c r="B257" s="5" t="s">
        <v>21</v>
      </c>
      <c r="C257" s="5" t="s">
        <v>17</v>
      </c>
      <c r="D257" s="5" t="s">
        <v>13</v>
      </c>
      <c r="E257" s="5" t="s">
        <v>36</v>
      </c>
      <c r="F257" s="5">
        <v>17</v>
      </c>
      <c r="G257" s="5">
        <v>415</v>
      </c>
      <c r="H257" s="5">
        <v>5</v>
      </c>
      <c r="I257" s="6">
        <v>46137</v>
      </c>
      <c r="J257" s="6">
        <v>46141</v>
      </c>
      <c r="K257" s="10" t="s">
        <v>20</v>
      </c>
      <c r="L257" s="16">
        <f t="shared" si="3"/>
        <v>6702.25</v>
      </c>
      <c r="M257" s="14" t="str" cm="1">
        <f t="array" ref="M257">_xlfn.IFS(L257&gt;=100000, "Excellent", AND(L257&lt;100000, L257&gt;=50000), "Very Good", AND(L257&lt;50000, L257&gt;=20000), "Good", L257&lt;20000, "Average")</f>
        <v>Average</v>
      </c>
    </row>
    <row r="258" spans="1:13" ht="15" thickBot="1" x14ac:dyDescent="0.4">
      <c r="A258" s="5">
        <v>1144</v>
      </c>
      <c r="B258" s="5" t="s">
        <v>42</v>
      </c>
      <c r="C258" s="5" t="s">
        <v>25</v>
      </c>
      <c r="D258" s="5" t="s">
        <v>13</v>
      </c>
      <c r="E258" s="5" t="s">
        <v>14</v>
      </c>
      <c r="F258" s="5">
        <v>16</v>
      </c>
      <c r="G258" s="5">
        <v>219</v>
      </c>
      <c r="H258" s="5">
        <v>7</v>
      </c>
      <c r="I258" s="6">
        <v>46138</v>
      </c>
      <c r="J258" s="6">
        <v>46140</v>
      </c>
      <c r="K258" s="10" t="s">
        <v>20</v>
      </c>
      <c r="L258" s="16">
        <f t="shared" si="3"/>
        <v>3258.72</v>
      </c>
      <c r="M258" s="14" t="str" cm="1">
        <f t="array" ref="M258">_xlfn.IFS(L258&gt;=100000, "Excellent", AND(L258&lt;100000, L258&gt;=50000), "Very Good", AND(L258&lt;50000, L258&gt;=20000), "Good", L258&lt;20000, "Average")</f>
        <v>Average</v>
      </c>
    </row>
    <row r="259" spans="1:13" ht="15" thickBot="1" x14ac:dyDescent="0.4">
      <c r="A259" s="5">
        <v>1214</v>
      </c>
      <c r="B259" s="5" t="s">
        <v>42</v>
      </c>
      <c r="C259" s="5" t="s">
        <v>25</v>
      </c>
      <c r="D259" s="5" t="s">
        <v>18</v>
      </c>
      <c r="E259" s="5" t="s">
        <v>28</v>
      </c>
      <c r="F259" s="5">
        <v>19</v>
      </c>
      <c r="G259" s="5">
        <v>13832</v>
      </c>
      <c r="H259" s="5">
        <v>0</v>
      </c>
      <c r="I259" s="6">
        <v>46140</v>
      </c>
      <c r="J259" s="6">
        <v>46145</v>
      </c>
      <c r="K259" s="10" t="s">
        <v>51</v>
      </c>
      <c r="L259" s="16">
        <f t="shared" ref="L259:L322" si="4">F259*G259*(1-H259/100)</f>
        <v>262808</v>
      </c>
      <c r="M259" s="14" t="str" cm="1">
        <f t="array" ref="M259">_xlfn.IFS(L259&gt;=100000, "Excellent", AND(L259&lt;100000, L259&gt;=50000), "Very Good", AND(L259&lt;50000, L259&gt;=20000), "Good", L259&lt;20000, "Average")</f>
        <v>Excellent</v>
      </c>
    </row>
    <row r="260" spans="1:13" ht="15" thickBot="1" x14ac:dyDescent="0.4">
      <c r="A260" s="5">
        <v>1346</v>
      </c>
      <c r="B260" s="5" t="s">
        <v>32</v>
      </c>
      <c r="C260" s="5" t="s">
        <v>22</v>
      </c>
      <c r="D260" s="5" t="s">
        <v>18</v>
      </c>
      <c r="E260" s="5" t="s">
        <v>19</v>
      </c>
      <c r="F260" s="5">
        <v>16</v>
      </c>
      <c r="G260" s="5">
        <v>6910</v>
      </c>
      <c r="H260" s="5">
        <v>15</v>
      </c>
      <c r="I260" s="6">
        <v>46140</v>
      </c>
      <c r="J260" s="6">
        <v>46142</v>
      </c>
      <c r="K260" s="10" t="s">
        <v>29</v>
      </c>
      <c r="L260" s="16">
        <f t="shared" si="4"/>
        <v>93976</v>
      </c>
      <c r="M260" s="14" t="str" cm="1">
        <f t="array" ref="M260">_xlfn.IFS(L260&gt;=100000, "Excellent", AND(L260&lt;100000, L260&gt;=50000), "Very Good", AND(L260&lt;50000, L260&gt;=20000), "Good", L260&lt;20000, "Average")</f>
        <v>Very Good</v>
      </c>
    </row>
    <row r="261" spans="1:13" ht="15" thickBot="1" x14ac:dyDescent="0.4">
      <c r="A261" s="5">
        <v>1101</v>
      </c>
      <c r="B261" s="5" t="s">
        <v>27</v>
      </c>
      <c r="C261" s="5" t="s">
        <v>22</v>
      </c>
      <c r="D261" s="5" t="s">
        <v>34</v>
      </c>
      <c r="E261" s="5" t="s">
        <v>61</v>
      </c>
      <c r="F261" s="5">
        <v>9</v>
      </c>
      <c r="G261" s="5">
        <v>37361</v>
      </c>
      <c r="H261" s="5">
        <v>10</v>
      </c>
      <c r="I261" s="6">
        <v>46141</v>
      </c>
      <c r="J261" s="6">
        <v>46142</v>
      </c>
      <c r="K261" s="10" t="s">
        <v>24</v>
      </c>
      <c r="L261" s="16">
        <f t="shared" si="4"/>
        <v>302624.10000000003</v>
      </c>
      <c r="M261" s="14" t="str" cm="1">
        <f t="array" ref="M261">_xlfn.IFS(L261&gt;=100000, "Excellent", AND(L261&lt;100000, L261&gt;=50000), "Very Good", AND(L261&lt;50000, L261&gt;=20000), "Good", L261&lt;20000, "Average")</f>
        <v>Excellent</v>
      </c>
    </row>
    <row r="262" spans="1:13" ht="15" thickBot="1" x14ac:dyDescent="0.4">
      <c r="A262" s="5">
        <v>1322</v>
      </c>
      <c r="B262" s="5" t="s">
        <v>27</v>
      </c>
      <c r="C262" s="5" t="s">
        <v>12</v>
      </c>
      <c r="D262" s="5" t="s">
        <v>18</v>
      </c>
      <c r="E262" s="5" t="s">
        <v>23</v>
      </c>
      <c r="F262" s="5">
        <v>14</v>
      </c>
      <c r="G262" s="5">
        <v>9081</v>
      </c>
      <c r="H262" s="5">
        <v>15</v>
      </c>
      <c r="I262" s="6">
        <v>46141</v>
      </c>
      <c r="J262" s="6">
        <v>46146</v>
      </c>
      <c r="K262" s="10" t="s">
        <v>15</v>
      </c>
      <c r="L262" s="16">
        <f t="shared" si="4"/>
        <v>108063.9</v>
      </c>
      <c r="M262" s="14" t="str" cm="1">
        <f t="array" ref="M262">_xlfn.IFS(L262&gt;=100000, "Excellent", AND(L262&lt;100000, L262&gt;=50000), "Very Good", AND(L262&lt;50000, L262&gt;=20000), "Good", L262&lt;20000, "Average")</f>
        <v>Excellent</v>
      </c>
    </row>
    <row r="263" spans="1:13" ht="15" thickBot="1" x14ac:dyDescent="0.4">
      <c r="A263" s="5">
        <v>1361</v>
      </c>
      <c r="B263" s="5" t="s">
        <v>42</v>
      </c>
      <c r="C263" s="5" t="s">
        <v>17</v>
      </c>
      <c r="D263" s="5" t="s">
        <v>18</v>
      </c>
      <c r="E263" s="5" t="s">
        <v>23</v>
      </c>
      <c r="F263" s="5">
        <v>2</v>
      </c>
      <c r="G263" s="5">
        <v>1822</v>
      </c>
      <c r="H263" s="5">
        <v>5</v>
      </c>
      <c r="I263" s="6">
        <v>46141</v>
      </c>
      <c r="J263" s="6">
        <v>46145</v>
      </c>
      <c r="K263" s="10" t="s">
        <v>20</v>
      </c>
      <c r="L263" s="16">
        <f t="shared" si="4"/>
        <v>3461.7999999999997</v>
      </c>
      <c r="M263" s="14" t="str" cm="1">
        <f t="array" ref="M263">_xlfn.IFS(L263&gt;=100000, "Excellent", AND(L263&lt;100000, L263&gt;=50000), "Very Good", AND(L263&lt;50000, L263&gt;=20000), "Good", L263&lt;20000, "Average")</f>
        <v>Average</v>
      </c>
    </row>
    <row r="264" spans="1:13" ht="15" thickBot="1" x14ac:dyDescent="0.4">
      <c r="A264" s="5">
        <v>1254</v>
      </c>
      <c r="B264" s="5" t="s">
        <v>52</v>
      </c>
      <c r="C264" s="5" t="s">
        <v>22</v>
      </c>
      <c r="D264" s="5" t="s">
        <v>13</v>
      </c>
      <c r="E264" s="5" t="s">
        <v>50</v>
      </c>
      <c r="F264" s="5">
        <v>18</v>
      </c>
      <c r="G264" s="5">
        <v>447</v>
      </c>
      <c r="H264" s="5">
        <v>15</v>
      </c>
      <c r="I264" s="6">
        <v>46141</v>
      </c>
      <c r="J264" s="6">
        <v>46149</v>
      </c>
      <c r="K264" s="10" t="s">
        <v>24</v>
      </c>
      <c r="L264" s="16">
        <f t="shared" si="4"/>
        <v>6839.0999999999995</v>
      </c>
      <c r="M264" s="14" t="str" cm="1">
        <f t="array" ref="M264">_xlfn.IFS(L264&gt;=100000, "Excellent", AND(L264&lt;100000, L264&gt;=50000), "Very Good", AND(L264&lt;50000, L264&gt;=20000), "Good", L264&lt;20000, "Average")</f>
        <v>Average</v>
      </c>
    </row>
    <row r="265" spans="1:13" ht="15" thickBot="1" x14ac:dyDescent="0.4">
      <c r="A265" s="5">
        <v>1160</v>
      </c>
      <c r="B265" s="5" t="s">
        <v>59</v>
      </c>
      <c r="C265" s="5" t="s">
        <v>22</v>
      </c>
      <c r="D265" s="5" t="s">
        <v>34</v>
      </c>
      <c r="E265" s="5" t="s">
        <v>39</v>
      </c>
      <c r="F265" s="5">
        <v>7</v>
      </c>
      <c r="G265" s="5">
        <v>53986</v>
      </c>
      <c r="H265" s="5">
        <v>10</v>
      </c>
      <c r="I265" s="6">
        <v>46142</v>
      </c>
      <c r="J265" s="6">
        <v>46147</v>
      </c>
      <c r="K265" s="10" t="s">
        <v>51</v>
      </c>
      <c r="L265" s="16">
        <f t="shared" si="4"/>
        <v>340111.8</v>
      </c>
      <c r="M265" s="14" t="str" cm="1">
        <f t="array" ref="M265">_xlfn.IFS(L265&gt;=100000, "Excellent", AND(L265&lt;100000, L265&gt;=50000), "Very Good", AND(L265&lt;50000, L265&gt;=20000), "Good", L265&lt;20000, "Average")</f>
        <v>Excellent</v>
      </c>
    </row>
    <row r="266" spans="1:13" ht="15" thickBot="1" x14ac:dyDescent="0.4">
      <c r="A266" s="5">
        <v>1240</v>
      </c>
      <c r="B266" s="5" t="s">
        <v>55</v>
      </c>
      <c r="C266" s="5" t="s">
        <v>33</v>
      </c>
      <c r="D266" s="5" t="s">
        <v>18</v>
      </c>
      <c r="E266" s="5" t="s">
        <v>23</v>
      </c>
      <c r="F266" s="5">
        <v>2</v>
      </c>
      <c r="G266" s="5">
        <v>5475</v>
      </c>
      <c r="H266" s="5">
        <v>2</v>
      </c>
      <c r="I266" s="6">
        <v>46142</v>
      </c>
      <c r="J266" s="6">
        <v>46146</v>
      </c>
      <c r="K266" s="10" t="s">
        <v>29</v>
      </c>
      <c r="L266" s="16">
        <f t="shared" si="4"/>
        <v>10731</v>
      </c>
      <c r="M266" s="14" t="str" cm="1">
        <f t="array" ref="M266">_xlfn.IFS(L266&gt;=100000, "Excellent", AND(L266&lt;100000, L266&gt;=50000), "Very Good", AND(L266&lt;50000, L266&gt;=20000), "Good", L266&lt;20000, "Average")</f>
        <v>Average</v>
      </c>
    </row>
    <row r="267" spans="1:13" ht="15" thickBot="1" x14ac:dyDescent="0.4">
      <c r="A267" s="5">
        <v>1339</v>
      </c>
      <c r="B267" s="5" t="s">
        <v>32</v>
      </c>
      <c r="C267" s="5" t="s">
        <v>25</v>
      </c>
      <c r="D267" s="5" t="s">
        <v>13</v>
      </c>
      <c r="E267" s="5" t="s">
        <v>14</v>
      </c>
      <c r="F267" s="5">
        <v>6</v>
      </c>
      <c r="G267" s="5">
        <v>302</v>
      </c>
      <c r="H267" s="5">
        <v>5</v>
      </c>
      <c r="I267" s="6">
        <v>46142</v>
      </c>
      <c r="J267" s="6">
        <v>46148</v>
      </c>
      <c r="K267" s="10" t="s">
        <v>20</v>
      </c>
      <c r="L267" s="16">
        <f t="shared" si="4"/>
        <v>1721.3999999999999</v>
      </c>
      <c r="M267" s="14" t="str" cm="1">
        <f t="array" ref="M267">_xlfn.IFS(L267&gt;=100000, "Excellent", AND(L267&lt;100000, L267&gt;=50000), "Very Good", AND(L267&lt;50000, L267&gt;=20000), "Good", L267&lt;20000, "Average")</f>
        <v>Average</v>
      </c>
    </row>
    <row r="268" spans="1:13" ht="15" thickBot="1" x14ac:dyDescent="0.4">
      <c r="A268" s="5">
        <v>1150</v>
      </c>
      <c r="B268" s="5" t="s">
        <v>42</v>
      </c>
      <c r="C268" s="5" t="s">
        <v>12</v>
      </c>
      <c r="D268" s="5" t="s">
        <v>18</v>
      </c>
      <c r="E268" s="5" t="s">
        <v>56</v>
      </c>
      <c r="F268" s="5">
        <v>10</v>
      </c>
      <c r="G268" s="5">
        <v>5323</v>
      </c>
      <c r="H268" s="5">
        <v>7</v>
      </c>
      <c r="I268" s="6">
        <v>46143</v>
      </c>
      <c r="J268" s="6">
        <v>46153</v>
      </c>
      <c r="K268" s="10" t="s">
        <v>24</v>
      </c>
      <c r="L268" s="16">
        <f t="shared" si="4"/>
        <v>49503.899999999994</v>
      </c>
      <c r="M268" s="14" t="str" cm="1">
        <f t="array" ref="M268">_xlfn.IFS(L268&gt;=100000, "Excellent", AND(L268&lt;100000, L268&gt;=50000), "Very Good", AND(L268&lt;50000, L268&gt;=20000), "Good", L268&lt;20000, "Average")</f>
        <v>Good</v>
      </c>
    </row>
    <row r="269" spans="1:13" ht="15" thickBot="1" x14ac:dyDescent="0.4">
      <c r="A269" s="5">
        <v>1218</v>
      </c>
      <c r="B269" s="5" t="s">
        <v>55</v>
      </c>
      <c r="C269" s="5" t="s">
        <v>38</v>
      </c>
      <c r="D269" s="5" t="s">
        <v>13</v>
      </c>
      <c r="E269" s="5" t="s">
        <v>14</v>
      </c>
      <c r="F269" s="5">
        <v>1</v>
      </c>
      <c r="G269" s="5">
        <v>134</v>
      </c>
      <c r="H269" s="5">
        <v>10</v>
      </c>
      <c r="I269" s="6">
        <v>46143</v>
      </c>
      <c r="J269" s="6">
        <v>46151</v>
      </c>
      <c r="K269" s="10" t="s">
        <v>51</v>
      </c>
      <c r="L269" s="16">
        <f t="shared" si="4"/>
        <v>120.60000000000001</v>
      </c>
      <c r="M269" s="14" t="str" cm="1">
        <f t="array" ref="M269">_xlfn.IFS(L269&gt;=100000, "Excellent", AND(L269&lt;100000, L269&gt;=50000), "Very Good", AND(L269&lt;50000, L269&gt;=20000), "Good", L269&lt;20000, "Average")</f>
        <v>Average</v>
      </c>
    </row>
    <row r="270" spans="1:13" ht="15" thickBot="1" x14ac:dyDescent="0.4">
      <c r="A270" s="5">
        <v>1021</v>
      </c>
      <c r="B270" s="5" t="s">
        <v>48</v>
      </c>
      <c r="C270" s="5" t="s">
        <v>43</v>
      </c>
      <c r="D270" s="5" t="s">
        <v>13</v>
      </c>
      <c r="E270" s="5" t="s">
        <v>14</v>
      </c>
      <c r="F270" s="5">
        <v>3</v>
      </c>
      <c r="G270" s="5">
        <v>484</v>
      </c>
      <c r="H270" s="5">
        <v>2</v>
      </c>
      <c r="I270" s="6">
        <v>46144</v>
      </c>
      <c r="J270" s="6">
        <v>46148</v>
      </c>
      <c r="K270" s="10" t="s">
        <v>24</v>
      </c>
      <c r="L270" s="16">
        <f t="shared" si="4"/>
        <v>1422.96</v>
      </c>
      <c r="M270" s="14" t="str" cm="1">
        <f t="array" ref="M270">_xlfn.IFS(L270&gt;=100000, "Excellent", AND(L270&lt;100000, L270&gt;=50000), "Very Good", AND(L270&lt;50000, L270&gt;=20000), "Good", L270&lt;20000, "Average")</f>
        <v>Average</v>
      </c>
    </row>
    <row r="271" spans="1:13" ht="15" thickBot="1" x14ac:dyDescent="0.4">
      <c r="A271" s="5">
        <v>1184</v>
      </c>
      <c r="B271" s="5" t="s">
        <v>40</v>
      </c>
      <c r="C271" s="5" t="s">
        <v>31</v>
      </c>
      <c r="D271" s="5" t="s">
        <v>34</v>
      </c>
      <c r="E271" s="5" t="s">
        <v>39</v>
      </c>
      <c r="F271" s="5">
        <v>12</v>
      </c>
      <c r="G271" s="5">
        <v>50517</v>
      </c>
      <c r="H271" s="5">
        <v>15</v>
      </c>
      <c r="I271" s="6">
        <v>46145</v>
      </c>
      <c r="J271" s="6">
        <v>46153</v>
      </c>
      <c r="K271" s="10" t="s">
        <v>29</v>
      </c>
      <c r="L271" s="16">
        <f t="shared" si="4"/>
        <v>515273.39999999997</v>
      </c>
      <c r="M271" s="14" t="str" cm="1">
        <f t="array" ref="M271">_xlfn.IFS(L271&gt;=100000, "Excellent", AND(L271&lt;100000, L271&gt;=50000), "Very Good", AND(L271&lt;50000, L271&gt;=20000), "Good", L271&lt;20000, "Average")</f>
        <v>Excellent</v>
      </c>
    </row>
    <row r="272" spans="1:13" ht="15" thickBot="1" x14ac:dyDescent="0.4">
      <c r="A272" s="5">
        <v>1333</v>
      </c>
      <c r="B272" s="5" t="s">
        <v>29</v>
      </c>
      <c r="C272" s="5" t="s">
        <v>38</v>
      </c>
      <c r="D272" s="5" t="s">
        <v>13</v>
      </c>
      <c r="E272" s="5" t="s">
        <v>53</v>
      </c>
      <c r="F272" s="5">
        <v>20</v>
      </c>
      <c r="G272" s="5">
        <v>416</v>
      </c>
      <c r="H272" s="5">
        <v>12</v>
      </c>
      <c r="I272" s="6">
        <v>46145</v>
      </c>
      <c r="J272" s="6">
        <v>46146</v>
      </c>
      <c r="K272" s="10" t="s">
        <v>51</v>
      </c>
      <c r="L272" s="16">
        <f t="shared" si="4"/>
        <v>7321.6</v>
      </c>
      <c r="M272" s="14" t="str" cm="1">
        <f t="array" ref="M272">_xlfn.IFS(L272&gt;=100000, "Excellent", AND(L272&lt;100000, L272&gt;=50000), "Very Good", AND(L272&lt;50000, L272&gt;=20000), "Good", L272&lt;20000, "Average")</f>
        <v>Average</v>
      </c>
    </row>
    <row r="273" spans="1:13" ht="15" thickBot="1" x14ac:dyDescent="0.4">
      <c r="A273" s="5">
        <v>1085</v>
      </c>
      <c r="B273" s="5" t="s">
        <v>32</v>
      </c>
      <c r="C273" s="5" t="s">
        <v>38</v>
      </c>
      <c r="D273" s="5" t="s">
        <v>34</v>
      </c>
      <c r="E273" s="5" t="s">
        <v>60</v>
      </c>
      <c r="F273" s="5">
        <v>19</v>
      </c>
      <c r="G273" s="5">
        <v>45307</v>
      </c>
      <c r="H273" s="5">
        <v>12</v>
      </c>
      <c r="I273" s="6">
        <v>46146</v>
      </c>
      <c r="J273" s="6">
        <v>46150</v>
      </c>
      <c r="K273" s="10" t="s">
        <v>24</v>
      </c>
      <c r="L273" s="16">
        <f t="shared" si="4"/>
        <v>757533.04</v>
      </c>
      <c r="M273" s="14" t="str" cm="1">
        <f t="array" ref="M273">_xlfn.IFS(L273&gt;=100000, "Excellent", AND(L273&lt;100000, L273&gt;=50000), "Very Good", AND(L273&lt;50000, L273&gt;=20000), "Good", L273&lt;20000, "Average")</f>
        <v>Excellent</v>
      </c>
    </row>
    <row r="274" spans="1:13" ht="15" thickBot="1" x14ac:dyDescent="0.4">
      <c r="A274" s="5">
        <v>1305</v>
      </c>
      <c r="B274" s="5" t="s">
        <v>58</v>
      </c>
      <c r="C274" s="5" t="s">
        <v>31</v>
      </c>
      <c r="D274" s="5" t="s">
        <v>34</v>
      </c>
      <c r="E274" s="5" t="s">
        <v>60</v>
      </c>
      <c r="F274" s="5">
        <v>20</v>
      </c>
      <c r="G274" s="5">
        <v>31406</v>
      </c>
      <c r="H274" s="5">
        <v>15</v>
      </c>
      <c r="I274" s="6">
        <v>46146</v>
      </c>
      <c r="J274" s="6">
        <v>46154</v>
      </c>
      <c r="K274" s="10" t="s">
        <v>51</v>
      </c>
      <c r="L274" s="16">
        <f t="shared" si="4"/>
        <v>533902</v>
      </c>
      <c r="M274" s="14" t="str" cm="1">
        <f t="array" ref="M274">_xlfn.IFS(L274&gt;=100000, "Excellent", AND(L274&lt;100000, L274&gt;=50000), "Very Good", AND(L274&lt;50000, L274&gt;=20000), "Good", L274&lt;20000, "Average")</f>
        <v>Excellent</v>
      </c>
    </row>
    <row r="275" spans="1:13" ht="15" thickBot="1" x14ac:dyDescent="0.4">
      <c r="A275" s="5">
        <v>1360</v>
      </c>
      <c r="B275" s="5" t="s">
        <v>11</v>
      </c>
      <c r="C275" s="5" t="s">
        <v>43</v>
      </c>
      <c r="D275" s="5" t="s">
        <v>18</v>
      </c>
      <c r="E275" s="5" t="s">
        <v>23</v>
      </c>
      <c r="F275" s="5">
        <v>19</v>
      </c>
      <c r="G275" s="5">
        <v>6681</v>
      </c>
      <c r="H275" s="5">
        <v>2</v>
      </c>
      <c r="I275" s="6">
        <v>46146</v>
      </c>
      <c r="J275" s="6">
        <v>46150</v>
      </c>
      <c r="K275" s="10" t="s">
        <v>15</v>
      </c>
      <c r="L275" s="16">
        <f t="shared" si="4"/>
        <v>124400.22</v>
      </c>
      <c r="M275" s="14" t="str" cm="1">
        <f t="array" ref="M275">_xlfn.IFS(L275&gt;=100000, "Excellent", AND(L275&lt;100000, L275&gt;=50000), "Very Good", AND(L275&lt;50000, L275&gt;=20000), "Good", L275&lt;20000, "Average")</f>
        <v>Excellent</v>
      </c>
    </row>
    <row r="276" spans="1:13" ht="15" thickBot="1" x14ac:dyDescent="0.4">
      <c r="A276" s="5">
        <v>1117</v>
      </c>
      <c r="B276" s="5" t="s">
        <v>55</v>
      </c>
      <c r="C276" s="5" t="s">
        <v>43</v>
      </c>
      <c r="D276" s="5" t="s">
        <v>34</v>
      </c>
      <c r="E276" s="5" t="s">
        <v>39</v>
      </c>
      <c r="F276" s="5">
        <v>16</v>
      </c>
      <c r="G276" s="5">
        <v>33162</v>
      </c>
      <c r="H276" s="5">
        <v>7</v>
      </c>
      <c r="I276" s="6">
        <v>46147</v>
      </c>
      <c r="J276" s="6">
        <v>46155</v>
      </c>
      <c r="K276" s="10" t="s">
        <v>29</v>
      </c>
      <c r="L276" s="16">
        <f t="shared" si="4"/>
        <v>493450.55999999994</v>
      </c>
      <c r="M276" s="14" t="str" cm="1">
        <f t="array" ref="M276">_xlfn.IFS(L276&gt;=100000, "Excellent", AND(L276&lt;100000, L276&gt;=50000), "Very Good", AND(L276&lt;50000, L276&gt;=20000), "Good", L276&lt;20000, "Average")</f>
        <v>Excellent</v>
      </c>
    </row>
    <row r="277" spans="1:13" ht="15" thickBot="1" x14ac:dyDescent="0.4">
      <c r="A277" s="5">
        <v>1063</v>
      </c>
      <c r="B277" s="5" t="s">
        <v>54</v>
      </c>
      <c r="C277" s="5" t="s">
        <v>22</v>
      </c>
      <c r="D277" s="5" t="s">
        <v>34</v>
      </c>
      <c r="E277" s="5" t="s">
        <v>45</v>
      </c>
      <c r="F277" s="5">
        <v>7</v>
      </c>
      <c r="G277" s="5">
        <v>66744</v>
      </c>
      <c r="H277" s="5">
        <v>7</v>
      </c>
      <c r="I277" s="6">
        <v>46148</v>
      </c>
      <c r="J277" s="6">
        <v>46155</v>
      </c>
      <c r="K277" s="10" t="s">
        <v>15</v>
      </c>
      <c r="L277" s="16">
        <f t="shared" si="4"/>
        <v>434503.43999999994</v>
      </c>
      <c r="M277" s="14" t="str" cm="1">
        <f t="array" ref="M277">_xlfn.IFS(L277&gt;=100000, "Excellent", AND(L277&lt;100000, L277&gt;=50000), "Very Good", AND(L277&lt;50000, L277&gt;=20000), "Good", L277&lt;20000, "Average")</f>
        <v>Excellent</v>
      </c>
    </row>
    <row r="278" spans="1:13" ht="15" thickBot="1" x14ac:dyDescent="0.4">
      <c r="A278" s="5">
        <v>1134</v>
      </c>
      <c r="B278" s="5" t="s">
        <v>57</v>
      </c>
      <c r="C278" s="5" t="s">
        <v>31</v>
      </c>
      <c r="D278" s="5" t="s">
        <v>34</v>
      </c>
      <c r="E278" s="5" t="s">
        <v>61</v>
      </c>
      <c r="F278" s="5">
        <v>10</v>
      </c>
      <c r="G278" s="5">
        <v>29217</v>
      </c>
      <c r="H278" s="5">
        <v>15</v>
      </c>
      <c r="I278" s="6">
        <v>46148</v>
      </c>
      <c r="J278" s="6">
        <v>46150</v>
      </c>
      <c r="K278" s="10" t="s">
        <v>24</v>
      </c>
      <c r="L278" s="16">
        <f t="shared" si="4"/>
        <v>248344.5</v>
      </c>
      <c r="M278" s="14" t="str" cm="1">
        <f t="array" ref="M278">_xlfn.IFS(L278&gt;=100000, "Excellent", AND(L278&lt;100000, L278&gt;=50000), "Very Good", AND(L278&lt;50000, L278&gt;=20000), "Good", L278&lt;20000, "Average")</f>
        <v>Excellent</v>
      </c>
    </row>
    <row r="279" spans="1:13" ht="15" thickBot="1" x14ac:dyDescent="0.4">
      <c r="A279" s="5">
        <v>1312</v>
      </c>
      <c r="B279" s="5" t="s">
        <v>57</v>
      </c>
      <c r="C279" s="5" t="s">
        <v>22</v>
      </c>
      <c r="D279" s="5" t="s">
        <v>18</v>
      </c>
      <c r="E279" s="5" t="s">
        <v>56</v>
      </c>
      <c r="F279" s="5">
        <v>20</v>
      </c>
      <c r="G279" s="5">
        <v>3274</v>
      </c>
      <c r="H279" s="5">
        <v>2</v>
      </c>
      <c r="I279" s="6">
        <v>46148</v>
      </c>
      <c r="J279" s="6">
        <v>46156</v>
      </c>
      <c r="K279" s="10" t="s">
        <v>24</v>
      </c>
      <c r="L279" s="16">
        <f t="shared" si="4"/>
        <v>64170.400000000001</v>
      </c>
      <c r="M279" s="14" t="str" cm="1">
        <f t="array" ref="M279">_xlfn.IFS(L279&gt;=100000, "Excellent", AND(L279&lt;100000, L279&gt;=50000), "Very Good", AND(L279&lt;50000, L279&gt;=20000), "Good", L279&lt;20000, "Average")</f>
        <v>Very Good</v>
      </c>
    </row>
    <row r="280" spans="1:13" ht="15" thickBot="1" x14ac:dyDescent="0.4">
      <c r="A280" s="5">
        <v>1191</v>
      </c>
      <c r="B280" s="5" t="s">
        <v>52</v>
      </c>
      <c r="C280" s="5" t="s">
        <v>33</v>
      </c>
      <c r="D280" s="5" t="s">
        <v>18</v>
      </c>
      <c r="E280" s="5" t="s">
        <v>56</v>
      </c>
      <c r="F280" s="5">
        <v>9</v>
      </c>
      <c r="G280" s="5">
        <v>8631</v>
      </c>
      <c r="H280" s="5">
        <v>10</v>
      </c>
      <c r="I280" s="6">
        <v>46149</v>
      </c>
      <c r="J280" s="6">
        <v>46156</v>
      </c>
      <c r="K280" s="10" t="s">
        <v>20</v>
      </c>
      <c r="L280" s="16">
        <f t="shared" si="4"/>
        <v>69911.100000000006</v>
      </c>
      <c r="M280" s="14" t="str" cm="1">
        <f t="array" ref="M280">_xlfn.IFS(L280&gt;=100000, "Excellent", AND(L280&lt;100000, L280&gt;=50000), "Very Good", AND(L280&lt;50000, L280&gt;=20000), "Good", L280&lt;20000, "Average")</f>
        <v>Very Good</v>
      </c>
    </row>
    <row r="281" spans="1:13" ht="15" thickBot="1" x14ac:dyDescent="0.4">
      <c r="A281" s="5">
        <v>1115</v>
      </c>
      <c r="B281" s="5" t="s">
        <v>59</v>
      </c>
      <c r="C281" s="5" t="s">
        <v>43</v>
      </c>
      <c r="D281" s="5" t="s">
        <v>13</v>
      </c>
      <c r="E281" s="5" t="s">
        <v>50</v>
      </c>
      <c r="F281" s="5">
        <v>9</v>
      </c>
      <c r="G281" s="5">
        <v>303</v>
      </c>
      <c r="H281" s="5">
        <v>10</v>
      </c>
      <c r="I281" s="6">
        <v>46149</v>
      </c>
      <c r="J281" s="6">
        <v>46157</v>
      </c>
      <c r="K281" s="10" t="s">
        <v>29</v>
      </c>
      <c r="L281" s="16">
        <f t="shared" si="4"/>
        <v>2454.3000000000002</v>
      </c>
      <c r="M281" s="14" t="str" cm="1">
        <f t="array" ref="M281">_xlfn.IFS(L281&gt;=100000, "Excellent", AND(L281&lt;100000, L281&gt;=50000), "Very Good", AND(L281&lt;50000, L281&gt;=20000), "Good", L281&lt;20000, "Average")</f>
        <v>Average</v>
      </c>
    </row>
    <row r="282" spans="1:13" ht="15" thickBot="1" x14ac:dyDescent="0.4">
      <c r="A282" s="5">
        <v>1327</v>
      </c>
      <c r="B282" s="5" t="s">
        <v>48</v>
      </c>
      <c r="C282" s="5" t="s">
        <v>12</v>
      </c>
      <c r="D282" s="5" t="s">
        <v>13</v>
      </c>
      <c r="E282" s="5" t="s">
        <v>53</v>
      </c>
      <c r="F282" s="5">
        <v>15</v>
      </c>
      <c r="G282" s="5">
        <v>449</v>
      </c>
      <c r="H282" s="5">
        <v>5</v>
      </c>
      <c r="I282" s="6">
        <v>46152</v>
      </c>
      <c r="J282" s="6">
        <v>46153</v>
      </c>
      <c r="K282" s="10" t="s">
        <v>15</v>
      </c>
      <c r="L282" s="16">
        <f t="shared" si="4"/>
        <v>6398.25</v>
      </c>
      <c r="M282" s="14" t="str" cm="1">
        <f t="array" ref="M282">_xlfn.IFS(L282&gt;=100000, "Excellent", AND(L282&lt;100000, L282&gt;=50000), "Very Good", AND(L282&lt;50000, L282&gt;=20000), "Good", L282&lt;20000, "Average")</f>
        <v>Average</v>
      </c>
    </row>
    <row r="283" spans="1:13" ht="15" thickBot="1" x14ac:dyDescent="0.4">
      <c r="A283" s="5">
        <v>1046</v>
      </c>
      <c r="B283" s="5" t="s">
        <v>57</v>
      </c>
      <c r="C283" s="5" t="s">
        <v>38</v>
      </c>
      <c r="D283" s="5" t="s">
        <v>34</v>
      </c>
      <c r="E283" s="5" t="s">
        <v>45</v>
      </c>
      <c r="F283" s="5">
        <v>3</v>
      </c>
      <c r="G283" s="5">
        <v>19443</v>
      </c>
      <c r="H283" s="5">
        <v>10</v>
      </c>
      <c r="I283" s="6">
        <v>46153</v>
      </c>
      <c r="J283" s="6">
        <v>46158</v>
      </c>
      <c r="K283" s="10" t="s">
        <v>29</v>
      </c>
      <c r="L283" s="16">
        <f t="shared" si="4"/>
        <v>52496.1</v>
      </c>
      <c r="M283" s="14" t="str" cm="1">
        <f t="array" ref="M283">_xlfn.IFS(L283&gt;=100000, "Excellent", AND(L283&lt;100000, L283&gt;=50000), "Very Good", AND(L283&lt;50000, L283&gt;=20000), "Good", L283&lt;20000, "Average")</f>
        <v>Very Good</v>
      </c>
    </row>
    <row r="284" spans="1:13" ht="15" thickBot="1" x14ac:dyDescent="0.4">
      <c r="A284" s="5">
        <v>1185</v>
      </c>
      <c r="B284" s="5" t="s">
        <v>58</v>
      </c>
      <c r="C284" s="5" t="s">
        <v>22</v>
      </c>
      <c r="D284" s="5" t="s">
        <v>34</v>
      </c>
      <c r="E284" s="5" t="s">
        <v>60</v>
      </c>
      <c r="F284" s="5">
        <v>16</v>
      </c>
      <c r="G284" s="5">
        <v>15536</v>
      </c>
      <c r="H284" s="5">
        <v>2</v>
      </c>
      <c r="I284" s="6">
        <v>46153</v>
      </c>
      <c r="J284" s="6">
        <v>46156</v>
      </c>
      <c r="K284" s="10" t="s">
        <v>15</v>
      </c>
      <c r="L284" s="16">
        <f t="shared" si="4"/>
        <v>243604.47999999998</v>
      </c>
      <c r="M284" s="14" t="str" cm="1">
        <f t="array" ref="M284">_xlfn.IFS(L284&gt;=100000, "Excellent", AND(L284&lt;100000, L284&gt;=50000), "Very Good", AND(L284&lt;50000, L284&gt;=20000), "Good", L284&lt;20000, "Average")</f>
        <v>Excellent</v>
      </c>
    </row>
    <row r="285" spans="1:13" ht="15" thickBot="1" x14ac:dyDescent="0.4">
      <c r="A285" s="5">
        <v>1147</v>
      </c>
      <c r="B285" s="5" t="s">
        <v>11</v>
      </c>
      <c r="C285" s="5" t="s">
        <v>22</v>
      </c>
      <c r="D285" s="5" t="s">
        <v>18</v>
      </c>
      <c r="E285" s="5" t="s">
        <v>28</v>
      </c>
      <c r="F285" s="5">
        <v>7</v>
      </c>
      <c r="G285" s="5">
        <v>9581</v>
      </c>
      <c r="H285" s="5">
        <v>5</v>
      </c>
      <c r="I285" s="6">
        <v>46154</v>
      </c>
      <c r="J285" s="6">
        <v>46155</v>
      </c>
      <c r="K285" s="10" t="s">
        <v>20</v>
      </c>
      <c r="L285" s="16">
        <f t="shared" si="4"/>
        <v>63713.649999999994</v>
      </c>
      <c r="M285" s="14" t="str" cm="1">
        <f t="array" ref="M285">_xlfn.IFS(L285&gt;=100000, "Excellent", AND(L285&lt;100000, L285&gt;=50000), "Very Good", AND(L285&lt;50000, L285&gt;=20000), "Good", L285&lt;20000, "Average")</f>
        <v>Very Good</v>
      </c>
    </row>
    <row r="286" spans="1:13" ht="15" thickBot="1" x14ac:dyDescent="0.4">
      <c r="A286" s="5">
        <v>1222</v>
      </c>
      <c r="B286" s="5" t="s">
        <v>30</v>
      </c>
      <c r="C286" s="5" t="s">
        <v>33</v>
      </c>
      <c r="D286" s="5" t="s">
        <v>18</v>
      </c>
      <c r="E286" s="5" t="s">
        <v>23</v>
      </c>
      <c r="F286" s="5">
        <v>9</v>
      </c>
      <c r="G286" s="5">
        <v>2712</v>
      </c>
      <c r="H286" s="5">
        <v>12</v>
      </c>
      <c r="I286" s="6">
        <v>46154</v>
      </c>
      <c r="J286" s="6">
        <v>46163</v>
      </c>
      <c r="K286" s="10" t="s">
        <v>15</v>
      </c>
      <c r="L286" s="16">
        <f t="shared" si="4"/>
        <v>21479.040000000001</v>
      </c>
      <c r="M286" s="14" t="str" cm="1">
        <f t="array" ref="M286">_xlfn.IFS(L286&gt;=100000, "Excellent", AND(L286&lt;100000, L286&gt;=50000), "Very Good", AND(L286&lt;50000, L286&gt;=20000), "Good", L286&lt;20000, "Average")</f>
        <v>Good</v>
      </c>
    </row>
    <row r="287" spans="1:13" ht="15" thickBot="1" x14ac:dyDescent="0.4">
      <c r="A287" s="5">
        <v>1332</v>
      </c>
      <c r="B287" s="5" t="s">
        <v>29</v>
      </c>
      <c r="C287" s="5" t="s">
        <v>43</v>
      </c>
      <c r="D287" s="5" t="s">
        <v>13</v>
      </c>
      <c r="E287" s="5" t="s">
        <v>50</v>
      </c>
      <c r="F287" s="5">
        <v>7</v>
      </c>
      <c r="G287" s="5">
        <v>439</v>
      </c>
      <c r="H287" s="5">
        <v>2</v>
      </c>
      <c r="I287" s="6">
        <v>46154</v>
      </c>
      <c r="J287" s="6">
        <v>46157</v>
      </c>
      <c r="K287" s="10" t="s">
        <v>15</v>
      </c>
      <c r="L287" s="16">
        <f t="shared" si="4"/>
        <v>3011.54</v>
      </c>
      <c r="M287" s="14" t="str" cm="1">
        <f t="array" ref="M287">_xlfn.IFS(L287&gt;=100000, "Excellent", AND(L287&lt;100000, L287&gt;=50000), "Very Good", AND(L287&lt;50000, L287&gt;=20000), "Good", L287&lt;20000, "Average")</f>
        <v>Average</v>
      </c>
    </row>
    <row r="288" spans="1:13" ht="15" thickBot="1" x14ac:dyDescent="0.4">
      <c r="A288" s="5">
        <v>1179</v>
      </c>
      <c r="B288" s="5" t="s">
        <v>47</v>
      </c>
      <c r="C288" s="5" t="s">
        <v>17</v>
      </c>
      <c r="D288" s="5" t="s">
        <v>34</v>
      </c>
      <c r="E288" s="5" t="s">
        <v>39</v>
      </c>
      <c r="F288" s="5">
        <v>6</v>
      </c>
      <c r="G288" s="5">
        <v>10400</v>
      </c>
      <c r="H288" s="5">
        <v>2</v>
      </c>
      <c r="I288" s="6">
        <v>46155</v>
      </c>
      <c r="J288" s="6">
        <v>46158</v>
      </c>
      <c r="K288" s="10" t="s">
        <v>15</v>
      </c>
      <c r="L288" s="16">
        <f t="shared" si="4"/>
        <v>61152</v>
      </c>
      <c r="M288" s="14" t="str" cm="1">
        <f t="array" ref="M288">_xlfn.IFS(L288&gt;=100000, "Excellent", AND(L288&lt;100000, L288&gt;=50000), "Very Good", AND(L288&lt;50000, L288&gt;=20000), "Good", L288&lt;20000, "Average")</f>
        <v>Very Good</v>
      </c>
    </row>
    <row r="289" spans="1:13" ht="15" thickBot="1" x14ac:dyDescent="0.4">
      <c r="A289" s="5">
        <v>1196</v>
      </c>
      <c r="B289" s="5" t="s">
        <v>48</v>
      </c>
      <c r="C289" s="5" t="s">
        <v>22</v>
      </c>
      <c r="D289" s="5" t="s">
        <v>34</v>
      </c>
      <c r="E289" s="5" t="s">
        <v>35</v>
      </c>
      <c r="F289" s="5">
        <v>20</v>
      </c>
      <c r="G289" s="5">
        <v>3172</v>
      </c>
      <c r="H289" s="5">
        <v>5</v>
      </c>
      <c r="I289" s="6">
        <v>46155</v>
      </c>
      <c r="J289" s="6">
        <v>46159</v>
      </c>
      <c r="K289" s="10" t="s">
        <v>20</v>
      </c>
      <c r="L289" s="16">
        <f t="shared" si="4"/>
        <v>60268</v>
      </c>
      <c r="M289" s="14" t="str" cm="1">
        <f t="array" ref="M289">_xlfn.IFS(L289&gt;=100000, "Excellent", AND(L289&lt;100000, L289&gt;=50000), "Very Good", AND(L289&lt;50000, L289&gt;=20000), "Good", L289&lt;20000, "Average")</f>
        <v>Very Good</v>
      </c>
    </row>
    <row r="290" spans="1:13" ht="15" thickBot="1" x14ac:dyDescent="0.4">
      <c r="A290" s="5">
        <v>1027</v>
      </c>
      <c r="B290" s="5" t="s">
        <v>29</v>
      </c>
      <c r="C290" s="5" t="s">
        <v>43</v>
      </c>
      <c r="D290" s="5" t="s">
        <v>13</v>
      </c>
      <c r="E290" s="5" t="s">
        <v>50</v>
      </c>
      <c r="F290" s="5">
        <v>4</v>
      </c>
      <c r="G290" s="5">
        <v>264</v>
      </c>
      <c r="H290" s="5">
        <v>0</v>
      </c>
      <c r="I290" s="6">
        <v>46155</v>
      </c>
      <c r="J290" s="6">
        <v>46161</v>
      </c>
      <c r="K290" s="10" t="s">
        <v>51</v>
      </c>
      <c r="L290" s="16">
        <f t="shared" si="4"/>
        <v>1056</v>
      </c>
      <c r="M290" s="14" t="str" cm="1">
        <f t="array" ref="M290">_xlfn.IFS(L290&gt;=100000, "Excellent", AND(L290&lt;100000, L290&gt;=50000), "Very Good", AND(L290&lt;50000, L290&gt;=20000), "Good", L290&lt;20000, "Average")</f>
        <v>Average</v>
      </c>
    </row>
    <row r="291" spans="1:13" ht="15" thickBot="1" x14ac:dyDescent="0.4">
      <c r="A291" s="5">
        <v>1344</v>
      </c>
      <c r="B291" s="5" t="s">
        <v>30</v>
      </c>
      <c r="C291" s="5" t="s">
        <v>17</v>
      </c>
      <c r="D291" s="5" t="s">
        <v>13</v>
      </c>
      <c r="E291" s="5" t="s">
        <v>53</v>
      </c>
      <c r="F291" s="5">
        <v>18</v>
      </c>
      <c r="G291" s="5">
        <v>240</v>
      </c>
      <c r="H291" s="5">
        <v>10</v>
      </c>
      <c r="I291" s="6">
        <v>46155</v>
      </c>
      <c r="J291" s="6">
        <v>46156</v>
      </c>
      <c r="K291" s="10" t="s">
        <v>24</v>
      </c>
      <c r="L291" s="16">
        <f t="shared" si="4"/>
        <v>3888</v>
      </c>
      <c r="M291" s="14" t="str" cm="1">
        <f t="array" ref="M291">_xlfn.IFS(L291&gt;=100000, "Excellent", AND(L291&lt;100000, L291&gt;=50000), "Very Good", AND(L291&lt;50000, L291&gt;=20000), "Good", L291&lt;20000, "Average")</f>
        <v>Average</v>
      </c>
    </row>
    <row r="292" spans="1:13" ht="15" thickBot="1" x14ac:dyDescent="0.4">
      <c r="A292" s="5">
        <v>1171</v>
      </c>
      <c r="B292" s="5" t="s">
        <v>57</v>
      </c>
      <c r="C292" s="5" t="s">
        <v>25</v>
      </c>
      <c r="D292" s="5" t="s">
        <v>13</v>
      </c>
      <c r="E292" s="5" t="s">
        <v>50</v>
      </c>
      <c r="F292" s="5">
        <v>17</v>
      </c>
      <c r="G292" s="5">
        <v>147</v>
      </c>
      <c r="H292" s="5">
        <v>12</v>
      </c>
      <c r="I292" s="6">
        <v>46155</v>
      </c>
      <c r="J292" s="6">
        <v>46160</v>
      </c>
      <c r="K292" s="10" t="s">
        <v>20</v>
      </c>
      <c r="L292" s="16">
        <f t="shared" si="4"/>
        <v>2199.12</v>
      </c>
      <c r="M292" s="14" t="str" cm="1">
        <f t="array" ref="M292">_xlfn.IFS(L292&gt;=100000, "Excellent", AND(L292&lt;100000, L292&gt;=50000), "Very Good", AND(L292&lt;50000, L292&gt;=20000), "Good", L292&lt;20000, "Average")</f>
        <v>Average</v>
      </c>
    </row>
    <row r="293" spans="1:13" ht="15" thickBot="1" x14ac:dyDescent="0.4">
      <c r="A293" s="5">
        <v>1295</v>
      </c>
      <c r="B293" s="5" t="s">
        <v>52</v>
      </c>
      <c r="C293" s="5" t="s">
        <v>38</v>
      </c>
      <c r="D293" s="5" t="s">
        <v>18</v>
      </c>
      <c r="E293" s="5" t="s">
        <v>28</v>
      </c>
      <c r="F293" s="5">
        <v>16</v>
      </c>
      <c r="G293" s="5">
        <v>11935</v>
      </c>
      <c r="H293" s="5">
        <v>12</v>
      </c>
      <c r="I293" s="6">
        <v>46157</v>
      </c>
      <c r="J293" s="6">
        <v>46162</v>
      </c>
      <c r="K293" s="10" t="s">
        <v>15</v>
      </c>
      <c r="L293" s="16">
        <f t="shared" si="4"/>
        <v>168044.79999999999</v>
      </c>
      <c r="M293" s="14" t="str" cm="1">
        <f t="array" ref="M293">_xlfn.IFS(L293&gt;=100000, "Excellent", AND(L293&lt;100000, L293&gt;=50000), "Very Good", AND(L293&lt;50000, L293&gt;=20000), "Good", L293&lt;20000, "Average")</f>
        <v>Excellent</v>
      </c>
    </row>
    <row r="294" spans="1:13" ht="15" thickBot="1" x14ac:dyDescent="0.4">
      <c r="A294" s="5">
        <v>1367</v>
      </c>
      <c r="B294" s="5" t="s">
        <v>54</v>
      </c>
      <c r="C294" s="5" t="s">
        <v>25</v>
      </c>
      <c r="D294" s="5" t="s">
        <v>13</v>
      </c>
      <c r="E294" s="5" t="s">
        <v>53</v>
      </c>
      <c r="F294" s="5">
        <v>1</v>
      </c>
      <c r="G294" s="5">
        <v>371</v>
      </c>
      <c r="H294" s="5">
        <v>5</v>
      </c>
      <c r="I294" s="6">
        <v>46158</v>
      </c>
      <c r="J294" s="6">
        <v>46168</v>
      </c>
      <c r="K294" s="10" t="s">
        <v>29</v>
      </c>
      <c r="L294" s="16">
        <f t="shared" si="4"/>
        <v>352.45</v>
      </c>
      <c r="M294" s="14" t="str" cm="1">
        <f t="array" ref="M294">_xlfn.IFS(L294&gt;=100000, "Excellent", AND(L294&lt;100000, L294&gt;=50000), "Very Good", AND(L294&lt;50000, L294&gt;=20000), "Good", L294&lt;20000, "Average")</f>
        <v>Average</v>
      </c>
    </row>
    <row r="295" spans="1:13" ht="15" thickBot="1" x14ac:dyDescent="0.4">
      <c r="A295" s="5">
        <v>1317</v>
      </c>
      <c r="B295" s="5" t="s">
        <v>59</v>
      </c>
      <c r="C295" s="5" t="s">
        <v>33</v>
      </c>
      <c r="D295" s="5" t="s">
        <v>34</v>
      </c>
      <c r="E295" s="5" t="s">
        <v>41</v>
      </c>
      <c r="F295" s="5">
        <v>7</v>
      </c>
      <c r="G295" s="5">
        <v>67339</v>
      </c>
      <c r="H295" s="5">
        <v>5</v>
      </c>
      <c r="I295" s="6">
        <v>46159</v>
      </c>
      <c r="J295" s="6">
        <v>46169</v>
      </c>
      <c r="K295" s="10" t="s">
        <v>51</v>
      </c>
      <c r="L295" s="16">
        <f t="shared" si="4"/>
        <v>447804.35</v>
      </c>
      <c r="M295" s="14" t="str" cm="1">
        <f t="array" ref="M295">_xlfn.IFS(L295&gt;=100000, "Excellent", AND(L295&lt;100000, L295&gt;=50000), "Very Good", AND(L295&lt;50000, L295&gt;=20000), "Good", L295&lt;20000, "Average")</f>
        <v>Excellent</v>
      </c>
    </row>
    <row r="296" spans="1:13" ht="15" thickBot="1" x14ac:dyDescent="0.4">
      <c r="A296" s="5">
        <v>1052</v>
      </c>
      <c r="B296" s="5" t="s">
        <v>55</v>
      </c>
      <c r="C296" s="5" t="s">
        <v>12</v>
      </c>
      <c r="D296" s="5" t="s">
        <v>13</v>
      </c>
      <c r="E296" s="5" t="s">
        <v>14</v>
      </c>
      <c r="F296" s="5">
        <v>17</v>
      </c>
      <c r="G296" s="5">
        <v>172</v>
      </c>
      <c r="H296" s="5">
        <v>10</v>
      </c>
      <c r="I296" s="6">
        <v>46159</v>
      </c>
      <c r="J296" s="6">
        <v>46165</v>
      </c>
      <c r="K296" s="10" t="s">
        <v>20</v>
      </c>
      <c r="L296" s="16">
        <f t="shared" si="4"/>
        <v>2631.6</v>
      </c>
      <c r="M296" s="14" t="str" cm="1">
        <f t="array" ref="M296">_xlfn.IFS(L296&gt;=100000, "Excellent", AND(L296&lt;100000, L296&gt;=50000), "Very Good", AND(L296&lt;50000, L296&gt;=20000), "Good", L296&lt;20000, "Average")</f>
        <v>Average</v>
      </c>
    </row>
    <row r="297" spans="1:13" ht="15" thickBot="1" x14ac:dyDescent="0.4">
      <c r="A297" s="5">
        <v>1143</v>
      </c>
      <c r="B297" s="5" t="s">
        <v>29</v>
      </c>
      <c r="C297" s="5" t="s">
        <v>17</v>
      </c>
      <c r="D297" s="5" t="s">
        <v>13</v>
      </c>
      <c r="E297" s="5" t="s">
        <v>37</v>
      </c>
      <c r="F297" s="5">
        <v>13</v>
      </c>
      <c r="G297" s="5">
        <v>456</v>
      </c>
      <c r="H297" s="5">
        <v>2</v>
      </c>
      <c r="I297" s="6">
        <v>46160</v>
      </c>
      <c r="J297" s="6">
        <v>46167</v>
      </c>
      <c r="K297" s="10" t="s">
        <v>24</v>
      </c>
      <c r="L297" s="16">
        <f t="shared" si="4"/>
        <v>5809.44</v>
      </c>
      <c r="M297" s="14" t="str" cm="1">
        <f t="array" ref="M297">_xlfn.IFS(L297&gt;=100000, "Excellent", AND(L297&lt;100000, L297&gt;=50000), "Very Good", AND(L297&lt;50000, L297&gt;=20000), "Good", L297&lt;20000, "Average")</f>
        <v>Average</v>
      </c>
    </row>
    <row r="298" spans="1:13" ht="15" thickBot="1" x14ac:dyDescent="0.4">
      <c r="A298" s="5">
        <v>1167</v>
      </c>
      <c r="B298" s="5" t="s">
        <v>48</v>
      </c>
      <c r="C298" s="5" t="s">
        <v>17</v>
      </c>
      <c r="D298" s="5" t="s">
        <v>13</v>
      </c>
      <c r="E298" s="5" t="s">
        <v>37</v>
      </c>
      <c r="F298" s="5">
        <v>20</v>
      </c>
      <c r="G298" s="5">
        <v>251</v>
      </c>
      <c r="H298" s="5">
        <v>5</v>
      </c>
      <c r="I298" s="6">
        <v>46160</v>
      </c>
      <c r="J298" s="6">
        <v>46170</v>
      </c>
      <c r="K298" s="10" t="s">
        <v>29</v>
      </c>
      <c r="L298" s="16">
        <f t="shared" si="4"/>
        <v>4769</v>
      </c>
      <c r="M298" s="14" t="str" cm="1">
        <f t="array" ref="M298">_xlfn.IFS(L298&gt;=100000, "Excellent", AND(L298&lt;100000, L298&gt;=50000), "Very Good", AND(L298&lt;50000, L298&gt;=20000), "Good", L298&lt;20000, "Average")</f>
        <v>Average</v>
      </c>
    </row>
    <row r="299" spans="1:13" ht="15" thickBot="1" x14ac:dyDescent="0.4">
      <c r="A299" s="5">
        <v>1129</v>
      </c>
      <c r="B299" s="5" t="s">
        <v>58</v>
      </c>
      <c r="C299" s="5" t="s">
        <v>17</v>
      </c>
      <c r="D299" s="5" t="s">
        <v>13</v>
      </c>
      <c r="E299" s="5" t="s">
        <v>50</v>
      </c>
      <c r="F299" s="5">
        <v>15</v>
      </c>
      <c r="G299" s="5">
        <v>75</v>
      </c>
      <c r="H299" s="5">
        <v>7</v>
      </c>
      <c r="I299" s="6">
        <v>46160</v>
      </c>
      <c r="J299" s="6">
        <v>46164</v>
      </c>
      <c r="K299" s="10" t="s">
        <v>29</v>
      </c>
      <c r="L299" s="16">
        <f t="shared" si="4"/>
        <v>1046.25</v>
      </c>
      <c r="M299" s="14" t="str" cm="1">
        <f t="array" ref="M299">_xlfn.IFS(L299&gt;=100000, "Excellent", AND(L299&lt;100000, L299&gt;=50000), "Very Good", AND(L299&lt;50000, L299&gt;=20000), "Good", L299&lt;20000, "Average")</f>
        <v>Average</v>
      </c>
    </row>
    <row r="300" spans="1:13" ht="15" thickBot="1" x14ac:dyDescent="0.4">
      <c r="A300" s="5">
        <v>1257</v>
      </c>
      <c r="B300" s="5" t="s">
        <v>54</v>
      </c>
      <c r="C300" s="5" t="s">
        <v>25</v>
      </c>
      <c r="D300" s="5" t="s">
        <v>34</v>
      </c>
      <c r="E300" s="5" t="s">
        <v>61</v>
      </c>
      <c r="F300" s="5">
        <v>7</v>
      </c>
      <c r="G300" s="5">
        <v>53243</v>
      </c>
      <c r="H300" s="5">
        <v>12</v>
      </c>
      <c r="I300" s="6">
        <v>46161</v>
      </c>
      <c r="J300" s="6">
        <v>46171</v>
      </c>
      <c r="K300" s="10" t="s">
        <v>15</v>
      </c>
      <c r="L300" s="16">
        <f t="shared" si="4"/>
        <v>327976.88</v>
      </c>
      <c r="M300" s="14" t="str" cm="1">
        <f t="array" ref="M300">_xlfn.IFS(L300&gt;=100000, "Excellent", AND(L300&lt;100000, L300&gt;=50000), "Very Good", AND(L300&lt;50000, L300&gt;=20000), "Good", L300&lt;20000, "Average")</f>
        <v>Excellent</v>
      </c>
    </row>
    <row r="301" spans="1:13" ht="15" thickBot="1" x14ac:dyDescent="0.4">
      <c r="A301" s="5">
        <v>1372</v>
      </c>
      <c r="B301" s="5" t="s">
        <v>48</v>
      </c>
      <c r="C301" s="5" t="s">
        <v>17</v>
      </c>
      <c r="D301" s="5" t="s">
        <v>34</v>
      </c>
      <c r="E301" s="5" t="s">
        <v>39</v>
      </c>
      <c r="F301" s="5">
        <v>9</v>
      </c>
      <c r="G301" s="5">
        <v>9551</v>
      </c>
      <c r="H301" s="5">
        <v>10</v>
      </c>
      <c r="I301" s="6">
        <v>46161</v>
      </c>
      <c r="J301" s="6">
        <v>46168</v>
      </c>
      <c r="K301" s="10" t="s">
        <v>15</v>
      </c>
      <c r="L301" s="16">
        <f t="shared" si="4"/>
        <v>77363.100000000006</v>
      </c>
      <c r="M301" s="14" t="str" cm="1">
        <f t="array" ref="M301">_xlfn.IFS(L301&gt;=100000, "Excellent", AND(L301&lt;100000, L301&gt;=50000), "Very Good", AND(L301&lt;50000, L301&gt;=20000), "Good", L301&lt;20000, "Average")</f>
        <v>Very Good</v>
      </c>
    </row>
    <row r="302" spans="1:13" ht="15" thickBot="1" x14ac:dyDescent="0.4">
      <c r="A302" s="5">
        <v>1024</v>
      </c>
      <c r="B302" s="5" t="s">
        <v>32</v>
      </c>
      <c r="C302" s="5" t="s">
        <v>38</v>
      </c>
      <c r="D302" s="5" t="s">
        <v>34</v>
      </c>
      <c r="E302" s="5" t="s">
        <v>41</v>
      </c>
      <c r="F302" s="5">
        <v>12</v>
      </c>
      <c r="G302" s="5">
        <v>1682</v>
      </c>
      <c r="H302" s="5">
        <v>5</v>
      </c>
      <c r="I302" s="6">
        <v>46161</v>
      </c>
      <c r="J302" s="6">
        <v>46165</v>
      </c>
      <c r="K302" s="10" t="s">
        <v>15</v>
      </c>
      <c r="L302" s="16">
        <f t="shared" si="4"/>
        <v>19174.8</v>
      </c>
      <c r="M302" s="14" t="str" cm="1">
        <f t="array" ref="M302">_xlfn.IFS(L302&gt;=100000, "Excellent", AND(L302&lt;100000, L302&gt;=50000), "Very Good", AND(L302&lt;50000, L302&gt;=20000), "Good", L302&lt;20000, "Average")</f>
        <v>Average</v>
      </c>
    </row>
    <row r="303" spans="1:13" ht="15" thickBot="1" x14ac:dyDescent="0.4">
      <c r="A303" s="5">
        <v>1248</v>
      </c>
      <c r="B303" s="5" t="s">
        <v>27</v>
      </c>
      <c r="C303" s="5" t="s">
        <v>43</v>
      </c>
      <c r="D303" s="5" t="s">
        <v>13</v>
      </c>
      <c r="E303" s="5" t="s">
        <v>37</v>
      </c>
      <c r="F303" s="5">
        <v>5</v>
      </c>
      <c r="G303" s="5">
        <v>398</v>
      </c>
      <c r="H303" s="5">
        <v>7</v>
      </c>
      <c r="I303" s="6">
        <v>46161</v>
      </c>
      <c r="J303" s="6">
        <v>46171</v>
      </c>
      <c r="K303" s="10" t="s">
        <v>29</v>
      </c>
      <c r="L303" s="16">
        <f t="shared" si="4"/>
        <v>1850.6999999999998</v>
      </c>
      <c r="M303" s="14" t="str" cm="1">
        <f t="array" ref="M303">_xlfn.IFS(L303&gt;=100000, "Excellent", AND(L303&lt;100000, L303&gt;=50000), "Very Good", AND(L303&lt;50000, L303&gt;=20000), "Good", L303&lt;20000, "Average")</f>
        <v>Average</v>
      </c>
    </row>
    <row r="304" spans="1:13" ht="15" thickBot="1" x14ac:dyDescent="0.4">
      <c r="A304" s="5">
        <v>1011</v>
      </c>
      <c r="B304" s="5" t="s">
        <v>11</v>
      </c>
      <c r="C304" s="5" t="s">
        <v>17</v>
      </c>
      <c r="D304" s="5" t="s">
        <v>13</v>
      </c>
      <c r="E304" s="5" t="s">
        <v>37</v>
      </c>
      <c r="F304" s="5">
        <v>14</v>
      </c>
      <c r="G304" s="5">
        <v>88</v>
      </c>
      <c r="H304" s="5">
        <v>12</v>
      </c>
      <c r="I304" s="6">
        <v>46161</v>
      </c>
      <c r="J304" s="6">
        <v>46163</v>
      </c>
      <c r="K304" s="10" t="s">
        <v>15</v>
      </c>
      <c r="L304" s="16">
        <f t="shared" si="4"/>
        <v>1084.1600000000001</v>
      </c>
      <c r="M304" s="14" t="str" cm="1">
        <f t="array" ref="M304">_xlfn.IFS(L304&gt;=100000, "Excellent", AND(L304&lt;100000, L304&gt;=50000), "Very Good", AND(L304&lt;50000, L304&gt;=20000), "Good", L304&lt;20000, "Average")</f>
        <v>Average</v>
      </c>
    </row>
    <row r="305" spans="1:13" ht="15" thickBot="1" x14ac:dyDescent="0.4">
      <c r="A305" s="5">
        <v>1386</v>
      </c>
      <c r="B305" s="5" t="s">
        <v>27</v>
      </c>
      <c r="C305" s="5" t="s">
        <v>31</v>
      </c>
      <c r="D305" s="5" t="s">
        <v>18</v>
      </c>
      <c r="E305" s="5" t="s">
        <v>28</v>
      </c>
      <c r="F305" s="5">
        <v>9</v>
      </c>
      <c r="G305" s="5">
        <v>7509</v>
      </c>
      <c r="H305" s="5">
        <v>5</v>
      </c>
      <c r="I305" s="6">
        <v>46162</v>
      </c>
      <c r="J305" s="6">
        <v>46171</v>
      </c>
      <c r="K305" s="10" t="s">
        <v>51</v>
      </c>
      <c r="L305" s="16">
        <f t="shared" si="4"/>
        <v>64201.95</v>
      </c>
      <c r="M305" s="14" t="str" cm="1">
        <f t="array" ref="M305">_xlfn.IFS(L305&gt;=100000, "Excellent", AND(L305&lt;100000, L305&gt;=50000), "Very Good", AND(L305&lt;50000, L305&gt;=20000), "Good", L305&lt;20000, "Average")</f>
        <v>Very Good</v>
      </c>
    </row>
    <row r="306" spans="1:13" ht="15" thickBot="1" x14ac:dyDescent="0.4">
      <c r="A306" s="5">
        <v>1007</v>
      </c>
      <c r="B306" s="5" t="s">
        <v>21</v>
      </c>
      <c r="C306" s="5" t="s">
        <v>22</v>
      </c>
      <c r="D306" s="5" t="s">
        <v>13</v>
      </c>
      <c r="E306" s="5" t="s">
        <v>14</v>
      </c>
      <c r="F306" s="5">
        <v>19</v>
      </c>
      <c r="G306" s="5">
        <v>149</v>
      </c>
      <c r="H306" s="5">
        <v>7</v>
      </c>
      <c r="I306" s="6">
        <v>46162</v>
      </c>
      <c r="J306" s="6">
        <v>46168</v>
      </c>
      <c r="K306" s="10" t="s">
        <v>24</v>
      </c>
      <c r="L306" s="16">
        <f t="shared" si="4"/>
        <v>2632.83</v>
      </c>
      <c r="M306" s="14" t="str" cm="1">
        <f t="array" ref="M306">_xlfn.IFS(L306&gt;=100000, "Excellent", AND(L306&lt;100000, L306&gt;=50000), "Very Good", AND(L306&lt;50000, L306&gt;=20000), "Good", L306&lt;20000, "Average")</f>
        <v>Average</v>
      </c>
    </row>
    <row r="307" spans="1:13" ht="15" thickBot="1" x14ac:dyDescent="0.4">
      <c r="A307" s="5">
        <v>1032</v>
      </c>
      <c r="B307" s="5" t="s">
        <v>54</v>
      </c>
      <c r="C307" s="5" t="s">
        <v>43</v>
      </c>
      <c r="D307" s="5" t="s">
        <v>34</v>
      </c>
      <c r="E307" s="5" t="s">
        <v>39</v>
      </c>
      <c r="F307" s="5">
        <v>20</v>
      </c>
      <c r="G307" s="5">
        <v>11305</v>
      </c>
      <c r="H307" s="5">
        <v>2</v>
      </c>
      <c r="I307" s="6">
        <v>46163</v>
      </c>
      <c r="J307" s="6">
        <v>46165</v>
      </c>
      <c r="K307" s="10" t="s">
        <v>29</v>
      </c>
      <c r="L307" s="16">
        <f t="shared" si="4"/>
        <v>221578</v>
      </c>
      <c r="M307" s="14" t="str" cm="1">
        <f t="array" ref="M307">_xlfn.IFS(L307&gt;=100000, "Excellent", AND(L307&lt;100000, L307&gt;=50000), "Very Good", AND(L307&lt;50000, L307&gt;=20000), "Good", L307&lt;20000, "Average")</f>
        <v>Excellent</v>
      </c>
    </row>
    <row r="308" spans="1:13" ht="15" thickBot="1" x14ac:dyDescent="0.4">
      <c r="A308" s="5">
        <v>1302</v>
      </c>
      <c r="B308" s="5" t="s">
        <v>57</v>
      </c>
      <c r="C308" s="5" t="s">
        <v>12</v>
      </c>
      <c r="D308" s="5" t="s">
        <v>34</v>
      </c>
      <c r="E308" s="5" t="s">
        <v>35</v>
      </c>
      <c r="F308" s="5">
        <v>9</v>
      </c>
      <c r="G308" s="5">
        <v>8500</v>
      </c>
      <c r="H308" s="5">
        <v>15</v>
      </c>
      <c r="I308" s="6">
        <v>46163</v>
      </c>
      <c r="J308" s="6">
        <v>46172</v>
      </c>
      <c r="K308" s="10" t="s">
        <v>24</v>
      </c>
      <c r="L308" s="16">
        <f t="shared" si="4"/>
        <v>65025</v>
      </c>
      <c r="M308" s="14" t="str" cm="1">
        <f t="array" ref="M308">_xlfn.IFS(L308&gt;=100000, "Excellent", AND(L308&lt;100000, L308&gt;=50000), "Very Good", AND(L308&lt;50000, L308&gt;=20000), "Good", L308&lt;20000, "Average")</f>
        <v>Very Good</v>
      </c>
    </row>
    <row r="309" spans="1:13" ht="15" thickBot="1" x14ac:dyDescent="0.4">
      <c r="A309" s="5">
        <v>1249</v>
      </c>
      <c r="B309" s="5" t="s">
        <v>16</v>
      </c>
      <c r="C309" s="5" t="s">
        <v>25</v>
      </c>
      <c r="D309" s="5" t="s">
        <v>34</v>
      </c>
      <c r="E309" s="5" t="s">
        <v>41</v>
      </c>
      <c r="F309" s="5">
        <v>18</v>
      </c>
      <c r="G309" s="5">
        <v>6360</v>
      </c>
      <c r="H309" s="5">
        <v>12</v>
      </c>
      <c r="I309" s="6">
        <v>46163</v>
      </c>
      <c r="J309" s="6">
        <v>46165</v>
      </c>
      <c r="K309" s="10" t="s">
        <v>20</v>
      </c>
      <c r="L309" s="16">
        <f t="shared" si="4"/>
        <v>100742.39999999999</v>
      </c>
      <c r="M309" s="14" t="str" cm="1">
        <f t="array" ref="M309">_xlfn.IFS(L309&gt;=100000, "Excellent", AND(L309&lt;100000, L309&gt;=50000), "Very Good", AND(L309&lt;50000, L309&gt;=20000), "Good", L309&lt;20000, "Average")</f>
        <v>Excellent</v>
      </c>
    </row>
    <row r="310" spans="1:13" ht="15" thickBot="1" x14ac:dyDescent="0.4">
      <c r="A310" s="5">
        <v>1207</v>
      </c>
      <c r="B310" s="5" t="s">
        <v>55</v>
      </c>
      <c r="C310" s="5" t="s">
        <v>25</v>
      </c>
      <c r="D310" s="5" t="s">
        <v>13</v>
      </c>
      <c r="E310" s="5" t="s">
        <v>53</v>
      </c>
      <c r="F310" s="5">
        <v>7</v>
      </c>
      <c r="G310" s="5">
        <v>244</v>
      </c>
      <c r="H310" s="5">
        <v>2</v>
      </c>
      <c r="I310" s="6">
        <v>46164</v>
      </c>
      <c r="J310" s="6">
        <v>46173</v>
      </c>
      <c r="K310" s="10" t="s">
        <v>24</v>
      </c>
      <c r="L310" s="16">
        <f t="shared" si="4"/>
        <v>1673.84</v>
      </c>
      <c r="M310" s="14" t="str" cm="1">
        <f t="array" ref="M310">_xlfn.IFS(L310&gt;=100000, "Excellent", AND(L310&lt;100000, L310&gt;=50000), "Very Good", AND(L310&lt;50000, L310&gt;=20000), "Good", L310&lt;20000, "Average")</f>
        <v>Average</v>
      </c>
    </row>
    <row r="311" spans="1:13" ht="15" thickBot="1" x14ac:dyDescent="0.4">
      <c r="A311" s="5">
        <v>1236</v>
      </c>
      <c r="B311" s="5" t="s">
        <v>54</v>
      </c>
      <c r="C311" s="5" t="s">
        <v>43</v>
      </c>
      <c r="D311" s="5" t="s">
        <v>13</v>
      </c>
      <c r="E311" s="5" t="s">
        <v>37</v>
      </c>
      <c r="F311" s="5">
        <v>12</v>
      </c>
      <c r="G311" s="5">
        <v>189</v>
      </c>
      <c r="H311" s="5">
        <v>7</v>
      </c>
      <c r="I311" s="6">
        <v>46164</v>
      </c>
      <c r="J311" s="6">
        <v>46169</v>
      </c>
      <c r="K311" s="10" t="s">
        <v>29</v>
      </c>
      <c r="L311" s="16">
        <f t="shared" si="4"/>
        <v>2109.2399999999998</v>
      </c>
      <c r="M311" s="14" t="str" cm="1">
        <f t="array" ref="M311">_xlfn.IFS(L311&gt;=100000, "Excellent", AND(L311&lt;100000, L311&gt;=50000), "Very Good", AND(L311&lt;50000, L311&gt;=20000), "Good", L311&lt;20000, "Average")</f>
        <v>Average</v>
      </c>
    </row>
    <row r="312" spans="1:13" ht="15" thickBot="1" x14ac:dyDescent="0.4">
      <c r="A312" s="5">
        <v>1326</v>
      </c>
      <c r="B312" s="5" t="s">
        <v>26</v>
      </c>
      <c r="C312" s="5" t="s">
        <v>17</v>
      </c>
      <c r="D312" s="5" t="s">
        <v>18</v>
      </c>
      <c r="E312" s="5" t="s">
        <v>44</v>
      </c>
      <c r="F312" s="5">
        <v>18</v>
      </c>
      <c r="G312" s="5">
        <v>1830</v>
      </c>
      <c r="H312" s="5">
        <v>10</v>
      </c>
      <c r="I312" s="6">
        <v>46165</v>
      </c>
      <c r="J312" s="6">
        <v>46172</v>
      </c>
      <c r="K312" s="10" t="s">
        <v>15</v>
      </c>
      <c r="L312" s="16">
        <f t="shared" si="4"/>
        <v>29646</v>
      </c>
      <c r="M312" s="14" t="str" cm="1">
        <f t="array" ref="M312">_xlfn.IFS(L312&gt;=100000, "Excellent", AND(L312&lt;100000, L312&gt;=50000), "Very Good", AND(L312&lt;50000, L312&gt;=20000), "Good", L312&lt;20000, "Average")</f>
        <v>Good</v>
      </c>
    </row>
    <row r="313" spans="1:13" ht="15" thickBot="1" x14ac:dyDescent="0.4">
      <c r="A313" s="5">
        <v>1252</v>
      </c>
      <c r="B313" s="5" t="s">
        <v>47</v>
      </c>
      <c r="C313" s="5" t="s">
        <v>25</v>
      </c>
      <c r="D313" s="5" t="s">
        <v>13</v>
      </c>
      <c r="E313" s="5" t="s">
        <v>36</v>
      </c>
      <c r="F313" s="5">
        <v>15</v>
      </c>
      <c r="G313" s="5">
        <v>257</v>
      </c>
      <c r="H313" s="5">
        <v>5</v>
      </c>
      <c r="I313" s="6">
        <v>46166</v>
      </c>
      <c r="J313" s="6">
        <v>46173</v>
      </c>
      <c r="K313" s="10" t="s">
        <v>20</v>
      </c>
      <c r="L313" s="16">
        <f t="shared" si="4"/>
        <v>3662.25</v>
      </c>
      <c r="M313" s="14" t="str" cm="1">
        <f t="array" ref="M313">_xlfn.IFS(L313&gt;=100000, "Excellent", AND(L313&lt;100000, L313&gt;=50000), "Very Good", AND(L313&lt;50000, L313&gt;=20000), "Good", L313&lt;20000, "Average")</f>
        <v>Average</v>
      </c>
    </row>
    <row r="314" spans="1:13" ht="15" thickBot="1" x14ac:dyDescent="0.4">
      <c r="A314" s="5">
        <v>1206</v>
      </c>
      <c r="B314" s="5" t="s">
        <v>55</v>
      </c>
      <c r="C314" s="5" t="s">
        <v>33</v>
      </c>
      <c r="D314" s="5" t="s">
        <v>13</v>
      </c>
      <c r="E314" s="5" t="s">
        <v>14</v>
      </c>
      <c r="F314" s="5">
        <v>9</v>
      </c>
      <c r="G314" s="5">
        <v>60</v>
      </c>
      <c r="H314" s="5">
        <v>0</v>
      </c>
      <c r="I314" s="6">
        <v>46166</v>
      </c>
      <c r="J314" s="6">
        <v>46174</v>
      </c>
      <c r="K314" s="10" t="s">
        <v>15</v>
      </c>
      <c r="L314" s="16">
        <f t="shared" si="4"/>
        <v>540</v>
      </c>
      <c r="M314" s="14" t="str" cm="1">
        <f t="array" ref="M314">_xlfn.IFS(L314&gt;=100000, "Excellent", AND(L314&lt;100000, L314&gt;=50000), "Very Good", AND(L314&lt;50000, L314&gt;=20000), "Good", L314&lt;20000, "Average")</f>
        <v>Average</v>
      </c>
    </row>
    <row r="315" spans="1:13" ht="15" thickBot="1" x14ac:dyDescent="0.4">
      <c r="A315" s="5">
        <v>1095</v>
      </c>
      <c r="B315" s="5" t="s">
        <v>47</v>
      </c>
      <c r="C315" s="5" t="s">
        <v>25</v>
      </c>
      <c r="D315" s="5" t="s">
        <v>34</v>
      </c>
      <c r="E315" s="5" t="s">
        <v>41</v>
      </c>
      <c r="F315" s="5">
        <v>18</v>
      </c>
      <c r="G315" s="5">
        <v>587</v>
      </c>
      <c r="H315" s="5">
        <v>2</v>
      </c>
      <c r="I315" s="6">
        <v>46167</v>
      </c>
      <c r="J315" s="6">
        <v>46171</v>
      </c>
      <c r="K315" s="10" t="s">
        <v>20</v>
      </c>
      <c r="L315" s="16">
        <f t="shared" si="4"/>
        <v>10354.68</v>
      </c>
      <c r="M315" s="14" t="str" cm="1">
        <f t="array" ref="M315">_xlfn.IFS(L315&gt;=100000, "Excellent", AND(L315&lt;100000, L315&gt;=50000), "Very Good", AND(L315&lt;50000, L315&gt;=20000), "Good", L315&lt;20000, "Average")</f>
        <v>Average</v>
      </c>
    </row>
    <row r="316" spans="1:13" ht="15" thickBot="1" x14ac:dyDescent="0.4">
      <c r="A316" s="5">
        <v>1131</v>
      </c>
      <c r="B316" s="5" t="s">
        <v>21</v>
      </c>
      <c r="C316" s="5" t="s">
        <v>31</v>
      </c>
      <c r="D316" s="5" t="s">
        <v>18</v>
      </c>
      <c r="E316" s="5" t="s">
        <v>23</v>
      </c>
      <c r="F316" s="5">
        <v>13</v>
      </c>
      <c r="G316" s="5">
        <v>3083</v>
      </c>
      <c r="H316" s="5">
        <v>7</v>
      </c>
      <c r="I316" s="6">
        <v>46168</v>
      </c>
      <c r="J316" s="6">
        <v>46173</v>
      </c>
      <c r="K316" s="10" t="s">
        <v>51</v>
      </c>
      <c r="L316" s="16">
        <f t="shared" si="4"/>
        <v>37273.469999999994</v>
      </c>
      <c r="M316" s="14" t="str" cm="1">
        <f t="array" ref="M316">_xlfn.IFS(L316&gt;=100000, "Excellent", AND(L316&lt;100000, L316&gt;=50000), "Very Good", AND(L316&lt;50000, L316&gt;=20000), "Good", L316&lt;20000, "Average")</f>
        <v>Good</v>
      </c>
    </row>
    <row r="317" spans="1:13" ht="15" thickBot="1" x14ac:dyDescent="0.4">
      <c r="A317" s="5">
        <v>1335</v>
      </c>
      <c r="B317" s="5" t="s">
        <v>47</v>
      </c>
      <c r="C317" s="5" t="s">
        <v>17</v>
      </c>
      <c r="D317" s="5" t="s">
        <v>18</v>
      </c>
      <c r="E317" s="5" t="s">
        <v>19</v>
      </c>
      <c r="F317" s="5">
        <v>9</v>
      </c>
      <c r="G317" s="5">
        <v>1495</v>
      </c>
      <c r="H317" s="5">
        <v>12</v>
      </c>
      <c r="I317" s="6">
        <v>46168</v>
      </c>
      <c r="J317" s="6">
        <v>46173</v>
      </c>
      <c r="K317" s="10" t="s">
        <v>15</v>
      </c>
      <c r="L317" s="16">
        <f t="shared" si="4"/>
        <v>11840.4</v>
      </c>
      <c r="M317" s="14" t="str" cm="1">
        <f t="array" ref="M317">_xlfn.IFS(L317&gt;=100000, "Excellent", AND(L317&lt;100000, L317&gt;=50000), "Very Good", AND(L317&lt;50000, L317&gt;=20000), "Good", L317&lt;20000, "Average")</f>
        <v>Average</v>
      </c>
    </row>
    <row r="318" spans="1:13" ht="15" thickBot="1" x14ac:dyDescent="0.4">
      <c r="A318" s="5">
        <v>1286</v>
      </c>
      <c r="B318" s="5" t="s">
        <v>46</v>
      </c>
      <c r="C318" s="5" t="s">
        <v>17</v>
      </c>
      <c r="D318" s="5" t="s">
        <v>18</v>
      </c>
      <c r="E318" s="5" t="s">
        <v>56</v>
      </c>
      <c r="F318" s="5">
        <v>9</v>
      </c>
      <c r="G318" s="5">
        <v>1340</v>
      </c>
      <c r="H318" s="5">
        <v>2</v>
      </c>
      <c r="I318" s="6">
        <v>46168</v>
      </c>
      <c r="J318" s="6">
        <v>46173</v>
      </c>
      <c r="K318" s="10" t="s">
        <v>15</v>
      </c>
      <c r="L318" s="16">
        <f t="shared" si="4"/>
        <v>11818.8</v>
      </c>
      <c r="M318" s="14" t="str" cm="1">
        <f t="array" ref="M318">_xlfn.IFS(L318&gt;=100000, "Excellent", AND(L318&lt;100000, L318&gt;=50000), "Very Good", AND(L318&lt;50000, L318&gt;=20000), "Good", L318&lt;20000, "Average")</f>
        <v>Average</v>
      </c>
    </row>
    <row r="319" spans="1:13" ht="15" thickBot="1" x14ac:dyDescent="0.4">
      <c r="A319" s="5">
        <v>1177</v>
      </c>
      <c r="B319" s="5" t="s">
        <v>29</v>
      </c>
      <c r="C319" s="5" t="s">
        <v>22</v>
      </c>
      <c r="D319" s="5" t="s">
        <v>18</v>
      </c>
      <c r="E319" s="5" t="s">
        <v>19</v>
      </c>
      <c r="F319" s="5">
        <v>14</v>
      </c>
      <c r="G319" s="5">
        <v>7501</v>
      </c>
      <c r="H319" s="5">
        <v>7</v>
      </c>
      <c r="I319" s="6">
        <v>46169</v>
      </c>
      <c r="J319" s="6">
        <v>46179</v>
      </c>
      <c r="K319" s="10" t="s">
        <v>20</v>
      </c>
      <c r="L319" s="16">
        <f t="shared" si="4"/>
        <v>97663.01999999999</v>
      </c>
      <c r="M319" s="14" t="str" cm="1">
        <f t="array" ref="M319">_xlfn.IFS(L319&gt;=100000, "Excellent", AND(L319&lt;100000, L319&gt;=50000), "Very Good", AND(L319&lt;50000, L319&gt;=20000), "Good", L319&lt;20000, "Average")</f>
        <v>Very Good</v>
      </c>
    </row>
    <row r="320" spans="1:13" ht="15" thickBot="1" x14ac:dyDescent="0.4">
      <c r="A320" s="5">
        <v>1318</v>
      </c>
      <c r="B320" s="5" t="s">
        <v>11</v>
      </c>
      <c r="C320" s="5" t="s">
        <v>43</v>
      </c>
      <c r="D320" s="5" t="s">
        <v>13</v>
      </c>
      <c r="E320" s="5" t="s">
        <v>50</v>
      </c>
      <c r="F320" s="5">
        <v>4</v>
      </c>
      <c r="G320" s="5">
        <v>38</v>
      </c>
      <c r="H320" s="5">
        <v>12</v>
      </c>
      <c r="I320" s="6">
        <v>46169</v>
      </c>
      <c r="J320" s="6">
        <v>46175</v>
      </c>
      <c r="K320" s="10" t="s">
        <v>29</v>
      </c>
      <c r="L320" s="16">
        <f t="shared" si="4"/>
        <v>133.76</v>
      </c>
      <c r="M320" s="14" t="str" cm="1">
        <f t="array" ref="M320">_xlfn.IFS(L320&gt;=100000, "Excellent", AND(L320&lt;100000, L320&gt;=50000), "Very Good", AND(L320&lt;50000, L320&gt;=20000), "Good", L320&lt;20000, "Average")</f>
        <v>Average</v>
      </c>
    </row>
    <row r="321" spans="1:13" ht="15" thickBot="1" x14ac:dyDescent="0.4">
      <c r="A321" s="5">
        <v>1079</v>
      </c>
      <c r="B321" s="5" t="s">
        <v>26</v>
      </c>
      <c r="C321" s="5" t="s">
        <v>38</v>
      </c>
      <c r="D321" s="5" t="s">
        <v>34</v>
      </c>
      <c r="E321" s="5" t="s">
        <v>41</v>
      </c>
      <c r="F321" s="5">
        <v>19</v>
      </c>
      <c r="G321" s="5">
        <v>48956</v>
      </c>
      <c r="H321" s="5">
        <v>12</v>
      </c>
      <c r="I321" s="6">
        <v>46170</v>
      </c>
      <c r="J321" s="6">
        <v>46177</v>
      </c>
      <c r="K321" s="10" t="s">
        <v>51</v>
      </c>
      <c r="L321" s="16">
        <f t="shared" si="4"/>
        <v>818544.32</v>
      </c>
      <c r="M321" s="14" t="str" cm="1">
        <f t="array" ref="M321">_xlfn.IFS(L321&gt;=100000, "Excellent", AND(L321&lt;100000, L321&gt;=50000), "Very Good", AND(L321&lt;50000, L321&gt;=20000), "Good", L321&lt;20000, "Average")</f>
        <v>Excellent</v>
      </c>
    </row>
    <row r="322" spans="1:13" ht="15" thickBot="1" x14ac:dyDescent="0.4">
      <c r="A322" s="5">
        <v>1127</v>
      </c>
      <c r="B322" s="5" t="s">
        <v>26</v>
      </c>
      <c r="C322" s="5" t="s">
        <v>33</v>
      </c>
      <c r="D322" s="5" t="s">
        <v>18</v>
      </c>
      <c r="E322" s="5" t="s">
        <v>28</v>
      </c>
      <c r="F322" s="5">
        <v>15</v>
      </c>
      <c r="G322" s="5">
        <v>11694</v>
      </c>
      <c r="H322" s="5">
        <v>12</v>
      </c>
      <c r="I322" s="6">
        <v>46170</v>
      </c>
      <c r="J322" s="6">
        <v>46179</v>
      </c>
      <c r="K322" s="10" t="s">
        <v>29</v>
      </c>
      <c r="L322" s="16">
        <f t="shared" si="4"/>
        <v>154360.79999999999</v>
      </c>
      <c r="M322" s="14" t="str" cm="1">
        <f t="array" ref="M322">_xlfn.IFS(L322&gt;=100000, "Excellent", AND(L322&lt;100000, L322&gt;=50000), "Very Good", AND(L322&lt;50000, L322&gt;=20000), "Good", L322&lt;20000, "Average")</f>
        <v>Excellent</v>
      </c>
    </row>
    <row r="323" spans="1:13" ht="15" thickBot="1" x14ac:dyDescent="0.4">
      <c r="A323" s="5">
        <v>1398</v>
      </c>
      <c r="B323" s="5" t="s">
        <v>58</v>
      </c>
      <c r="C323" s="5" t="s">
        <v>43</v>
      </c>
      <c r="D323" s="5" t="s">
        <v>34</v>
      </c>
      <c r="E323" s="5" t="s">
        <v>39</v>
      </c>
      <c r="F323" s="5">
        <v>12</v>
      </c>
      <c r="G323" s="5">
        <v>10668</v>
      </c>
      <c r="H323" s="5">
        <v>0</v>
      </c>
      <c r="I323" s="6">
        <v>46170</v>
      </c>
      <c r="J323" s="6">
        <v>46176</v>
      </c>
      <c r="K323" s="10" t="s">
        <v>15</v>
      </c>
      <c r="L323" s="16">
        <f t="shared" ref="L323:L386" si="5">F323*G323*(1-H323/100)</f>
        <v>128016</v>
      </c>
      <c r="M323" s="14" t="str" cm="1">
        <f t="array" ref="M323">_xlfn.IFS(L323&gt;=100000, "Excellent", AND(L323&lt;100000, L323&gt;=50000), "Very Good", AND(L323&lt;50000, L323&gt;=20000), "Good", L323&lt;20000, "Average")</f>
        <v>Excellent</v>
      </c>
    </row>
    <row r="324" spans="1:13" ht="15" thickBot="1" x14ac:dyDescent="0.4">
      <c r="A324" s="5">
        <v>1220</v>
      </c>
      <c r="B324" s="5" t="s">
        <v>11</v>
      </c>
      <c r="C324" s="5" t="s">
        <v>25</v>
      </c>
      <c r="D324" s="5" t="s">
        <v>18</v>
      </c>
      <c r="E324" s="5" t="s">
        <v>56</v>
      </c>
      <c r="F324" s="5">
        <v>2</v>
      </c>
      <c r="G324" s="5">
        <v>8861</v>
      </c>
      <c r="H324" s="5">
        <v>2</v>
      </c>
      <c r="I324" s="6">
        <v>46170</v>
      </c>
      <c r="J324" s="6">
        <v>46174</v>
      </c>
      <c r="K324" s="10" t="s">
        <v>24</v>
      </c>
      <c r="L324" s="16">
        <f t="shared" si="5"/>
        <v>17367.560000000001</v>
      </c>
      <c r="M324" s="14" t="str" cm="1">
        <f t="array" ref="M324">_xlfn.IFS(L324&gt;=100000, "Excellent", AND(L324&lt;100000, L324&gt;=50000), "Very Good", AND(L324&lt;50000, L324&gt;=20000), "Good", L324&lt;20000, "Average")</f>
        <v>Average</v>
      </c>
    </row>
    <row r="325" spans="1:13" ht="15" thickBot="1" x14ac:dyDescent="0.4">
      <c r="A325" s="5">
        <v>1040</v>
      </c>
      <c r="B325" s="5" t="s">
        <v>49</v>
      </c>
      <c r="C325" s="5" t="s">
        <v>38</v>
      </c>
      <c r="D325" s="5" t="s">
        <v>18</v>
      </c>
      <c r="E325" s="5" t="s">
        <v>28</v>
      </c>
      <c r="F325" s="5">
        <v>10</v>
      </c>
      <c r="G325" s="5">
        <v>7531</v>
      </c>
      <c r="H325" s="5">
        <v>2</v>
      </c>
      <c r="I325" s="6">
        <v>46171</v>
      </c>
      <c r="J325" s="6">
        <v>46178</v>
      </c>
      <c r="K325" s="10" t="s">
        <v>24</v>
      </c>
      <c r="L325" s="16">
        <f t="shared" si="5"/>
        <v>73803.8</v>
      </c>
      <c r="M325" s="14" t="str" cm="1">
        <f t="array" ref="M325">_xlfn.IFS(L325&gt;=100000, "Excellent", AND(L325&lt;100000, L325&gt;=50000), "Very Good", AND(L325&lt;50000, L325&gt;=20000), "Good", L325&lt;20000, "Average")</f>
        <v>Very Good</v>
      </c>
    </row>
    <row r="326" spans="1:13" ht="15" thickBot="1" x14ac:dyDescent="0.4">
      <c r="A326" s="5">
        <v>1087</v>
      </c>
      <c r="B326" s="5" t="s">
        <v>11</v>
      </c>
      <c r="C326" s="5" t="s">
        <v>31</v>
      </c>
      <c r="D326" s="5" t="s">
        <v>13</v>
      </c>
      <c r="E326" s="5" t="s">
        <v>37</v>
      </c>
      <c r="F326" s="5">
        <v>13</v>
      </c>
      <c r="G326" s="5">
        <v>387</v>
      </c>
      <c r="H326" s="5">
        <v>7</v>
      </c>
      <c r="I326" s="6">
        <v>46171</v>
      </c>
      <c r="J326" s="6">
        <v>46176</v>
      </c>
      <c r="K326" s="10" t="s">
        <v>24</v>
      </c>
      <c r="L326" s="16">
        <f t="shared" si="5"/>
        <v>4678.83</v>
      </c>
      <c r="M326" s="14" t="str" cm="1">
        <f t="array" ref="M326">_xlfn.IFS(L326&gt;=100000, "Excellent", AND(L326&lt;100000, L326&gt;=50000), "Very Good", AND(L326&lt;50000, L326&gt;=20000), "Good", L326&lt;20000, "Average")</f>
        <v>Average</v>
      </c>
    </row>
    <row r="327" spans="1:13" ht="15" thickBot="1" x14ac:dyDescent="0.4">
      <c r="A327" s="5">
        <v>1005</v>
      </c>
      <c r="B327" s="5" t="s">
        <v>26</v>
      </c>
      <c r="C327" s="5" t="s">
        <v>17</v>
      </c>
      <c r="D327" s="5" t="s">
        <v>13</v>
      </c>
      <c r="E327" s="5" t="s">
        <v>14</v>
      </c>
      <c r="F327" s="5">
        <v>18</v>
      </c>
      <c r="G327" s="5">
        <v>70</v>
      </c>
      <c r="H327" s="5">
        <v>0</v>
      </c>
      <c r="I327" s="6">
        <v>46171</v>
      </c>
      <c r="J327" s="6">
        <v>46179</v>
      </c>
      <c r="K327" s="10" t="s">
        <v>24</v>
      </c>
      <c r="L327" s="16">
        <f t="shared" si="5"/>
        <v>1260</v>
      </c>
      <c r="M327" s="14" t="str" cm="1">
        <f t="array" ref="M327">_xlfn.IFS(L327&gt;=100000, "Excellent", AND(L327&lt;100000, L327&gt;=50000), "Very Good", AND(L327&lt;50000, L327&gt;=20000), "Good", L327&lt;20000, "Average")</f>
        <v>Average</v>
      </c>
    </row>
    <row r="328" spans="1:13" ht="15" thickBot="1" x14ac:dyDescent="0.4">
      <c r="A328" s="5">
        <v>1217</v>
      </c>
      <c r="B328" s="5" t="s">
        <v>30</v>
      </c>
      <c r="C328" s="5" t="s">
        <v>22</v>
      </c>
      <c r="D328" s="5" t="s">
        <v>13</v>
      </c>
      <c r="E328" s="5" t="s">
        <v>50</v>
      </c>
      <c r="F328" s="5">
        <v>18</v>
      </c>
      <c r="G328" s="5">
        <v>60</v>
      </c>
      <c r="H328" s="5">
        <v>0</v>
      </c>
      <c r="I328" s="6">
        <v>46171</v>
      </c>
      <c r="J328" s="6">
        <v>46172</v>
      </c>
      <c r="K328" s="10" t="s">
        <v>29</v>
      </c>
      <c r="L328" s="16">
        <f t="shared" si="5"/>
        <v>1080</v>
      </c>
      <c r="M328" s="14" t="str" cm="1">
        <f t="array" ref="M328">_xlfn.IFS(L328&gt;=100000, "Excellent", AND(L328&lt;100000, L328&gt;=50000), "Very Good", AND(L328&lt;50000, L328&gt;=20000), "Good", L328&lt;20000, "Average")</f>
        <v>Average</v>
      </c>
    </row>
    <row r="329" spans="1:13" ht="15" thickBot="1" x14ac:dyDescent="0.4">
      <c r="A329" s="5">
        <v>1259</v>
      </c>
      <c r="B329" s="5" t="s">
        <v>42</v>
      </c>
      <c r="C329" s="5" t="s">
        <v>22</v>
      </c>
      <c r="D329" s="5" t="s">
        <v>34</v>
      </c>
      <c r="E329" s="5" t="s">
        <v>45</v>
      </c>
      <c r="F329" s="5">
        <v>10</v>
      </c>
      <c r="G329" s="5">
        <v>38771</v>
      </c>
      <c r="H329" s="5">
        <v>15</v>
      </c>
      <c r="I329" s="6">
        <v>46172</v>
      </c>
      <c r="J329" s="6">
        <v>46182</v>
      </c>
      <c r="K329" s="10" t="s">
        <v>15</v>
      </c>
      <c r="L329" s="16">
        <f t="shared" si="5"/>
        <v>329553.5</v>
      </c>
      <c r="M329" s="14" t="str" cm="1">
        <f t="array" ref="M329">_xlfn.IFS(L329&gt;=100000, "Excellent", AND(L329&lt;100000, L329&gt;=50000), "Very Good", AND(L329&lt;50000, L329&gt;=20000), "Good", L329&lt;20000, "Average")</f>
        <v>Excellent</v>
      </c>
    </row>
    <row r="330" spans="1:13" ht="15" thickBot="1" x14ac:dyDescent="0.4">
      <c r="A330" s="5">
        <v>1273</v>
      </c>
      <c r="B330" s="5" t="s">
        <v>46</v>
      </c>
      <c r="C330" s="5" t="s">
        <v>25</v>
      </c>
      <c r="D330" s="5" t="s">
        <v>34</v>
      </c>
      <c r="E330" s="5" t="s">
        <v>39</v>
      </c>
      <c r="F330" s="5">
        <v>12</v>
      </c>
      <c r="G330" s="5">
        <v>20618</v>
      </c>
      <c r="H330" s="5">
        <v>12</v>
      </c>
      <c r="I330" s="6">
        <v>46172</v>
      </c>
      <c r="J330" s="6">
        <v>46174</v>
      </c>
      <c r="K330" s="10" t="s">
        <v>20</v>
      </c>
      <c r="L330" s="16">
        <f t="shared" si="5"/>
        <v>217726.07999999999</v>
      </c>
      <c r="M330" s="14" t="str" cm="1">
        <f t="array" ref="M330">_xlfn.IFS(L330&gt;=100000, "Excellent", AND(L330&lt;100000, L330&gt;=50000), "Very Good", AND(L330&lt;50000, L330&gt;=20000), "Good", L330&lt;20000, "Average")</f>
        <v>Excellent</v>
      </c>
    </row>
    <row r="331" spans="1:13" ht="15" thickBot="1" x14ac:dyDescent="0.4">
      <c r="A331" s="5">
        <v>1235</v>
      </c>
      <c r="B331" s="5" t="s">
        <v>57</v>
      </c>
      <c r="C331" s="5" t="s">
        <v>25</v>
      </c>
      <c r="D331" s="5" t="s">
        <v>13</v>
      </c>
      <c r="E331" s="5" t="s">
        <v>50</v>
      </c>
      <c r="F331" s="5">
        <v>15</v>
      </c>
      <c r="G331" s="5">
        <v>267</v>
      </c>
      <c r="H331" s="5">
        <v>15</v>
      </c>
      <c r="I331" s="6">
        <v>46172</v>
      </c>
      <c r="J331" s="6">
        <v>46177</v>
      </c>
      <c r="K331" s="10" t="s">
        <v>29</v>
      </c>
      <c r="L331" s="16">
        <f t="shared" si="5"/>
        <v>3404.25</v>
      </c>
      <c r="M331" s="14" t="str" cm="1">
        <f t="array" ref="M331">_xlfn.IFS(L331&gt;=100000, "Excellent", AND(L331&lt;100000, L331&gt;=50000), "Very Good", AND(L331&lt;50000, L331&gt;=20000), "Good", L331&lt;20000, "Average")</f>
        <v>Average</v>
      </c>
    </row>
    <row r="332" spans="1:13" ht="15" thickBot="1" x14ac:dyDescent="0.4">
      <c r="A332" s="5">
        <v>1044</v>
      </c>
      <c r="B332" s="5" t="s">
        <v>48</v>
      </c>
      <c r="C332" s="5" t="s">
        <v>38</v>
      </c>
      <c r="D332" s="5" t="s">
        <v>18</v>
      </c>
      <c r="E332" s="5" t="s">
        <v>19</v>
      </c>
      <c r="F332" s="5">
        <v>4</v>
      </c>
      <c r="G332" s="5">
        <v>14731</v>
      </c>
      <c r="H332" s="5">
        <v>2</v>
      </c>
      <c r="I332" s="6">
        <v>46173</v>
      </c>
      <c r="J332" s="6">
        <v>46176</v>
      </c>
      <c r="K332" s="10" t="s">
        <v>20</v>
      </c>
      <c r="L332" s="16">
        <f t="shared" si="5"/>
        <v>57745.52</v>
      </c>
      <c r="M332" s="14" t="str" cm="1">
        <f t="array" ref="M332">_xlfn.IFS(L332&gt;=100000, "Excellent", AND(L332&lt;100000, L332&gt;=50000), "Very Good", AND(L332&lt;50000, L332&gt;=20000), "Good", L332&lt;20000, "Average")</f>
        <v>Very Good</v>
      </c>
    </row>
    <row r="333" spans="1:13" ht="15" thickBot="1" x14ac:dyDescent="0.4">
      <c r="A333" s="5">
        <v>1247</v>
      </c>
      <c r="B333" s="5" t="s">
        <v>26</v>
      </c>
      <c r="C333" s="5" t="s">
        <v>12</v>
      </c>
      <c r="D333" s="5" t="s">
        <v>13</v>
      </c>
      <c r="E333" s="5" t="s">
        <v>50</v>
      </c>
      <c r="F333" s="5">
        <v>10</v>
      </c>
      <c r="G333" s="5">
        <v>336</v>
      </c>
      <c r="H333" s="5">
        <v>7</v>
      </c>
      <c r="I333" s="6">
        <v>46173</v>
      </c>
      <c r="J333" s="6">
        <v>46175</v>
      </c>
      <c r="K333" s="10" t="s">
        <v>20</v>
      </c>
      <c r="L333" s="16">
        <f t="shared" si="5"/>
        <v>3124.7999999999997</v>
      </c>
      <c r="M333" s="14" t="str" cm="1">
        <f t="array" ref="M333">_xlfn.IFS(L333&gt;=100000, "Excellent", AND(L333&lt;100000, L333&gt;=50000), "Very Good", AND(L333&lt;50000, L333&gt;=20000), "Good", L333&lt;20000, "Average")</f>
        <v>Average</v>
      </c>
    </row>
    <row r="334" spans="1:13" ht="15" thickBot="1" x14ac:dyDescent="0.4">
      <c r="A334" s="5">
        <v>1311</v>
      </c>
      <c r="B334" s="5" t="s">
        <v>55</v>
      </c>
      <c r="C334" s="5" t="s">
        <v>12</v>
      </c>
      <c r="D334" s="5" t="s">
        <v>13</v>
      </c>
      <c r="E334" s="5" t="s">
        <v>14</v>
      </c>
      <c r="F334" s="5">
        <v>2</v>
      </c>
      <c r="G334" s="5">
        <v>209</v>
      </c>
      <c r="H334" s="5">
        <v>0</v>
      </c>
      <c r="I334" s="6">
        <v>46173</v>
      </c>
      <c r="J334" s="6">
        <v>46176</v>
      </c>
      <c r="K334" s="10" t="s">
        <v>20</v>
      </c>
      <c r="L334" s="16">
        <f t="shared" si="5"/>
        <v>418</v>
      </c>
      <c r="M334" s="14" t="str" cm="1">
        <f t="array" ref="M334">_xlfn.IFS(L334&gt;=100000, "Excellent", AND(L334&lt;100000, L334&gt;=50000), "Very Good", AND(L334&lt;50000, L334&gt;=20000), "Good", L334&lt;20000, "Average")</f>
        <v>Average</v>
      </c>
    </row>
    <row r="335" spans="1:13" ht="15" thickBot="1" x14ac:dyDescent="0.4">
      <c r="A335" s="5">
        <v>1343</v>
      </c>
      <c r="B335" s="5" t="s">
        <v>59</v>
      </c>
      <c r="C335" s="5" t="s">
        <v>31</v>
      </c>
      <c r="D335" s="5" t="s">
        <v>34</v>
      </c>
      <c r="E335" s="5" t="s">
        <v>39</v>
      </c>
      <c r="F335" s="5">
        <v>14</v>
      </c>
      <c r="G335" s="5">
        <v>32719</v>
      </c>
      <c r="H335" s="5">
        <v>15</v>
      </c>
      <c r="I335" s="6">
        <v>46174</v>
      </c>
      <c r="J335" s="6">
        <v>46179</v>
      </c>
      <c r="K335" s="10" t="s">
        <v>15</v>
      </c>
      <c r="L335" s="16">
        <f t="shared" si="5"/>
        <v>389356.1</v>
      </c>
      <c r="M335" s="14" t="str" cm="1">
        <f t="array" ref="M335">_xlfn.IFS(L335&gt;=100000, "Excellent", AND(L335&lt;100000, L335&gt;=50000), "Very Good", AND(L335&lt;50000, L335&gt;=20000), "Good", L335&lt;20000, "Average")</f>
        <v>Excellent</v>
      </c>
    </row>
    <row r="336" spans="1:13" ht="15" thickBot="1" x14ac:dyDescent="0.4">
      <c r="A336" s="5">
        <v>1002</v>
      </c>
      <c r="B336" s="5" t="s">
        <v>16</v>
      </c>
      <c r="C336" s="5" t="s">
        <v>17</v>
      </c>
      <c r="D336" s="5" t="s">
        <v>18</v>
      </c>
      <c r="E336" s="5" t="s">
        <v>19</v>
      </c>
      <c r="F336" s="5">
        <v>7</v>
      </c>
      <c r="G336" s="5">
        <v>8448</v>
      </c>
      <c r="H336" s="5">
        <v>12</v>
      </c>
      <c r="I336" s="6">
        <v>46174</v>
      </c>
      <c r="J336" s="6">
        <v>46179</v>
      </c>
      <c r="K336" s="10" t="s">
        <v>20</v>
      </c>
      <c r="L336" s="16">
        <f t="shared" si="5"/>
        <v>52039.68</v>
      </c>
      <c r="M336" s="14" t="str" cm="1">
        <f t="array" ref="M336">_xlfn.IFS(L336&gt;=100000, "Excellent", AND(L336&lt;100000, L336&gt;=50000), "Very Good", AND(L336&lt;50000, L336&gt;=20000), "Good", L336&lt;20000, "Average")</f>
        <v>Very Good</v>
      </c>
    </row>
    <row r="337" spans="1:13" ht="15" thickBot="1" x14ac:dyDescent="0.4">
      <c r="A337" s="5">
        <v>1262</v>
      </c>
      <c r="B337" s="5" t="s">
        <v>16</v>
      </c>
      <c r="C337" s="5" t="s">
        <v>22</v>
      </c>
      <c r="D337" s="5" t="s">
        <v>18</v>
      </c>
      <c r="E337" s="5" t="s">
        <v>28</v>
      </c>
      <c r="F337" s="5">
        <v>9</v>
      </c>
      <c r="G337" s="5">
        <v>2231</v>
      </c>
      <c r="H337" s="5">
        <v>15</v>
      </c>
      <c r="I337" s="6">
        <v>46174</v>
      </c>
      <c r="J337" s="6">
        <v>46183</v>
      </c>
      <c r="K337" s="10" t="s">
        <v>15</v>
      </c>
      <c r="L337" s="16">
        <f t="shared" si="5"/>
        <v>17067.149999999998</v>
      </c>
      <c r="M337" s="14" t="str" cm="1">
        <f t="array" ref="M337">_xlfn.IFS(L337&gt;=100000, "Excellent", AND(L337&lt;100000, L337&gt;=50000), "Very Good", AND(L337&lt;50000, L337&gt;=20000), "Good", L337&lt;20000, "Average")</f>
        <v>Average</v>
      </c>
    </row>
    <row r="338" spans="1:13" ht="15" thickBot="1" x14ac:dyDescent="0.4">
      <c r="A338" s="5">
        <v>1015</v>
      </c>
      <c r="B338" s="5" t="s">
        <v>42</v>
      </c>
      <c r="C338" s="5" t="s">
        <v>43</v>
      </c>
      <c r="D338" s="5" t="s">
        <v>18</v>
      </c>
      <c r="E338" s="5" t="s">
        <v>44</v>
      </c>
      <c r="F338" s="5">
        <v>11</v>
      </c>
      <c r="G338" s="5">
        <v>14511</v>
      </c>
      <c r="H338" s="5">
        <v>2</v>
      </c>
      <c r="I338" s="6">
        <v>46175</v>
      </c>
      <c r="J338" s="6">
        <v>46185</v>
      </c>
      <c r="K338" s="10" t="s">
        <v>20</v>
      </c>
      <c r="L338" s="16">
        <f t="shared" si="5"/>
        <v>156428.57999999999</v>
      </c>
      <c r="M338" s="14" t="str" cm="1">
        <f t="array" ref="M338">_xlfn.IFS(L338&gt;=100000, "Excellent", AND(L338&lt;100000, L338&gt;=50000), "Very Good", AND(L338&lt;50000, L338&gt;=20000), "Good", L338&lt;20000, "Average")</f>
        <v>Excellent</v>
      </c>
    </row>
    <row r="339" spans="1:13" ht="15" thickBot="1" x14ac:dyDescent="0.4">
      <c r="A339" s="5">
        <v>1093</v>
      </c>
      <c r="B339" s="5" t="s">
        <v>47</v>
      </c>
      <c r="C339" s="5" t="s">
        <v>25</v>
      </c>
      <c r="D339" s="5" t="s">
        <v>18</v>
      </c>
      <c r="E339" s="5" t="s">
        <v>23</v>
      </c>
      <c r="F339" s="5">
        <v>6</v>
      </c>
      <c r="G339" s="5">
        <v>8224</v>
      </c>
      <c r="H339" s="5">
        <v>15</v>
      </c>
      <c r="I339" s="6">
        <v>46175</v>
      </c>
      <c r="J339" s="6">
        <v>46185</v>
      </c>
      <c r="K339" s="10" t="s">
        <v>51</v>
      </c>
      <c r="L339" s="16">
        <f t="shared" si="5"/>
        <v>41942.400000000001</v>
      </c>
      <c r="M339" s="14" t="str" cm="1">
        <f t="array" ref="M339">_xlfn.IFS(L339&gt;=100000, "Excellent", AND(L339&lt;100000, L339&gt;=50000), "Very Good", AND(L339&lt;50000, L339&gt;=20000), "Good", L339&lt;20000, "Average")</f>
        <v>Good</v>
      </c>
    </row>
    <row r="340" spans="1:13" ht="15" thickBot="1" x14ac:dyDescent="0.4">
      <c r="A340" s="5">
        <v>1025</v>
      </c>
      <c r="B340" s="5" t="s">
        <v>21</v>
      </c>
      <c r="C340" s="5" t="s">
        <v>12</v>
      </c>
      <c r="D340" s="5" t="s">
        <v>18</v>
      </c>
      <c r="E340" s="5" t="s">
        <v>19</v>
      </c>
      <c r="F340" s="5">
        <v>18</v>
      </c>
      <c r="G340" s="5">
        <v>7924</v>
      </c>
      <c r="H340" s="5">
        <v>0</v>
      </c>
      <c r="I340" s="6">
        <v>46175</v>
      </c>
      <c r="J340" s="6">
        <v>46181</v>
      </c>
      <c r="K340" s="10" t="s">
        <v>15</v>
      </c>
      <c r="L340" s="16">
        <f t="shared" si="5"/>
        <v>142632</v>
      </c>
      <c r="M340" s="14" t="str" cm="1">
        <f t="array" ref="M340">_xlfn.IFS(L340&gt;=100000, "Excellent", AND(L340&lt;100000, L340&gt;=50000), "Very Good", AND(L340&lt;50000, L340&gt;=20000), "Good", L340&lt;20000, "Average")</f>
        <v>Excellent</v>
      </c>
    </row>
    <row r="341" spans="1:13" ht="15" thickBot="1" x14ac:dyDescent="0.4">
      <c r="A341" s="5">
        <v>1211</v>
      </c>
      <c r="B341" s="5" t="s">
        <v>48</v>
      </c>
      <c r="C341" s="5" t="s">
        <v>17</v>
      </c>
      <c r="D341" s="5" t="s">
        <v>34</v>
      </c>
      <c r="E341" s="5" t="s">
        <v>35</v>
      </c>
      <c r="F341" s="5">
        <v>3</v>
      </c>
      <c r="G341" s="5">
        <v>5962</v>
      </c>
      <c r="H341" s="5">
        <v>7</v>
      </c>
      <c r="I341" s="6">
        <v>46175</v>
      </c>
      <c r="J341" s="6">
        <v>46183</v>
      </c>
      <c r="K341" s="10" t="s">
        <v>15</v>
      </c>
      <c r="L341" s="16">
        <f t="shared" si="5"/>
        <v>16633.98</v>
      </c>
      <c r="M341" s="14" t="str" cm="1">
        <f t="array" ref="M341">_xlfn.IFS(L341&gt;=100000, "Excellent", AND(L341&lt;100000, L341&gt;=50000), "Very Good", AND(L341&lt;50000, L341&gt;=20000), "Good", L341&lt;20000, "Average")</f>
        <v>Average</v>
      </c>
    </row>
    <row r="342" spans="1:13" ht="15" thickBot="1" x14ac:dyDescent="0.4">
      <c r="A342" s="5">
        <v>1245</v>
      </c>
      <c r="B342" s="5" t="s">
        <v>55</v>
      </c>
      <c r="C342" s="5" t="s">
        <v>43</v>
      </c>
      <c r="D342" s="5" t="s">
        <v>34</v>
      </c>
      <c r="E342" s="5" t="s">
        <v>41</v>
      </c>
      <c r="F342" s="5">
        <v>19</v>
      </c>
      <c r="G342" s="5">
        <v>69029</v>
      </c>
      <c r="H342" s="5">
        <v>7</v>
      </c>
      <c r="I342" s="6">
        <v>46176</v>
      </c>
      <c r="J342" s="6">
        <v>46179</v>
      </c>
      <c r="K342" s="10" t="s">
        <v>29</v>
      </c>
      <c r="L342" s="16">
        <f t="shared" si="5"/>
        <v>1219742.43</v>
      </c>
      <c r="M342" s="14" t="str" cm="1">
        <f t="array" ref="M342">_xlfn.IFS(L342&gt;=100000, "Excellent", AND(L342&lt;100000, L342&gt;=50000), "Very Good", AND(L342&lt;50000, L342&gt;=20000), "Good", L342&lt;20000, "Average")</f>
        <v>Excellent</v>
      </c>
    </row>
    <row r="343" spans="1:13" ht="15" thickBot="1" x14ac:dyDescent="0.4">
      <c r="A343" s="5">
        <v>1282</v>
      </c>
      <c r="B343" s="5" t="s">
        <v>57</v>
      </c>
      <c r="C343" s="5" t="s">
        <v>43</v>
      </c>
      <c r="D343" s="5" t="s">
        <v>18</v>
      </c>
      <c r="E343" s="5" t="s">
        <v>44</v>
      </c>
      <c r="F343" s="5">
        <v>12</v>
      </c>
      <c r="G343" s="5">
        <v>3178</v>
      </c>
      <c r="H343" s="5">
        <v>10</v>
      </c>
      <c r="I343" s="6">
        <v>46176</v>
      </c>
      <c r="J343" s="6">
        <v>46177</v>
      </c>
      <c r="K343" s="10" t="s">
        <v>29</v>
      </c>
      <c r="L343" s="16">
        <f t="shared" si="5"/>
        <v>34322.400000000001</v>
      </c>
      <c r="M343" s="14" t="str" cm="1">
        <f t="array" ref="M343">_xlfn.IFS(L343&gt;=100000, "Excellent", AND(L343&lt;100000, L343&gt;=50000), "Very Good", AND(L343&lt;50000, L343&gt;=20000), "Good", L343&lt;20000, "Average")</f>
        <v>Good</v>
      </c>
    </row>
    <row r="344" spans="1:13" ht="15" thickBot="1" x14ac:dyDescent="0.4">
      <c r="A344" s="5">
        <v>1338</v>
      </c>
      <c r="B344" s="5" t="s">
        <v>59</v>
      </c>
      <c r="C344" s="5" t="s">
        <v>25</v>
      </c>
      <c r="D344" s="5" t="s">
        <v>34</v>
      </c>
      <c r="E344" s="5" t="s">
        <v>60</v>
      </c>
      <c r="F344" s="5">
        <v>10</v>
      </c>
      <c r="G344" s="5">
        <v>16719</v>
      </c>
      <c r="H344" s="5">
        <v>5</v>
      </c>
      <c r="I344" s="6">
        <v>46177</v>
      </c>
      <c r="J344" s="6">
        <v>46179</v>
      </c>
      <c r="K344" s="10" t="s">
        <v>15</v>
      </c>
      <c r="L344" s="16">
        <f t="shared" si="5"/>
        <v>158830.5</v>
      </c>
      <c r="M344" s="14" t="str" cm="1">
        <f t="array" ref="M344">_xlfn.IFS(L344&gt;=100000, "Excellent", AND(L344&lt;100000, L344&gt;=50000), "Very Good", AND(L344&lt;50000, L344&gt;=20000), "Good", L344&lt;20000, "Average")</f>
        <v>Excellent</v>
      </c>
    </row>
    <row r="345" spans="1:13" ht="15" thickBot="1" x14ac:dyDescent="0.4">
      <c r="A345" s="5">
        <v>1187</v>
      </c>
      <c r="B345" s="5" t="s">
        <v>54</v>
      </c>
      <c r="C345" s="5" t="s">
        <v>22</v>
      </c>
      <c r="D345" s="5" t="s">
        <v>34</v>
      </c>
      <c r="E345" s="5" t="s">
        <v>45</v>
      </c>
      <c r="F345" s="5">
        <v>18</v>
      </c>
      <c r="G345" s="5">
        <v>68527</v>
      </c>
      <c r="H345" s="5">
        <v>12</v>
      </c>
      <c r="I345" s="6">
        <v>46178</v>
      </c>
      <c r="J345" s="6">
        <v>46184</v>
      </c>
      <c r="K345" s="10" t="s">
        <v>51</v>
      </c>
      <c r="L345" s="16">
        <f t="shared" si="5"/>
        <v>1085467.68</v>
      </c>
      <c r="M345" s="14" t="str" cm="1">
        <f t="array" ref="M345">_xlfn.IFS(L345&gt;=100000, "Excellent", AND(L345&lt;100000, L345&gt;=50000), "Very Good", AND(L345&lt;50000, L345&gt;=20000), "Good", L345&lt;20000, "Average")</f>
        <v>Excellent</v>
      </c>
    </row>
    <row r="346" spans="1:13" ht="15" thickBot="1" x14ac:dyDescent="0.4">
      <c r="A346" s="5">
        <v>1297</v>
      </c>
      <c r="B346" s="5" t="s">
        <v>54</v>
      </c>
      <c r="C346" s="5" t="s">
        <v>25</v>
      </c>
      <c r="D346" s="5" t="s">
        <v>34</v>
      </c>
      <c r="E346" s="5" t="s">
        <v>35</v>
      </c>
      <c r="F346" s="5">
        <v>14</v>
      </c>
      <c r="G346" s="5">
        <v>24524</v>
      </c>
      <c r="H346" s="5">
        <v>10</v>
      </c>
      <c r="I346" s="6">
        <v>46178</v>
      </c>
      <c r="J346" s="6">
        <v>46187</v>
      </c>
      <c r="K346" s="10" t="s">
        <v>29</v>
      </c>
      <c r="L346" s="16">
        <f t="shared" si="5"/>
        <v>309002.40000000002</v>
      </c>
      <c r="M346" s="14" t="str" cm="1">
        <f t="array" ref="M346">_xlfn.IFS(L346&gt;=100000, "Excellent", AND(L346&lt;100000, L346&gt;=50000), "Very Good", AND(L346&lt;50000, L346&gt;=20000), "Good", L346&lt;20000, "Average")</f>
        <v>Excellent</v>
      </c>
    </row>
    <row r="347" spans="1:13" ht="15" thickBot="1" x14ac:dyDescent="0.4">
      <c r="A347" s="5">
        <v>1231</v>
      </c>
      <c r="B347" s="5" t="s">
        <v>48</v>
      </c>
      <c r="C347" s="5" t="s">
        <v>38</v>
      </c>
      <c r="D347" s="5" t="s">
        <v>18</v>
      </c>
      <c r="E347" s="5" t="s">
        <v>19</v>
      </c>
      <c r="F347" s="5">
        <v>13</v>
      </c>
      <c r="G347" s="5">
        <v>10297</v>
      </c>
      <c r="H347" s="5">
        <v>12</v>
      </c>
      <c r="I347" s="6">
        <v>46178</v>
      </c>
      <c r="J347" s="6">
        <v>46186</v>
      </c>
      <c r="K347" s="10" t="s">
        <v>20</v>
      </c>
      <c r="L347" s="16">
        <f t="shared" si="5"/>
        <v>117797.68000000001</v>
      </c>
      <c r="M347" s="14" t="str" cm="1">
        <f t="array" ref="M347">_xlfn.IFS(L347&gt;=100000, "Excellent", AND(L347&lt;100000, L347&gt;=50000), "Very Good", AND(L347&lt;50000, L347&gt;=20000), "Good", L347&lt;20000, "Average")</f>
        <v>Excellent</v>
      </c>
    </row>
    <row r="348" spans="1:13" ht="15" thickBot="1" x14ac:dyDescent="0.4">
      <c r="A348" s="5">
        <v>1118</v>
      </c>
      <c r="B348" s="5" t="s">
        <v>21</v>
      </c>
      <c r="C348" s="5" t="s">
        <v>22</v>
      </c>
      <c r="D348" s="5" t="s">
        <v>18</v>
      </c>
      <c r="E348" s="5" t="s">
        <v>23</v>
      </c>
      <c r="F348" s="5">
        <v>18</v>
      </c>
      <c r="G348" s="5">
        <v>9118</v>
      </c>
      <c r="H348" s="5">
        <v>5</v>
      </c>
      <c r="I348" s="6">
        <v>46178</v>
      </c>
      <c r="J348" s="6">
        <v>46187</v>
      </c>
      <c r="K348" s="10" t="s">
        <v>29</v>
      </c>
      <c r="L348" s="16">
        <f t="shared" si="5"/>
        <v>155917.79999999999</v>
      </c>
      <c r="M348" s="14" t="str" cm="1">
        <f t="array" ref="M348">_xlfn.IFS(L348&gt;=100000, "Excellent", AND(L348&lt;100000, L348&gt;=50000), "Very Good", AND(L348&lt;50000, L348&gt;=20000), "Good", L348&lt;20000, "Average")</f>
        <v>Excellent</v>
      </c>
    </row>
    <row r="349" spans="1:13" ht="15" thickBot="1" x14ac:dyDescent="0.4">
      <c r="A349" s="5">
        <v>1154</v>
      </c>
      <c r="B349" s="5" t="s">
        <v>32</v>
      </c>
      <c r="C349" s="5" t="s">
        <v>17</v>
      </c>
      <c r="D349" s="5" t="s">
        <v>18</v>
      </c>
      <c r="E349" s="5" t="s">
        <v>56</v>
      </c>
      <c r="F349" s="5">
        <v>15</v>
      </c>
      <c r="G349" s="5">
        <v>6101</v>
      </c>
      <c r="H349" s="5">
        <v>0</v>
      </c>
      <c r="I349" s="6">
        <v>46178</v>
      </c>
      <c r="J349" s="6">
        <v>46183</v>
      </c>
      <c r="K349" s="10" t="s">
        <v>51</v>
      </c>
      <c r="L349" s="16">
        <f t="shared" si="5"/>
        <v>91515</v>
      </c>
      <c r="M349" s="14" t="str" cm="1">
        <f t="array" ref="M349">_xlfn.IFS(L349&gt;=100000, "Excellent", AND(L349&lt;100000, L349&gt;=50000), "Very Good", AND(L349&lt;50000, L349&gt;=20000), "Good", L349&lt;20000, "Average")</f>
        <v>Very Good</v>
      </c>
    </row>
    <row r="350" spans="1:13" ht="15" thickBot="1" x14ac:dyDescent="0.4">
      <c r="A350" s="5">
        <v>1199</v>
      </c>
      <c r="B350" s="5" t="s">
        <v>11</v>
      </c>
      <c r="C350" s="5" t="s">
        <v>25</v>
      </c>
      <c r="D350" s="5" t="s">
        <v>34</v>
      </c>
      <c r="E350" s="5" t="s">
        <v>45</v>
      </c>
      <c r="F350" s="5">
        <v>2</v>
      </c>
      <c r="G350" s="5">
        <v>4375</v>
      </c>
      <c r="H350" s="5">
        <v>7</v>
      </c>
      <c r="I350" s="6">
        <v>46178</v>
      </c>
      <c r="J350" s="6">
        <v>46180</v>
      </c>
      <c r="K350" s="10" t="s">
        <v>24</v>
      </c>
      <c r="L350" s="16">
        <f t="shared" si="5"/>
        <v>8137.4999999999991</v>
      </c>
      <c r="M350" s="14" t="str" cm="1">
        <f t="array" ref="M350">_xlfn.IFS(L350&gt;=100000, "Excellent", AND(L350&lt;100000, L350&gt;=50000), "Very Good", AND(L350&lt;50000, L350&gt;=20000), "Good", L350&lt;20000, "Average")</f>
        <v>Average</v>
      </c>
    </row>
    <row r="351" spans="1:13" ht="15" thickBot="1" x14ac:dyDescent="0.4">
      <c r="A351" s="5">
        <v>1376</v>
      </c>
      <c r="B351" s="5" t="s">
        <v>52</v>
      </c>
      <c r="C351" s="5" t="s">
        <v>31</v>
      </c>
      <c r="D351" s="5" t="s">
        <v>13</v>
      </c>
      <c r="E351" s="5" t="s">
        <v>50</v>
      </c>
      <c r="F351" s="5">
        <v>20</v>
      </c>
      <c r="G351" s="5">
        <v>429</v>
      </c>
      <c r="H351" s="5">
        <v>5</v>
      </c>
      <c r="I351" s="6">
        <v>46178</v>
      </c>
      <c r="J351" s="6">
        <v>46184</v>
      </c>
      <c r="K351" s="10" t="s">
        <v>20</v>
      </c>
      <c r="L351" s="16">
        <f t="shared" si="5"/>
        <v>8151</v>
      </c>
      <c r="M351" s="14" t="str" cm="1">
        <f t="array" ref="M351">_xlfn.IFS(L351&gt;=100000, "Excellent", AND(L351&lt;100000, L351&gt;=50000), "Very Good", AND(L351&lt;50000, L351&gt;=20000), "Good", L351&lt;20000, "Average")</f>
        <v>Average</v>
      </c>
    </row>
    <row r="352" spans="1:13" ht="15" thickBot="1" x14ac:dyDescent="0.4">
      <c r="A352" s="5">
        <v>1274</v>
      </c>
      <c r="B352" s="5" t="s">
        <v>26</v>
      </c>
      <c r="C352" s="5" t="s">
        <v>25</v>
      </c>
      <c r="D352" s="5" t="s">
        <v>34</v>
      </c>
      <c r="E352" s="5" t="s">
        <v>41</v>
      </c>
      <c r="F352" s="5">
        <v>13</v>
      </c>
      <c r="G352" s="5">
        <v>36652</v>
      </c>
      <c r="H352" s="5">
        <v>12</v>
      </c>
      <c r="I352" s="6">
        <v>46179</v>
      </c>
      <c r="J352" s="6">
        <v>46186</v>
      </c>
      <c r="K352" s="10" t="s">
        <v>20</v>
      </c>
      <c r="L352" s="16">
        <f t="shared" si="5"/>
        <v>419298.88</v>
      </c>
      <c r="M352" s="14" t="str" cm="1">
        <f t="array" ref="M352">_xlfn.IFS(L352&gt;=100000, "Excellent", AND(L352&lt;100000, L352&gt;=50000), "Very Good", AND(L352&lt;50000, L352&gt;=20000), "Good", L352&lt;20000, "Average")</f>
        <v>Excellent</v>
      </c>
    </row>
    <row r="353" spans="1:13" ht="15" thickBot="1" x14ac:dyDescent="0.4">
      <c r="A353" s="5">
        <v>1288</v>
      </c>
      <c r="B353" s="5" t="s">
        <v>54</v>
      </c>
      <c r="C353" s="5" t="s">
        <v>22</v>
      </c>
      <c r="D353" s="5" t="s">
        <v>34</v>
      </c>
      <c r="E353" s="5" t="s">
        <v>60</v>
      </c>
      <c r="F353" s="5">
        <v>14</v>
      </c>
      <c r="G353" s="5">
        <v>35601</v>
      </c>
      <c r="H353" s="5">
        <v>10</v>
      </c>
      <c r="I353" s="6">
        <v>46179</v>
      </c>
      <c r="J353" s="6">
        <v>46187</v>
      </c>
      <c r="K353" s="10" t="s">
        <v>29</v>
      </c>
      <c r="L353" s="16">
        <f t="shared" si="5"/>
        <v>448572.60000000003</v>
      </c>
      <c r="M353" s="14" t="str" cm="1">
        <f t="array" ref="M353">_xlfn.IFS(L353&gt;=100000, "Excellent", AND(L353&lt;100000, L353&gt;=50000), "Very Good", AND(L353&lt;50000, L353&gt;=20000), "Good", L353&lt;20000, "Average")</f>
        <v>Excellent</v>
      </c>
    </row>
    <row r="354" spans="1:13" ht="15" thickBot="1" x14ac:dyDescent="0.4">
      <c r="A354" s="5">
        <v>1278</v>
      </c>
      <c r="B354" s="5" t="s">
        <v>47</v>
      </c>
      <c r="C354" s="5" t="s">
        <v>22</v>
      </c>
      <c r="D354" s="5" t="s">
        <v>34</v>
      </c>
      <c r="E354" s="5" t="s">
        <v>61</v>
      </c>
      <c r="F354" s="5">
        <v>4</v>
      </c>
      <c r="G354" s="5">
        <v>20639</v>
      </c>
      <c r="H354" s="5">
        <v>7</v>
      </c>
      <c r="I354" s="6">
        <v>46180</v>
      </c>
      <c r="J354" s="6">
        <v>46186</v>
      </c>
      <c r="K354" s="10" t="s">
        <v>20</v>
      </c>
      <c r="L354" s="16">
        <f t="shared" si="5"/>
        <v>76777.08</v>
      </c>
      <c r="M354" s="14" t="str" cm="1">
        <f t="array" ref="M354">_xlfn.IFS(L354&gt;=100000, "Excellent", AND(L354&lt;100000, L354&gt;=50000), "Very Good", AND(L354&lt;50000, L354&gt;=20000), "Good", L354&lt;20000, "Average")</f>
        <v>Very Good</v>
      </c>
    </row>
    <row r="355" spans="1:13" ht="15" thickBot="1" x14ac:dyDescent="0.4">
      <c r="A355" s="5">
        <v>1048</v>
      </c>
      <c r="B355" s="5" t="s">
        <v>59</v>
      </c>
      <c r="C355" s="5" t="s">
        <v>25</v>
      </c>
      <c r="D355" s="5" t="s">
        <v>34</v>
      </c>
      <c r="E355" s="5" t="s">
        <v>60</v>
      </c>
      <c r="F355" s="5">
        <v>14</v>
      </c>
      <c r="G355" s="5">
        <v>11762</v>
      </c>
      <c r="H355" s="5">
        <v>7</v>
      </c>
      <c r="I355" s="6">
        <v>46180</v>
      </c>
      <c r="J355" s="6">
        <v>46186</v>
      </c>
      <c r="K355" s="10" t="s">
        <v>24</v>
      </c>
      <c r="L355" s="16">
        <f t="shared" si="5"/>
        <v>153141.24</v>
      </c>
      <c r="M355" s="14" t="str" cm="1">
        <f t="array" ref="M355">_xlfn.IFS(L355&gt;=100000, "Excellent", AND(L355&lt;100000, L355&gt;=50000), "Very Good", AND(L355&lt;50000, L355&gt;=20000), "Good", L355&lt;20000, "Average")</f>
        <v>Excellent</v>
      </c>
    </row>
    <row r="356" spans="1:13" ht="15" thickBot="1" x14ac:dyDescent="0.4">
      <c r="A356" s="5">
        <v>1294</v>
      </c>
      <c r="B356" s="5" t="s">
        <v>21</v>
      </c>
      <c r="C356" s="5" t="s">
        <v>12</v>
      </c>
      <c r="D356" s="5" t="s">
        <v>18</v>
      </c>
      <c r="E356" s="5" t="s">
        <v>19</v>
      </c>
      <c r="F356" s="5">
        <v>8</v>
      </c>
      <c r="G356" s="5">
        <v>14448</v>
      </c>
      <c r="H356" s="5">
        <v>10</v>
      </c>
      <c r="I356" s="6">
        <v>46181</v>
      </c>
      <c r="J356" s="6">
        <v>46189</v>
      </c>
      <c r="K356" s="10" t="s">
        <v>15</v>
      </c>
      <c r="L356" s="16">
        <f t="shared" si="5"/>
        <v>104025.60000000001</v>
      </c>
      <c r="M356" s="14" t="str" cm="1">
        <f t="array" ref="M356">_xlfn.IFS(L356&gt;=100000, "Excellent", AND(L356&lt;100000, L356&gt;=50000), "Very Good", AND(L356&lt;50000, L356&gt;=20000), "Good", L356&lt;20000, "Average")</f>
        <v>Excellent</v>
      </c>
    </row>
    <row r="357" spans="1:13" ht="15" thickBot="1" x14ac:dyDescent="0.4">
      <c r="A357" s="5">
        <v>1310</v>
      </c>
      <c r="B357" s="5" t="s">
        <v>49</v>
      </c>
      <c r="C357" s="5" t="s">
        <v>17</v>
      </c>
      <c r="D357" s="5" t="s">
        <v>18</v>
      </c>
      <c r="E357" s="5" t="s">
        <v>56</v>
      </c>
      <c r="F357" s="5">
        <v>19</v>
      </c>
      <c r="G357" s="5">
        <v>12691</v>
      </c>
      <c r="H357" s="5">
        <v>0</v>
      </c>
      <c r="I357" s="6">
        <v>46181</v>
      </c>
      <c r="J357" s="6">
        <v>46189</v>
      </c>
      <c r="K357" s="10" t="s">
        <v>29</v>
      </c>
      <c r="L357" s="16">
        <f t="shared" si="5"/>
        <v>241129</v>
      </c>
      <c r="M357" s="14" t="str" cm="1">
        <f t="array" ref="M357">_xlfn.IFS(L357&gt;=100000, "Excellent", AND(L357&lt;100000, L357&gt;=50000), "Very Good", AND(L357&lt;50000, L357&gt;=20000), "Good", L357&lt;20000, "Average")</f>
        <v>Excellent</v>
      </c>
    </row>
    <row r="358" spans="1:13" ht="15" thickBot="1" x14ac:dyDescent="0.4">
      <c r="A358" s="5">
        <v>1124</v>
      </c>
      <c r="B358" s="5" t="s">
        <v>27</v>
      </c>
      <c r="C358" s="5" t="s">
        <v>38</v>
      </c>
      <c r="D358" s="5" t="s">
        <v>18</v>
      </c>
      <c r="E358" s="5" t="s">
        <v>56</v>
      </c>
      <c r="F358" s="5">
        <v>4</v>
      </c>
      <c r="G358" s="5">
        <v>14195</v>
      </c>
      <c r="H358" s="5">
        <v>15</v>
      </c>
      <c r="I358" s="6">
        <v>46182</v>
      </c>
      <c r="J358" s="6">
        <v>46189</v>
      </c>
      <c r="K358" s="10" t="s">
        <v>51</v>
      </c>
      <c r="L358" s="16">
        <f t="shared" si="5"/>
        <v>48263</v>
      </c>
      <c r="M358" s="14" t="str" cm="1">
        <f t="array" ref="M358">_xlfn.IFS(L358&gt;=100000, "Excellent", AND(L358&lt;100000, L358&gt;=50000), "Very Good", AND(L358&lt;50000, L358&gt;=20000), "Good", L358&lt;20000, "Average")</f>
        <v>Good</v>
      </c>
    </row>
    <row r="359" spans="1:13" ht="15" thickBot="1" x14ac:dyDescent="0.4">
      <c r="A359" s="5">
        <v>1009</v>
      </c>
      <c r="B359" s="5" t="s">
        <v>32</v>
      </c>
      <c r="C359" s="5" t="s">
        <v>33</v>
      </c>
      <c r="D359" s="5" t="s">
        <v>34</v>
      </c>
      <c r="E359" s="5" t="s">
        <v>35</v>
      </c>
      <c r="F359" s="5">
        <v>10</v>
      </c>
      <c r="G359" s="5">
        <v>40671</v>
      </c>
      <c r="H359" s="5">
        <v>12</v>
      </c>
      <c r="I359" s="6">
        <v>46183</v>
      </c>
      <c r="J359" s="6">
        <v>46193</v>
      </c>
      <c r="K359" s="10" t="s">
        <v>24</v>
      </c>
      <c r="L359" s="16">
        <f t="shared" si="5"/>
        <v>357904.8</v>
      </c>
      <c r="M359" s="14" t="str" cm="1">
        <f t="array" ref="M359">_xlfn.IFS(L359&gt;=100000, "Excellent", AND(L359&lt;100000, L359&gt;=50000), "Very Good", AND(L359&lt;50000, L359&gt;=20000), "Good", L359&lt;20000, "Average")</f>
        <v>Excellent</v>
      </c>
    </row>
    <row r="360" spans="1:13" ht="15" thickBot="1" x14ac:dyDescent="0.4">
      <c r="A360" s="5">
        <v>1003</v>
      </c>
      <c r="B360" s="5" t="s">
        <v>21</v>
      </c>
      <c r="C360" s="5" t="s">
        <v>22</v>
      </c>
      <c r="D360" s="5" t="s">
        <v>18</v>
      </c>
      <c r="E360" s="5" t="s">
        <v>23</v>
      </c>
      <c r="F360" s="5">
        <v>20</v>
      </c>
      <c r="G360" s="5">
        <v>2123</v>
      </c>
      <c r="H360" s="5">
        <v>15</v>
      </c>
      <c r="I360" s="6">
        <v>46183</v>
      </c>
      <c r="J360" s="6">
        <v>46192</v>
      </c>
      <c r="K360" s="10" t="s">
        <v>24</v>
      </c>
      <c r="L360" s="16">
        <f t="shared" si="5"/>
        <v>36091</v>
      </c>
      <c r="M360" s="14" t="str" cm="1">
        <f t="array" ref="M360">_xlfn.IFS(L360&gt;=100000, "Excellent", AND(L360&lt;100000, L360&gt;=50000), "Very Good", AND(L360&lt;50000, L360&gt;=20000), "Good", L360&lt;20000, "Average")</f>
        <v>Good</v>
      </c>
    </row>
    <row r="361" spans="1:13" ht="15" thickBot="1" x14ac:dyDescent="0.4">
      <c r="A361" s="5">
        <v>1320</v>
      </c>
      <c r="B361" s="5" t="s">
        <v>47</v>
      </c>
      <c r="C361" s="5" t="s">
        <v>38</v>
      </c>
      <c r="D361" s="5" t="s">
        <v>13</v>
      </c>
      <c r="E361" s="5" t="s">
        <v>36</v>
      </c>
      <c r="F361" s="5">
        <v>20</v>
      </c>
      <c r="G361" s="5">
        <v>55</v>
      </c>
      <c r="H361" s="5">
        <v>7</v>
      </c>
      <c r="I361" s="6">
        <v>46183</v>
      </c>
      <c r="J361" s="6">
        <v>46186</v>
      </c>
      <c r="K361" s="10" t="s">
        <v>20</v>
      </c>
      <c r="L361" s="16">
        <f t="shared" si="5"/>
        <v>1022.9999999999999</v>
      </c>
      <c r="M361" s="14" t="str" cm="1">
        <f t="array" ref="M361">_xlfn.IFS(L361&gt;=100000, "Excellent", AND(L361&lt;100000, L361&gt;=50000), "Very Good", AND(L361&lt;50000, L361&gt;=20000), "Good", L361&lt;20000, "Average")</f>
        <v>Average</v>
      </c>
    </row>
    <row r="362" spans="1:13" ht="15" thickBot="1" x14ac:dyDescent="0.4">
      <c r="A362" s="5">
        <v>1159</v>
      </c>
      <c r="B362" s="5" t="s">
        <v>32</v>
      </c>
      <c r="C362" s="5" t="s">
        <v>43</v>
      </c>
      <c r="D362" s="5" t="s">
        <v>18</v>
      </c>
      <c r="E362" s="5" t="s">
        <v>28</v>
      </c>
      <c r="F362" s="5">
        <v>20</v>
      </c>
      <c r="G362" s="5">
        <v>14000</v>
      </c>
      <c r="H362" s="5">
        <v>15</v>
      </c>
      <c r="I362" s="6">
        <v>46184</v>
      </c>
      <c r="J362" s="6">
        <v>46187</v>
      </c>
      <c r="K362" s="10" t="s">
        <v>15</v>
      </c>
      <c r="L362" s="16">
        <f t="shared" si="5"/>
        <v>238000</v>
      </c>
      <c r="M362" s="14" t="str" cm="1">
        <f t="array" ref="M362">_xlfn.IFS(L362&gt;=100000, "Excellent", AND(L362&lt;100000, L362&gt;=50000), "Very Good", AND(L362&lt;50000, L362&gt;=20000), "Good", L362&lt;20000, "Average")</f>
        <v>Excellent</v>
      </c>
    </row>
    <row r="363" spans="1:13" ht="15" thickBot="1" x14ac:dyDescent="0.4">
      <c r="A363" s="5">
        <v>1189</v>
      </c>
      <c r="B363" s="5" t="s">
        <v>49</v>
      </c>
      <c r="C363" s="5" t="s">
        <v>31</v>
      </c>
      <c r="D363" s="5" t="s">
        <v>18</v>
      </c>
      <c r="E363" s="5" t="s">
        <v>56</v>
      </c>
      <c r="F363" s="5">
        <v>12</v>
      </c>
      <c r="G363" s="5">
        <v>8327</v>
      </c>
      <c r="H363" s="5">
        <v>10</v>
      </c>
      <c r="I363" s="6">
        <v>46184</v>
      </c>
      <c r="J363" s="6">
        <v>46185</v>
      </c>
      <c r="K363" s="10" t="s">
        <v>29</v>
      </c>
      <c r="L363" s="16">
        <f t="shared" si="5"/>
        <v>89931.6</v>
      </c>
      <c r="M363" s="14" t="str" cm="1">
        <f t="array" ref="M363">_xlfn.IFS(L363&gt;=100000, "Excellent", AND(L363&lt;100000, L363&gt;=50000), "Very Good", AND(L363&lt;50000, L363&gt;=20000), "Good", L363&lt;20000, "Average")</f>
        <v>Very Good</v>
      </c>
    </row>
    <row r="364" spans="1:13" ht="15" thickBot="1" x14ac:dyDescent="0.4">
      <c r="A364" s="5">
        <v>1119</v>
      </c>
      <c r="B364" s="5" t="s">
        <v>30</v>
      </c>
      <c r="C364" s="5" t="s">
        <v>43</v>
      </c>
      <c r="D364" s="5" t="s">
        <v>18</v>
      </c>
      <c r="E364" s="5" t="s">
        <v>28</v>
      </c>
      <c r="F364" s="5">
        <v>2</v>
      </c>
      <c r="G364" s="5">
        <v>3706</v>
      </c>
      <c r="H364" s="5">
        <v>5</v>
      </c>
      <c r="I364" s="6">
        <v>46184</v>
      </c>
      <c r="J364" s="6">
        <v>46192</v>
      </c>
      <c r="K364" s="10" t="s">
        <v>51</v>
      </c>
      <c r="L364" s="16">
        <f t="shared" si="5"/>
        <v>7041.4</v>
      </c>
      <c r="M364" s="14" t="str" cm="1">
        <f t="array" ref="M364">_xlfn.IFS(L364&gt;=100000, "Excellent", AND(L364&lt;100000, L364&gt;=50000), "Very Good", AND(L364&lt;50000, L364&gt;=20000), "Good", L364&lt;20000, "Average")</f>
        <v>Average</v>
      </c>
    </row>
    <row r="365" spans="1:13" ht="15" thickBot="1" x14ac:dyDescent="0.4">
      <c r="A365" s="5">
        <v>1370</v>
      </c>
      <c r="B365" s="5" t="s">
        <v>59</v>
      </c>
      <c r="C365" s="5" t="s">
        <v>38</v>
      </c>
      <c r="D365" s="5" t="s">
        <v>13</v>
      </c>
      <c r="E365" s="5" t="s">
        <v>53</v>
      </c>
      <c r="F365" s="5">
        <v>13</v>
      </c>
      <c r="G365" s="5">
        <v>337</v>
      </c>
      <c r="H365" s="5">
        <v>7</v>
      </c>
      <c r="I365" s="6">
        <v>46184</v>
      </c>
      <c r="J365" s="6">
        <v>46188</v>
      </c>
      <c r="K365" s="10" t="s">
        <v>15</v>
      </c>
      <c r="L365" s="16">
        <f t="shared" si="5"/>
        <v>4074.33</v>
      </c>
      <c r="M365" s="14" t="str" cm="1">
        <f t="array" ref="M365">_xlfn.IFS(L365&gt;=100000, "Excellent", AND(L365&lt;100000, L365&gt;=50000), "Very Good", AND(L365&lt;50000, L365&gt;=20000), "Good", L365&lt;20000, "Average")</f>
        <v>Average</v>
      </c>
    </row>
    <row r="366" spans="1:13" ht="15" thickBot="1" x14ac:dyDescent="0.4">
      <c r="A366" s="5">
        <v>1137</v>
      </c>
      <c r="B366" s="5" t="s">
        <v>52</v>
      </c>
      <c r="C366" s="5" t="s">
        <v>12</v>
      </c>
      <c r="D366" s="5" t="s">
        <v>13</v>
      </c>
      <c r="E366" s="5" t="s">
        <v>37</v>
      </c>
      <c r="F366" s="5">
        <v>16</v>
      </c>
      <c r="G366" s="5">
        <v>270</v>
      </c>
      <c r="H366" s="5">
        <v>10</v>
      </c>
      <c r="I366" s="6">
        <v>46184</v>
      </c>
      <c r="J366" s="6">
        <v>46190</v>
      </c>
      <c r="K366" s="10" t="s">
        <v>29</v>
      </c>
      <c r="L366" s="16">
        <f t="shared" si="5"/>
        <v>3888</v>
      </c>
      <c r="M366" s="14" t="str" cm="1">
        <f t="array" ref="M366">_xlfn.IFS(L366&gt;=100000, "Excellent", AND(L366&lt;100000, L366&gt;=50000), "Very Good", AND(L366&lt;50000, L366&gt;=20000), "Good", L366&lt;20000, "Average")</f>
        <v>Average</v>
      </c>
    </row>
    <row r="367" spans="1:13" ht="15" thickBot="1" x14ac:dyDescent="0.4">
      <c r="A367" s="5">
        <v>1075</v>
      </c>
      <c r="B367" s="5" t="s">
        <v>42</v>
      </c>
      <c r="C367" s="5" t="s">
        <v>43</v>
      </c>
      <c r="D367" s="5" t="s">
        <v>34</v>
      </c>
      <c r="E367" s="5" t="s">
        <v>61</v>
      </c>
      <c r="F367" s="5">
        <v>4</v>
      </c>
      <c r="G367" s="5">
        <v>64773</v>
      </c>
      <c r="H367" s="5">
        <v>10</v>
      </c>
      <c r="I367" s="6">
        <v>46185</v>
      </c>
      <c r="J367" s="6">
        <v>46186</v>
      </c>
      <c r="K367" s="10" t="s">
        <v>51</v>
      </c>
      <c r="L367" s="16">
        <f t="shared" si="5"/>
        <v>233182.80000000002</v>
      </c>
      <c r="M367" s="14" t="str" cm="1">
        <f t="array" ref="M367">_xlfn.IFS(L367&gt;=100000, "Excellent", AND(L367&lt;100000, L367&gt;=50000), "Very Good", AND(L367&lt;50000, L367&gt;=20000), "Good", L367&lt;20000, "Average")</f>
        <v>Excellent</v>
      </c>
    </row>
    <row r="368" spans="1:13" ht="15" thickBot="1" x14ac:dyDescent="0.4">
      <c r="A368" s="5">
        <v>1350</v>
      </c>
      <c r="B368" s="5" t="s">
        <v>26</v>
      </c>
      <c r="C368" s="5" t="s">
        <v>43</v>
      </c>
      <c r="D368" s="5" t="s">
        <v>18</v>
      </c>
      <c r="E368" s="5" t="s">
        <v>28</v>
      </c>
      <c r="F368" s="5">
        <v>16</v>
      </c>
      <c r="G368" s="5">
        <v>11790</v>
      </c>
      <c r="H368" s="5">
        <v>12</v>
      </c>
      <c r="I368" s="6">
        <v>46185</v>
      </c>
      <c r="J368" s="6">
        <v>46190</v>
      </c>
      <c r="K368" s="10" t="s">
        <v>29</v>
      </c>
      <c r="L368" s="16">
        <f t="shared" si="5"/>
        <v>166003.20000000001</v>
      </c>
      <c r="M368" s="14" t="str" cm="1">
        <f t="array" ref="M368">_xlfn.IFS(L368&gt;=100000, "Excellent", AND(L368&lt;100000, L368&gt;=50000), "Very Good", AND(L368&lt;50000, L368&gt;=20000), "Good", L368&lt;20000, "Average")</f>
        <v>Excellent</v>
      </c>
    </row>
    <row r="369" spans="1:13" ht="15" thickBot="1" x14ac:dyDescent="0.4">
      <c r="A369" s="5">
        <v>1083</v>
      </c>
      <c r="B369" s="5" t="s">
        <v>55</v>
      </c>
      <c r="C369" s="5" t="s">
        <v>33</v>
      </c>
      <c r="D369" s="5" t="s">
        <v>13</v>
      </c>
      <c r="E369" s="5" t="s">
        <v>53</v>
      </c>
      <c r="F369" s="5">
        <v>4</v>
      </c>
      <c r="G369" s="5">
        <v>397</v>
      </c>
      <c r="H369" s="5">
        <v>7</v>
      </c>
      <c r="I369" s="6">
        <v>46185</v>
      </c>
      <c r="J369" s="6">
        <v>46193</v>
      </c>
      <c r="K369" s="10" t="s">
        <v>15</v>
      </c>
      <c r="L369" s="16">
        <f t="shared" si="5"/>
        <v>1476.84</v>
      </c>
      <c r="M369" s="14" t="str" cm="1">
        <f t="array" ref="M369">_xlfn.IFS(L369&gt;=100000, "Excellent", AND(L369&lt;100000, L369&gt;=50000), "Very Good", AND(L369&lt;50000, L369&gt;=20000), "Good", L369&lt;20000, "Average")</f>
        <v>Average</v>
      </c>
    </row>
    <row r="370" spans="1:13" ht="15" thickBot="1" x14ac:dyDescent="0.4">
      <c r="A370" s="5">
        <v>1064</v>
      </c>
      <c r="B370" s="5" t="s">
        <v>26</v>
      </c>
      <c r="C370" s="5" t="s">
        <v>17</v>
      </c>
      <c r="D370" s="5" t="s">
        <v>13</v>
      </c>
      <c r="E370" s="5" t="s">
        <v>50</v>
      </c>
      <c r="F370" s="5">
        <v>20</v>
      </c>
      <c r="G370" s="5">
        <v>191</v>
      </c>
      <c r="H370" s="5">
        <v>7</v>
      </c>
      <c r="I370" s="6">
        <v>46185</v>
      </c>
      <c r="J370" s="6">
        <v>46195</v>
      </c>
      <c r="K370" s="10" t="s">
        <v>29</v>
      </c>
      <c r="L370" s="16">
        <f t="shared" si="5"/>
        <v>3552.6</v>
      </c>
      <c r="M370" s="14" t="str" cm="1">
        <f t="array" ref="M370">_xlfn.IFS(L370&gt;=100000, "Excellent", AND(L370&lt;100000, L370&gt;=50000), "Very Good", AND(L370&lt;50000, L370&gt;=20000), "Good", L370&lt;20000, "Average")</f>
        <v>Average</v>
      </c>
    </row>
    <row r="371" spans="1:13" ht="15" thickBot="1" x14ac:dyDescent="0.4">
      <c r="A371" s="5">
        <v>1041</v>
      </c>
      <c r="B371" s="5" t="s">
        <v>54</v>
      </c>
      <c r="C371" s="5" t="s">
        <v>38</v>
      </c>
      <c r="D371" s="5" t="s">
        <v>13</v>
      </c>
      <c r="E371" s="5" t="s">
        <v>50</v>
      </c>
      <c r="F371" s="5">
        <v>9</v>
      </c>
      <c r="G371" s="5">
        <v>71</v>
      </c>
      <c r="H371" s="5">
        <v>7</v>
      </c>
      <c r="I371" s="6">
        <v>46185</v>
      </c>
      <c r="J371" s="6">
        <v>46188</v>
      </c>
      <c r="K371" s="10" t="s">
        <v>15</v>
      </c>
      <c r="L371" s="16">
        <f t="shared" si="5"/>
        <v>594.27</v>
      </c>
      <c r="M371" s="14" t="str" cm="1">
        <f t="array" ref="M371">_xlfn.IFS(L371&gt;=100000, "Excellent", AND(L371&lt;100000, L371&gt;=50000), "Very Good", AND(L371&lt;50000, L371&gt;=20000), "Good", L371&lt;20000, "Average")</f>
        <v>Average</v>
      </c>
    </row>
    <row r="372" spans="1:13" ht="15" thickBot="1" x14ac:dyDescent="0.4">
      <c r="A372" s="5">
        <v>1315</v>
      </c>
      <c r="B372" s="5" t="s">
        <v>49</v>
      </c>
      <c r="C372" s="5" t="s">
        <v>31</v>
      </c>
      <c r="D372" s="5" t="s">
        <v>34</v>
      </c>
      <c r="E372" s="5" t="s">
        <v>41</v>
      </c>
      <c r="F372" s="5">
        <v>14</v>
      </c>
      <c r="G372" s="5">
        <v>57670</v>
      </c>
      <c r="H372" s="5">
        <v>2</v>
      </c>
      <c r="I372" s="6">
        <v>46186</v>
      </c>
      <c r="J372" s="6">
        <v>46196</v>
      </c>
      <c r="K372" s="10" t="s">
        <v>15</v>
      </c>
      <c r="L372" s="16">
        <f t="shared" si="5"/>
        <v>791232.4</v>
      </c>
      <c r="M372" s="14" t="str" cm="1">
        <f t="array" ref="M372">_xlfn.IFS(L372&gt;=100000, "Excellent", AND(L372&lt;100000, L372&gt;=50000), "Very Good", AND(L372&lt;50000, L372&gt;=20000), "Good", L372&lt;20000, "Average")</f>
        <v>Excellent</v>
      </c>
    </row>
    <row r="373" spans="1:13" ht="15" thickBot="1" x14ac:dyDescent="0.4">
      <c r="A373" s="5">
        <v>1292</v>
      </c>
      <c r="B373" s="5" t="s">
        <v>54</v>
      </c>
      <c r="C373" s="5" t="s">
        <v>33</v>
      </c>
      <c r="D373" s="5" t="s">
        <v>34</v>
      </c>
      <c r="E373" s="5" t="s">
        <v>61</v>
      </c>
      <c r="F373" s="5">
        <v>11</v>
      </c>
      <c r="G373" s="5">
        <v>25158</v>
      </c>
      <c r="H373" s="5">
        <v>5</v>
      </c>
      <c r="I373" s="6">
        <v>46186</v>
      </c>
      <c r="J373" s="6">
        <v>46193</v>
      </c>
      <c r="K373" s="10" t="s">
        <v>20</v>
      </c>
      <c r="L373" s="16">
        <f t="shared" si="5"/>
        <v>262901.09999999998</v>
      </c>
      <c r="M373" s="14" t="str" cm="1">
        <f t="array" ref="M373">_xlfn.IFS(L373&gt;=100000, "Excellent", AND(L373&lt;100000, L373&gt;=50000), "Very Good", AND(L373&lt;50000, L373&gt;=20000), "Good", L373&lt;20000, "Average")</f>
        <v>Excellent</v>
      </c>
    </row>
    <row r="374" spans="1:13" ht="15" thickBot="1" x14ac:dyDescent="0.4">
      <c r="A374" s="5">
        <v>1186</v>
      </c>
      <c r="B374" s="5" t="s">
        <v>16</v>
      </c>
      <c r="C374" s="5" t="s">
        <v>25</v>
      </c>
      <c r="D374" s="5" t="s">
        <v>18</v>
      </c>
      <c r="E374" s="5" t="s">
        <v>44</v>
      </c>
      <c r="F374" s="5">
        <v>10</v>
      </c>
      <c r="G374" s="5">
        <v>14951</v>
      </c>
      <c r="H374" s="5">
        <v>2</v>
      </c>
      <c r="I374" s="6">
        <v>46188</v>
      </c>
      <c r="J374" s="6">
        <v>46196</v>
      </c>
      <c r="K374" s="10" t="s">
        <v>24</v>
      </c>
      <c r="L374" s="16">
        <f t="shared" si="5"/>
        <v>146519.79999999999</v>
      </c>
      <c r="M374" s="14" t="str" cm="1">
        <f t="array" ref="M374">_xlfn.IFS(L374&gt;=100000, "Excellent", AND(L374&lt;100000, L374&gt;=50000), "Very Good", AND(L374&lt;50000, L374&gt;=20000), "Good", L374&lt;20000, "Average")</f>
        <v>Excellent</v>
      </c>
    </row>
    <row r="375" spans="1:13" ht="15" thickBot="1" x14ac:dyDescent="0.4">
      <c r="A375" s="5">
        <v>1146</v>
      </c>
      <c r="B375" s="5" t="s">
        <v>16</v>
      </c>
      <c r="C375" s="5" t="s">
        <v>43</v>
      </c>
      <c r="D375" s="5" t="s">
        <v>34</v>
      </c>
      <c r="E375" s="5" t="s">
        <v>45</v>
      </c>
      <c r="F375" s="5">
        <v>7</v>
      </c>
      <c r="G375" s="5">
        <v>68217</v>
      </c>
      <c r="H375" s="5">
        <v>0</v>
      </c>
      <c r="I375" s="6">
        <v>46190</v>
      </c>
      <c r="J375" s="6">
        <v>46197</v>
      </c>
      <c r="K375" s="10" t="s">
        <v>29</v>
      </c>
      <c r="L375" s="16">
        <f t="shared" si="5"/>
        <v>477519</v>
      </c>
      <c r="M375" s="14" t="str" cm="1">
        <f t="array" ref="M375">_xlfn.IFS(L375&gt;=100000, "Excellent", AND(L375&lt;100000, L375&gt;=50000), "Very Good", AND(L375&lt;50000, L375&gt;=20000), "Good", L375&lt;20000, "Average")</f>
        <v>Excellent</v>
      </c>
    </row>
    <row r="376" spans="1:13" ht="15" thickBot="1" x14ac:dyDescent="0.4">
      <c r="A376" s="5">
        <v>1331</v>
      </c>
      <c r="B376" s="5" t="s">
        <v>21</v>
      </c>
      <c r="C376" s="5" t="s">
        <v>25</v>
      </c>
      <c r="D376" s="5" t="s">
        <v>34</v>
      </c>
      <c r="E376" s="5" t="s">
        <v>61</v>
      </c>
      <c r="F376" s="5">
        <v>2</v>
      </c>
      <c r="G376" s="5">
        <v>43557</v>
      </c>
      <c r="H376" s="5">
        <v>2</v>
      </c>
      <c r="I376" s="6">
        <v>46190</v>
      </c>
      <c r="J376" s="6">
        <v>46200</v>
      </c>
      <c r="K376" s="10" t="s">
        <v>15</v>
      </c>
      <c r="L376" s="16">
        <f t="shared" si="5"/>
        <v>85371.72</v>
      </c>
      <c r="M376" s="14" t="str" cm="1">
        <f t="array" ref="M376">_xlfn.IFS(L376&gt;=100000, "Excellent", AND(L376&lt;100000, L376&gt;=50000), "Very Good", AND(L376&lt;50000, L376&gt;=20000), "Good", L376&lt;20000, "Average")</f>
        <v>Very Good</v>
      </c>
    </row>
    <row r="377" spans="1:13" ht="15" thickBot="1" x14ac:dyDescent="0.4">
      <c r="A377" s="5">
        <v>1062</v>
      </c>
      <c r="B377" s="5" t="s">
        <v>40</v>
      </c>
      <c r="C377" s="5" t="s">
        <v>43</v>
      </c>
      <c r="D377" s="5" t="s">
        <v>18</v>
      </c>
      <c r="E377" s="5" t="s">
        <v>23</v>
      </c>
      <c r="F377" s="5">
        <v>8</v>
      </c>
      <c r="G377" s="5">
        <v>8360</v>
      </c>
      <c r="H377" s="5">
        <v>2</v>
      </c>
      <c r="I377" s="6">
        <v>46190</v>
      </c>
      <c r="J377" s="6">
        <v>46200</v>
      </c>
      <c r="K377" s="10" t="s">
        <v>51</v>
      </c>
      <c r="L377" s="16">
        <f t="shared" si="5"/>
        <v>65542.399999999994</v>
      </c>
      <c r="M377" s="14" t="str" cm="1">
        <f t="array" ref="M377">_xlfn.IFS(L377&gt;=100000, "Excellent", AND(L377&lt;100000, L377&gt;=50000), "Very Good", AND(L377&lt;50000, L377&gt;=20000), "Good", L377&lt;20000, "Average")</f>
        <v>Very Good</v>
      </c>
    </row>
    <row r="378" spans="1:13" ht="15" thickBot="1" x14ac:dyDescent="0.4">
      <c r="A378" s="5">
        <v>1373</v>
      </c>
      <c r="B378" s="5" t="s">
        <v>54</v>
      </c>
      <c r="C378" s="5" t="s">
        <v>25</v>
      </c>
      <c r="D378" s="5" t="s">
        <v>34</v>
      </c>
      <c r="E378" s="5" t="s">
        <v>60</v>
      </c>
      <c r="F378" s="5">
        <v>11</v>
      </c>
      <c r="G378" s="5">
        <v>47930</v>
      </c>
      <c r="H378" s="5">
        <v>12</v>
      </c>
      <c r="I378" s="6">
        <v>46191</v>
      </c>
      <c r="J378" s="6">
        <v>46201</v>
      </c>
      <c r="K378" s="10" t="s">
        <v>20</v>
      </c>
      <c r="L378" s="16">
        <f t="shared" si="5"/>
        <v>463962.4</v>
      </c>
      <c r="M378" s="14" t="str" cm="1">
        <f t="array" ref="M378">_xlfn.IFS(L378&gt;=100000, "Excellent", AND(L378&lt;100000, L378&gt;=50000), "Very Good", AND(L378&lt;50000, L378&gt;=20000), "Good", L378&lt;20000, "Average")</f>
        <v>Excellent</v>
      </c>
    </row>
    <row r="379" spans="1:13" ht="15" thickBot="1" x14ac:dyDescent="0.4">
      <c r="A379" s="5">
        <v>1306</v>
      </c>
      <c r="B379" s="5" t="s">
        <v>54</v>
      </c>
      <c r="C379" s="5" t="s">
        <v>43</v>
      </c>
      <c r="D379" s="5" t="s">
        <v>13</v>
      </c>
      <c r="E379" s="5" t="s">
        <v>36</v>
      </c>
      <c r="F379" s="5">
        <v>1</v>
      </c>
      <c r="G379" s="5">
        <v>332</v>
      </c>
      <c r="H379" s="5">
        <v>0</v>
      </c>
      <c r="I379" s="6">
        <v>46191</v>
      </c>
      <c r="J379" s="6">
        <v>46194</v>
      </c>
      <c r="K379" s="10" t="s">
        <v>20</v>
      </c>
      <c r="L379" s="16">
        <f t="shared" si="5"/>
        <v>332</v>
      </c>
      <c r="M379" s="14" t="str" cm="1">
        <f t="array" ref="M379">_xlfn.IFS(L379&gt;=100000, "Excellent", AND(L379&lt;100000, L379&gt;=50000), "Very Good", AND(L379&lt;50000, L379&gt;=20000), "Good", L379&lt;20000, "Average")</f>
        <v>Average</v>
      </c>
    </row>
    <row r="380" spans="1:13" ht="15" thickBot="1" x14ac:dyDescent="0.4">
      <c r="A380" s="5">
        <v>1242</v>
      </c>
      <c r="B380" s="5" t="s">
        <v>54</v>
      </c>
      <c r="C380" s="5" t="s">
        <v>38</v>
      </c>
      <c r="D380" s="5" t="s">
        <v>13</v>
      </c>
      <c r="E380" s="5" t="s">
        <v>50</v>
      </c>
      <c r="F380" s="5">
        <v>7</v>
      </c>
      <c r="G380" s="5">
        <v>168</v>
      </c>
      <c r="H380" s="5">
        <v>10</v>
      </c>
      <c r="I380" s="6">
        <v>46191</v>
      </c>
      <c r="J380" s="6">
        <v>46196</v>
      </c>
      <c r="K380" s="10" t="s">
        <v>51</v>
      </c>
      <c r="L380" s="16">
        <f t="shared" si="5"/>
        <v>1058.4000000000001</v>
      </c>
      <c r="M380" s="14" t="str" cm="1">
        <f t="array" ref="M380">_xlfn.IFS(L380&gt;=100000, "Excellent", AND(L380&lt;100000, L380&gt;=50000), "Very Good", AND(L380&lt;50000, L380&gt;=20000), "Good", L380&lt;20000, "Average")</f>
        <v>Average</v>
      </c>
    </row>
    <row r="381" spans="1:13" ht="15" thickBot="1" x14ac:dyDescent="0.4">
      <c r="A381" s="5">
        <v>1065</v>
      </c>
      <c r="B381" s="5" t="s">
        <v>42</v>
      </c>
      <c r="C381" s="5" t="s">
        <v>43</v>
      </c>
      <c r="D381" s="5" t="s">
        <v>18</v>
      </c>
      <c r="E381" s="5" t="s">
        <v>44</v>
      </c>
      <c r="F381" s="5">
        <v>1</v>
      </c>
      <c r="G381" s="5">
        <v>7730</v>
      </c>
      <c r="H381" s="5">
        <v>5</v>
      </c>
      <c r="I381" s="6">
        <v>46192</v>
      </c>
      <c r="J381" s="6">
        <v>46195</v>
      </c>
      <c r="K381" s="10" t="s">
        <v>51</v>
      </c>
      <c r="L381" s="16">
        <f t="shared" si="5"/>
        <v>7343.5</v>
      </c>
      <c r="M381" s="14" t="str" cm="1">
        <f t="array" ref="M381">_xlfn.IFS(L381&gt;=100000, "Excellent", AND(L381&lt;100000, L381&gt;=50000), "Very Good", AND(L381&lt;50000, L381&gt;=20000), "Good", L381&lt;20000, "Average")</f>
        <v>Average</v>
      </c>
    </row>
    <row r="382" spans="1:13" ht="15" thickBot="1" x14ac:dyDescent="0.4">
      <c r="A382" s="5">
        <v>1023</v>
      </c>
      <c r="B382" s="5" t="s">
        <v>40</v>
      </c>
      <c r="C382" s="5" t="s">
        <v>12</v>
      </c>
      <c r="D382" s="5" t="s">
        <v>18</v>
      </c>
      <c r="E382" s="5" t="s">
        <v>44</v>
      </c>
      <c r="F382" s="5">
        <v>15</v>
      </c>
      <c r="G382" s="5">
        <v>3506</v>
      </c>
      <c r="H382" s="5">
        <v>2</v>
      </c>
      <c r="I382" s="6">
        <v>46193</v>
      </c>
      <c r="J382" s="6">
        <v>46194</v>
      </c>
      <c r="K382" s="10" t="s">
        <v>29</v>
      </c>
      <c r="L382" s="16">
        <f t="shared" si="5"/>
        <v>51538.2</v>
      </c>
      <c r="M382" s="14" t="str" cm="1">
        <f t="array" ref="M382">_xlfn.IFS(L382&gt;=100000, "Excellent", AND(L382&lt;100000, L382&gt;=50000), "Very Good", AND(L382&lt;50000, L382&gt;=20000), "Good", L382&lt;20000, "Average")</f>
        <v>Very Good</v>
      </c>
    </row>
    <row r="383" spans="1:13" ht="15" thickBot="1" x14ac:dyDescent="0.4">
      <c r="A383" s="5">
        <v>1212</v>
      </c>
      <c r="B383" s="5" t="s">
        <v>59</v>
      </c>
      <c r="C383" s="5" t="s">
        <v>25</v>
      </c>
      <c r="D383" s="5" t="s">
        <v>34</v>
      </c>
      <c r="E383" s="5" t="s">
        <v>60</v>
      </c>
      <c r="F383" s="5">
        <v>10</v>
      </c>
      <c r="G383" s="5">
        <v>34380</v>
      </c>
      <c r="H383" s="5">
        <v>7</v>
      </c>
      <c r="I383" s="6">
        <v>46194</v>
      </c>
      <c r="J383" s="6">
        <v>46195</v>
      </c>
      <c r="K383" s="10" t="s">
        <v>29</v>
      </c>
      <c r="L383" s="16">
        <f t="shared" si="5"/>
        <v>319734</v>
      </c>
      <c r="M383" s="14" t="str" cm="1">
        <f t="array" ref="M383">_xlfn.IFS(L383&gt;=100000, "Excellent", AND(L383&lt;100000, L383&gt;=50000), "Very Good", AND(L383&lt;50000, L383&gt;=20000), "Good", L383&lt;20000, "Average")</f>
        <v>Excellent</v>
      </c>
    </row>
    <row r="384" spans="1:13" ht="15" thickBot="1" x14ac:dyDescent="0.4">
      <c r="A384" s="5">
        <v>1397</v>
      </c>
      <c r="B384" s="5" t="s">
        <v>21</v>
      </c>
      <c r="C384" s="5" t="s">
        <v>33</v>
      </c>
      <c r="D384" s="5" t="s">
        <v>18</v>
      </c>
      <c r="E384" s="5" t="s">
        <v>23</v>
      </c>
      <c r="F384" s="5">
        <v>1</v>
      </c>
      <c r="G384" s="5">
        <v>8948</v>
      </c>
      <c r="H384" s="5">
        <v>5</v>
      </c>
      <c r="I384" s="6">
        <v>46194</v>
      </c>
      <c r="J384" s="6">
        <v>46201</v>
      </c>
      <c r="K384" s="10" t="s">
        <v>51</v>
      </c>
      <c r="L384" s="16">
        <f t="shared" si="5"/>
        <v>8500.6</v>
      </c>
      <c r="M384" s="14" t="str" cm="1">
        <f t="array" ref="M384">_xlfn.IFS(L384&gt;=100000, "Excellent", AND(L384&lt;100000, L384&gt;=50000), "Very Good", AND(L384&lt;50000, L384&gt;=20000), "Good", L384&lt;20000, "Average")</f>
        <v>Average</v>
      </c>
    </row>
    <row r="385" spans="1:13" ht="15" thickBot="1" x14ac:dyDescent="0.4">
      <c r="A385" s="5">
        <v>1353</v>
      </c>
      <c r="B385" s="5" t="s">
        <v>47</v>
      </c>
      <c r="C385" s="5" t="s">
        <v>43</v>
      </c>
      <c r="D385" s="5" t="s">
        <v>13</v>
      </c>
      <c r="E385" s="5" t="s">
        <v>14</v>
      </c>
      <c r="F385" s="5">
        <v>6</v>
      </c>
      <c r="G385" s="5">
        <v>495</v>
      </c>
      <c r="H385" s="5">
        <v>2</v>
      </c>
      <c r="I385" s="6">
        <v>46194</v>
      </c>
      <c r="J385" s="6">
        <v>46200</v>
      </c>
      <c r="K385" s="10" t="s">
        <v>24</v>
      </c>
      <c r="L385" s="16">
        <f t="shared" si="5"/>
        <v>2910.6</v>
      </c>
      <c r="M385" s="14" t="str" cm="1">
        <f t="array" ref="M385">_xlfn.IFS(L385&gt;=100000, "Excellent", AND(L385&lt;100000, L385&gt;=50000), "Very Good", AND(L385&lt;50000, L385&gt;=20000), "Good", L385&lt;20000, "Average")</f>
        <v>Average</v>
      </c>
    </row>
    <row r="386" spans="1:13" ht="15" thickBot="1" x14ac:dyDescent="0.4">
      <c r="A386" s="5">
        <v>1164</v>
      </c>
      <c r="B386" s="5" t="s">
        <v>40</v>
      </c>
      <c r="C386" s="5" t="s">
        <v>43</v>
      </c>
      <c r="D386" s="5" t="s">
        <v>34</v>
      </c>
      <c r="E386" s="5" t="s">
        <v>61</v>
      </c>
      <c r="F386" s="5">
        <v>7</v>
      </c>
      <c r="G386" s="5">
        <v>24615</v>
      </c>
      <c r="H386" s="5">
        <v>12</v>
      </c>
      <c r="I386" s="6">
        <v>46196</v>
      </c>
      <c r="J386" s="6">
        <v>46203</v>
      </c>
      <c r="K386" s="10" t="s">
        <v>51</v>
      </c>
      <c r="L386" s="16">
        <f t="shared" si="5"/>
        <v>151628.4</v>
      </c>
      <c r="M386" s="14" t="str" cm="1">
        <f t="array" ref="M386">_xlfn.IFS(L386&gt;=100000, "Excellent", AND(L386&lt;100000, L386&gt;=50000), "Very Good", AND(L386&lt;50000, L386&gt;=20000), "Good", L386&lt;20000, "Average")</f>
        <v>Excellent</v>
      </c>
    </row>
    <row r="387" spans="1:13" ht="15" thickBot="1" x14ac:dyDescent="0.4">
      <c r="A387" s="5">
        <v>1068</v>
      </c>
      <c r="B387" s="5" t="s">
        <v>52</v>
      </c>
      <c r="C387" s="5" t="s">
        <v>43</v>
      </c>
      <c r="D387" s="5" t="s">
        <v>34</v>
      </c>
      <c r="E387" s="5" t="s">
        <v>60</v>
      </c>
      <c r="F387" s="5">
        <v>15</v>
      </c>
      <c r="G387" s="5">
        <v>14534</v>
      </c>
      <c r="H387" s="5">
        <v>5</v>
      </c>
      <c r="I387" s="6">
        <v>46196</v>
      </c>
      <c r="J387" s="6">
        <v>46199</v>
      </c>
      <c r="K387" s="10" t="s">
        <v>29</v>
      </c>
      <c r="L387" s="16">
        <f t="shared" ref="L387:L401" si="6">F387*G387*(1-H387/100)</f>
        <v>207109.5</v>
      </c>
      <c r="M387" s="14" t="str" cm="1">
        <f t="array" ref="M387">_xlfn.IFS(L387&gt;=100000, "Excellent", AND(L387&lt;100000, L387&gt;=50000), "Very Good", AND(L387&lt;50000, L387&gt;=20000), "Good", L387&lt;20000, "Average")</f>
        <v>Excellent</v>
      </c>
    </row>
    <row r="388" spans="1:13" ht="15" thickBot="1" x14ac:dyDescent="0.4">
      <c r="A388" s="5">
        <v>1314</v>
      </c>
      <c r="B388" s="5" t="s">
        <v>52</v>
      </c>
      <c r="C388" s="5" t="s">
        <v>33</v>
      </c>
      <c r="D388" s="5" t="s">
        <v>18</v>
      </c>
      <c r="E388" s="5" t="s">
        <v>19</v>
      </c>
      <c r="F388" s="5">
        <v>10</v>
      </c>
      <c r="G388" s="5">
        <v>6328</v>
      </c>
      <c r="H388" s="5">
        <v>2</v>
      </c>
      <c r="I388" s="6">
        <v>46196</v>
      </c>
      <c r="J388" s="6">
        <v>46197</v>
      </c>
      <c r="K388" s="10" t="s">
        <v>29</v>
      </c>
      <c r="L388" s="16">
        <f t="shared" si="6"/>
        <v>62014.400000000001</v>
      </c>
      <c r="M388" s="14" t="str" cm="1">
        <f t="array" ref="M388">_xlfn.IFS(L388&gt;=100000, "Excellent", AND(L388&lt;100000, L388&gt;=50000), "Very Good", AND(L388&lt;50000, L388&gt;=20000), "Good", L388&lt;20000, "Average")</f>
        <v>Very Good</v>
      </c>
    </row>
    <row r="389" spans="1:13" ht="15" thickBot="1" x14ac:dyDescent="0.4">
      <c r="A389" s="5">
        <v>1340</v>
      </c>
      <c r="B389" s="5" t="s">
        <v>48</v>
      </c>
      <c r="C389" s="5" t="s">
        <v>17</v>
      </c>
      <c r="D389" s="5" t="s">
        <v>18</v>
      </c>
      <c r="E389" s="5" t="s">
        <v>19</v>
      </c>
      <c r="F389" s="5">
        <v>12</v>
      </c>
      <c r="G389" s="5">
        <v>3857</v>
      </c>
      <c r="H389" s="5">
        <v>12</v>
      </c>
      <c r="I389" s="6">
        <v>46196</v>
      </c>
      <c r="J389" s="6">
        <v>46198</v>
      </c>
      <c r="K389" s="10" t="s">
        <v>51</v>
      </c>
      <c r="L389" s="16">
        <f t="shared" si="6"/>
        <v>40729.919999999998</v>
      </c>
      <c r="M389" s="14" t="str" cm="1">
        <f t="array" ref="M389">_xlfn.IFS(L389&gt;=100000, "Excellent", AND(L389&lt;100000, L389&gt;=50000), "Very Good", AND(L389&lt;50000, L389&gt;=20000), "Good", L389&lt;20000, "Average")</f>
        <v>Good</v>
      </c>
    </row>
    <row r="390" spans="1:13" ht="15" thickBot="1" x14ac:dyDescent="0.4">
      <c r="A390" s="5">
        <v>1383</v>
      </c>
      <c r="B390" s="5" t="s">
        <v>32</v>
      </c>
      <c r="C390" s="5" t="s">
        <v>12</v>
      </c>
      <c r="D390" s="5" t="s">
        <v>13</v>
      </c>
      <c r="E390" s="5" t="s">
        <v>53</v>
      </c>
      <c r="F390" s="5">
        <v>14</v>
      </c>
      <c r="G390" s="5">
        <v>334</v>
      </c>
      <c r="H390" s="5">
        <v>10</v>
      </c>
      <c r="I390" s="6">
        <v>46196</v>
      </c>
      <c r="J390" s="6">
        <v>46203</v>
      </c>
      <c r="K390" s="10" t="s">
        <v>15</v>
      </c>
      <c r="L390" s="16">
        <f t="shared" si="6"/>
        <v>4208.4000000000005</v>
      </c>
      <c r="M390" s="14" t="str" cm="1">
        <f t="array" ref="M390">_xlfn.IFS(L390&gt;=100000, "Excellent", AND(L390&lt;100000, L390&gt;=50000), "Very Good", AND(L390&lt;50000, L390&gt;=20000), "Good", L390&lt;20000, "Average")</f>
        <v>Average</v>
      </c>
    </row>
    <row r="391" spans="1:13" ht="15" thickBot="1" x14ac:dyDescent="0.4">
      <c r="A391" s="5">
        <v>1309</v>
      </c>
      <c r="B391" s="5" t="s">
        <v>29</v>
      </c>
      <c r="C391" s="5" t="s">
        <v>31</v>
      </c>
      <c r="D391" s="5" t="s">
        <v>13</v>
      </c>
      <c r="E391" s="5" t="s">
        <v>50</v>
      </c>
      <c r="F391" s="5">
        <v>2</v>
      </c>
      <c r="G391" s="5">
        <v>35</v>
      </c>
      <c r="H391" s="5">
        <v>5</v>
      </c>
      <c r="I391" s="6">
        <v>46197</v>
      </c>
      <c r="J391" s="6">
        <v>46198</v>
      </c>
      <c r="K391" s="10" t="s">
        <v>24</v>
      </c>
      <c r="L391" s="16">
        <f t="shared" si="6"/>
        <v>66.5</v>
      </c>
      <c r="M391" s="14" t="str" cm="1">
        <f t="array" ref="M391">_xlfn.IFS(L391&gt;=100000, "Excellent", AND(L391&lt;100000, L391&gt;=50000), "Very Good", AND(L391&lt;50000, L391&gt;=20000), "Good", L391&lt;20000, "Average")</f>
        <v>Average</v>
      </c>
    </row>
    <row r="392" spans="1:13" ht="15" thickBot="1" x14ac:dyDescent="0.4">
      <c r="A392" s="5">
        <v>1233</v>
      </c>
      <c r="B392" s="5" t="s">
        <v>58</v>
      </c>
      <c r="C392" s="5" t="s">
        <v>22</v>
      </c>
      <c r="D392" s="5" t="s">
        <v>18</v>
      </c>
      <c r="E392" s="5" t="s">
        <v>19</v>
      </c>
      <c r="F392" s="5">
        <v>20</v>
      </c>
      <c r="G392" s="5">
        <v>13941</v>
      </c>
      <c r="H392" s="5">
        <v>15</v>
      </c>
      <c r="I392" s="6">
        <v>46198</v>
      </c>
      <c r="J392" s="6">
        <v>46202</v>
      </c>
      <c r="K392" s="10" t="s">
        <v>24</v>
      </c>
      <c r="L392" s="16">
        <f t="shared" si="6"/>
        <v>236997</v>
      </c>
      <c r="M392" s="14" t="str" cm="1">
        <f t="array" ref="M392">_xlfn.IFS(L392&gt;=100000, "Excellent", AND(L392&lt;100000, L392&gt;=50000), "Very Good", AND(L392&lt;50000, L392&gt;=20000), "Good", L392&lt;20000, "Average")</f>
        <v>Excellent</v>
      </c>
    </row>
    <row r="393" spans="1:13" ht="15" thickBot="1" x14ac:dyDescent="0.4">
      <c r="A393" s="5">
        <v>1195</v>
      </c>
      <c r="B393" s="5" t="s">
        <v>59</v>
      </c>
      <c r="C393" s="5" t="s">
        <v>17</v>
      </c>
      <c r="D393" s="5" t="s">
        <v>13</v>
      </c>
      <c r="E393" s="5" t="s">
        <v>50</v>
      </c>
      <c r="F393" s="5">
        <v>19</v>
      </c>
      <c r="G393" s="5">
        <v>313</v>
      </c>
      <c r="H393" s="5">
        <v>2</v>
      </c>
      <c r="I393" s="6">
        <v>46198</v>
      </c>
      <c r="J393" s="6">
        <v>46206</v>
      </c>
      <c r="K393" s="10" t="s">
        <v>51</v>
      </c>
      <c r="L393" s="16">
        <f t="shared" si="6"/>
        <v>5828.0599999999995</v>
      </c>
      <c r="M393" s="14" t="str" cm="1">
        <f t="array" ref="M393">_xlfn.IFS(L393&gt;=100000, "Excellent", AND(L393&lt;100000, L393&gt;=50000), "Very Good", AND(L393&lt;50000, L393&gt;=20000), "Good", L393&lt;20000, "Average")</f>
        <v>Average</v>
      </c>
    </row>
    <row r="394" spans="1:13" ht="15" thickBot="1" x14ac:dyDescent="0.4">
      <c r="A394" s="5">
        <v>1268</v>
      </c>
      <c r="B394" s="5" t="s">
        <v>42</v>
      </c>
      <c r="C394" s="5" t="s">
        <v>38</v>
      </c>
      <c r="D394" s="5" t="s">
        <v>34</v>
      </c>
      <c r="E394" s="5" t="s">
        <v>45</v>
      </c>
      <c r="F394" s="5">
        <v>10</v>
      </c>
      <c r="G394" s="5">
        <v>46291</v>
      </c>
      <c r="H394" s="5">
        <v>12</v>
      </c>
      <c r="I394" s="6">
        <v>46199</v>
      </c>
      <c r="J394" s="6">
        <v>46202</v>
      </c>
      <c r="K394" s="10" t="s">
        <v>20</v>
      </c>
      <c r="L394" s="16">
        <f t="shared" si="6"/>
        <v>407360.8</v>
      </c>
      <c r="M394" s="14" t="str" cm="1">
        <f t="array" ref="M394">_xlfn.IFS(L394&gt;=100000, "Excellent", AND(L394&lt;100000, L394&gt;=50000), "Very Good", AND(L394&lt;50000, L394&gt;=20000), "Good", L394&lt;20000, "Average")</f>
        <v>Excellent</v>
      </c>
    </row>
    <row r="395" spans="1:13" ht="15" thickBot="1" x14ac:dyDescent="0.4">
      <c r="A395" s="5">
        <v>1047</v>
      </c>
      <c r="B395" s="5" t="s">
        <v>58</v>
      </c>
      <c r="C395" s="5" t="s">
        <v>38</v>
      </c>
      <c r="D395" s="5" t="s">
        <v>18</v>
      </c>
      <c r="E395" s="5" t="s">
        <v>56</v>
      </c>
      <c r="F395" s="5">
        <v>11</v>
      </c>
      <c r="G395" s="5">
        <v>9976</v>
      </c>
      <c r="H395" s="5">
        <v>12</v>
      </c>
      <c r="I395" s="6">
        <v>46200</v>
      </c>
      <c r="J395" s="6">
        <v>46209</v>
      </c>
      <c r="K395" s="10" t="s">
        <v>15</v>
      </c>
      <c r="L395" s="16">
        <f t="shared" si="6"/>
        <v>96567.680000000008</v>
      </c>
      <c r="M395" s="14" t="str" cm="1">
        <f t="array" ref="M395">_xlfn.IFS(L395&gt;=100000, "Excellent", AND(L395&lt;100000, L395&gt;=50000), "Very Good", AND(L395&lt;50000, L395&gt;=20000), "Good", L395&lt;20000, "Average")</f>
        <v>Very Good</v>
      </c>
    </row>
    <row r="396" spans="1:13" ht="15" thickBot="1" x14ac:dyDescent="0.4">
      <c r="A396" s="5">
        <v>1054</v>
      </c>
      <c r="B396" s="5" t="s">
        <v>26</v>
      </c>
      <c r="C396" s="5" t="s">
        <v>25</v>
      </c>
      <c r="D396" s="5" t="s">
        <v>18</v>
      </c>
      <c r="E396" s="5" t="s">
        <v>23</v>
      </c>
      <c r="F396" s="5">
        <v>8</v>
      </c>
      <c r="G396" s="5">
        <v>9798</v>
      </c>
      <c r="H396" s="5">
        <v>12</v>
      </c>
      <c r="I396" s="6">
        <v>46200</v>
      </c>
      <c r="J396" s="6">
        <v>46201</v>
      </c>
      <c r="K396" s="10" t="s">
        <v>51</v>
      </c>
      <c r="L396" s="16">
        <f t="shared" si="6"/>
        <v>68977.919999999998</v>
      </c>
      <c r="M396" s="14" t="str" cm="1">
        <f t="array" ref="M396">_xlfn.IFS(L396&gt;=100000, "Excellent", AND(L396&lt;100000, L396&gt;=50000), "Very Good", AND(L396&lt;50000, L396&gt;=20000), "Good", L396&lt;20000, "Average")</f>
        <v>Very Good</v>
      </c>
    </row>
    <row r="397" spans="1:13" ht="15" thickBot="1" x14ac:dyDescent="0.4">
      <c r="A397" s="5">
        <v>1264</v>
      </c>
      <c r="B397" s="5" t="s">
        <v>11</v>
      </c>
      <c r="C397" s="5" t="s">
        <v>22</v>
      </c>
      <c r="D397" s="5" t="s">
        <v>18</v>
      </c>
      <c r="E397" s="5" t="s">
        <v>28</v>
      </c>
      <c r="F397" s="5">
        <v>15</v>
      </c>
      <c r="G397" s="5">
        <v>6365</v>
      </c>
      <c r="H397" s="5">
        <v>10</v>
      </c>
      <c r="I397" s="6">
        <v>46200</v>
      </c>
      <c r="J397" s="6">
        <v>46206</v>
      </c>
      <c r="K397" s="10" t="s">
        <v>20</v>
      </c>
      <c r="L397" s="16">
        <f t="shared" si="6"/>
        <v>85927.5</v>
      </c>
      <c r="M397" s="14" t="str" cm="1">
        <f t="array" ref="M397">_xlfn.IFS(L397&gt;=100000, "Excellent", AND(L397&lt;100000, L397&gt;=50000), "Very Good", AND(L397&lt;50000, L397&gt;=20000), "Good", L397&lt;20000, "Average")</f>
        <v>Very Good</v>
      </c>
    </row>
    <row r="398" spans="1:13" ht="15" thickBot="1" x14ac:dyDescent="0.4">
      <c r="A398" s="5">
        <v>1244</v>
      </c>
      <c r="B398" s="5" t="s">
        <v>57</v>
      </c>
      <c r="C398" s="5" t="s">
        <v>38</v>
      </c>
      <c r="D398" s="5" t="s">
        <v>18</v>
      </c>
      <c r="E398" s="5" t="s">
        <v>28</v>
      </c>
      <c r="F398" s="5">
        <v>10</v>
      </c>
      <c r="G398" s="5">
        <v>6339</v>
      </c>
      <c r="H398" s="5">
        <v>12</v>
      </c>
      <c r="I398" s="6">
        <v>46200</v>
      </c>
      <c r="J398" s="6">
        <v>46205</v>
      </c>
      <c r="K398" s="10" t="s">
        <v>15</v>
      </c>
      <c r="L398" s="16">
        <f t="shared" si="6"/>
        <v>55783.199999999997</v>
      </c>
      <c r="M398" s="14" t="str" cm="1">
        <f t="array" ref="M398">_xlfn.IFS(L398&gt;=100000, "Excellent", AND(L398&lt;100000, L398&gt;=50000), "Very Good", AND(L398&lt;50000, L398&gt;=20000), "Good", L398&lt;20000, "Average")</f>
        <v>Very Good</v>
      </c>
    </row>
    <row r="399" spans="1:13" ht="15" thickBot="1" x14ac:dyDescent="0.4">
      <c r="A399" s="5">
        <v>1356</v>
      </c>
      <c r="B399" s="5" t="s">
        <v>26</v>
      </c>
      <c r="C399" s="5" t="s">
        <v>38</v>
      </c>
      <c r="D399" s="5" t="s">
        <v>34</v>
      </c>
      <c r="E399" s="5" t="s">
        <v>60</v>
      </c>
      <c r="F399" s="5">
        <v>16</v>
      </c>
      <c r="G399" s="5">
        <v>53457</v>
      </c>
      <c r="H399" s="5">
        <v>10</v>
      </c>
      <c r="I399" s="6">
        <v>46201</v>
      </c>
      <c r="J399" s="6">
        <v>46204</v>
      </c>
      <c r="K399" s="10" t="s">
        <v>15</v>
      </c>
      <c r="L399" s="16">
        <f t="shared" si="6"/>
        <v>769780.8</v>
      </c>
      <c r="M399" s="14" t="str" cm="1">
        <f t="array" ref="M399">_xlfn.IFS(L399&gt;=100000, "Excellent", AND(L399&lt;100000, L399&gt;=50000), "Very Good", AND(L399&lt;50000, L399&gt;=20000), "Good", L399&lt;20000, "Average")</f>
        <v>Excellent</v>
      </c>
    </row>
    <row r="400" spans="1:13" ht="15" thickBot="1" x14ac:dyDescent="0.4">
      <c r="A400" s="5">
        <v>1126</v>
      </c>
      <c r="B400" s="5" t="s">
        <v>46</v>
      </c>
      <c r="C400" s="5" t="s">
        <v>22</v>
      </c>
      <c r="D400" s="5" t="s">
        <v>34</v>
      </c>
      <c r="E400" s="5" t="s">
        <v>39</v>
      </c>
      <c r="F400" s="5">
        <v>17</v>
      </c>
      <c r="G400" s="5">
        <v>19390</v>
      </c>
      <c r="H400" s="5">
        <v>12</v>
      </c>
      <c r="I400" s="6">
        <v>46201</v>
      </c>
      <c r="J400" s="6">
        <v>46206</v>
      </c>
      <c r="K400" s="10" t="s">
        <v>29</v>
      </c>
      <c r="L400" s="16">
        <f t="shared" si="6"/>
        <v>290074.40000000002</v>
      </c>
      <c r="M400" s="14" t="str" cm="1">
        <f t="array" ref="M400">_xlfn.IFS(L400&gt;=100000, "Excellent", AND(L400&lt;100000, L400&gt;=50000), "Very Good", AND(L400&lt;50000, L400&gt;=20000), "Good", L400&lt;20000, "Average")</f>
        <v>Excellent</v>
      </c>
    </row>
    <row r="401" spans="1:13" ht="15" thickBot="1" x14ac:dyDescent="0.4">
      <c r="A401" s="5">
        <v>1219</v>
      </c>
      <c r="B401" s="5" t="s">
        <v>46</v>
      </c>
      <c r="C401" s="5" t="s">
        <v>22</v>
      </c>
      <c r="D401" s="5" t="s">
        <v>13</v>
      </c>
      <c r="E401" s="5" t="s">
        <v>14</v>
      </c>
      <c r="F401" s="5">
        <v>4</v>
      </c>
      <c r="G401" s="5">
        <v>117</v>
      </c>
      <c r="H401" s="5">
        <v>15</v>
      </c>
      <c r="I401" s="6">
        <v>46202</v>
      </c>
      <c r="J401" s="6">
        <v>46206</v>
      </c>
      <c r="K401" s="10" t="s">
        <v>29</v>
      </c>
      <c r="L401" s="16">
        <f t="shared" si="6"/>
        <v>397.8</v>
      </c>
      <c r="M401" s="14" t="str" cm="1">
        <f t="array" ref="M401">_xlfn.IFS(L401&gt;=100000, "Excellent", AND(L401&lt;100000, L401&gt;=50000), "Very Good", AND(L401&lt;50000, L401&gt;=20000), "Good", L401&lt;20000, "Average")</f>
        <v>Average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0DCAAB-9CB1-42EC-9611-DA0E645340B5}">
  <dimension ref="A1:L401"/>
  <sheetViews>
    <sheetView workbookViewId="0">
      <selection sqref="A1:L1"/>
    </sheetView>
  </sheetViews>
  <sheetFormatPr defaultRowHeight="14.5" x14ac:dyDescent="0.35"/>
  <cols>
    <col min="1" max="1" width="8.54296875" bestFit="1" customWidth="1"/>
    <col min="2" max="2" width="9" bestFit="1" customWidth="1"/>
    <col min="3" max="3" width="11" bestFit="1" customWidth="1"/>
    <col min="4" max="4" width="9.7265625" bestFit="1" customWidth="1"/>
    <col min="5" max="5" width="9" bestFit="1" customWidth="1"/>
    <col min="6" max="6" width="8.1796875" bestFit="1" customWidth="1"/>
    <col min="7" max="7" width="9.453125" bestFit="1" customWidth="1"/>
    <col min="8" max="8" width="10.6328125" bestFit="1" customWidth="1"/>
    <col min="9" max="9" width="10.7265625" bestFit="1" customWidth="1"/>
    <col min="10" max="10" width="12.7265625" customWidth="1"/>
    <col min="11" max="11" width="10.81640625" bestFit="1" customWidth="1"/>
    <col min="12" max="12" width="17.6328125" customWidth="1"/>
  </cols>
  <sheetData>
    <row r="1" spans="1:12" ht="15" thickBot="1" x14ac:dyDescent="0.4">
      <c r="A1" s="31" t="s">
        <v>0</v>
      </c>
      <c r="B1" s="31" t="s">
        <v>1</v>
      </c>
      <c r="C1" s="31" t="s">
        <v>2</v>
      </c>
      <c r="D1" s="31" t="s">
        <v>3</v>
      </c>
      <c r="E1" s="31" t="s">
        <v>4</v>
      </c>
      <c r="F1" s="31" t="s">
        <v>5</v>
      </c>
      <c r="G1" s="31" t="s">
        <v>6</v>
      </c>
      <c r="H1" s="31" t="s">
        <v>7</v>
      </c>
      <c r="I1" s="31" t="s">
        <v>8</v>
      </c>
      <c r="J1" s="31" t="s">
        <v>9</v>
      </c>
      <c r="K1" s="35" t="s">
        <v>10</v>
      </c>
      <c r="L1" s="36" t="s">
        <v>72</v>
      </c>
    </row>
    <row r="2" spans="1:12" ht="15" thickBot="1" x14ac:dyDescent="0.4">
      <c r="A2" s="5">
        <v>1019</v>
      </c>
      <c r="B2" s="5" t="s">
        <v>11</v>
      </c>
      <c r="C2" s="5" t="s">
        <v>43</v>
      </c>
      <c r="D2" s="5" t="s">
        <v>34</v>
      </c>
      <c r="E2" s="5" t="s">
        <v>41</v>
      </c>
      <c r="F2" s="5">
        <v>18</v>
      </c>
      <c r="G2" s="5">
        <v>45652</v>
      </c>
      <c r="H2" s="5">
        <v>10</v>
      </c>
      <c r="I2" s="6">
        <v>46023</v>
      </c>
      <c r="J2" s="6">
        <v>46030</v>
      </c>
      <c r="K2" s="10" t="s">
        <v>20</v>
      </c>
      <c r="L2" s="14" t="str">
        <f>_xlfn.CONCAT(B2,"-",D2)</f>
        <v>Ritesh-Electronics</v>
      </c>
    </row>
    <row r="3" spans="1:12" ht="15" thickBot="1" x14ac:dyDescent="0.4">
      <c r="A3" s="5">
        <v>1355</v>
      </c>
      <c r="B3" s="5" t="s">
        <v>27</v>
      </c>
      <c r="C3" s="5" t="s">
        <v>12</v>
      </c>
      <c r="D3" s="5" t="s">
        <v>34</v>
      </c>
      <c r="E3" s="5" t="s">
        <v>60</v>
      </c>
      <c r="F3" s="5">
        <v>18</v>
      </c>
      <c r="G3" s="5">
        <v>35997</v>
      </c>
      <c r="H3" s="5">
        <v>2</v>
      </c>
      <c r="I3" s="6">
        <v>46024</v>
      </c>
      <c r="J3" s="6">
        <v>46031</v>
      </c>
      <c r="K3" s="10" t="s">
        <v>51</v>
      </c>
      <c r="L3" s="14" t="str">
        <f t="shared" ref="L3:L66" si="0">_xlfn.CONCAT(B3,"-",D3)</f>
        <v>Arjun-Electronics</v>
      </c>
    </row>
    <row r="4" spans="1:12" ht="15" thickBot="1" x14ac:dyDescent="0.4">
      <c r="A4" s="5">
        <v>1060</v>
      </c>
      <c r="B4" s="5" t="s">
        <v>49</v>
      </c>
      <c r="C4" s="5" t="s">
        <v>12</v>
      </c>
      <c r="D4" s="5" t="s">
        <v>18</v>
      </c>
      <c r="E4" s="5" t="s">
        <v>44</v>
      </c>
      <c r="F4" s="5">
        <v>9</v>
      </c>
      <c r="G4" s="5">
        <v>9727</v>
      </c>
      <c r="H4" s="5">
        <v>2</v>
      </c>
      <c r="I4" s="6">
        <v>46024</v>
      </c>
      <c r="J4" s="6">
        <v>46030</v>
      </c>
      <c r="K4" s="10" t="s">
        <v>20</v>
      </c>
      <c r="L4" s="14" t="str">
        <f t="shared" si="0"/>
        <v>Ajay-Furniture</v>
      </c>
    </row>
    <row r="5" spans="1:12" ht="15" thickBot="1" x14ac:dyDescent="0.4">
      <c r="A5" s="5">
        <v>1151</v>
      </c>
      <c r="B5" s="5" t="s">
        <v>46</v>
      </c>
      <c r="C5" s="5" t="s">
        <v>43</v>
      </c>
      <c r="D5" s="5" t="s">
        <v>13</v>
      </c>
      <c r="E5" s="5" t="s">
        <v>50</v>
      </c>
      <c r="F5" s="5">
        <v>20</v>
      </c>
      <c r="G5" s="5">
        <v>272</v>
      </c>
      <c r="H5" s="5">
        <v>15</v>
      </c>
      <c r="I5" s="6">
        <v>46024</v>
      </c>
      <c r="J5" s="6">
        <v>46029</v>
      </c>
      <c r="K5" s="10" t="s">
        <v>51</v>
      </c>
      <c r="L5" s="14" t="str">
        <f t="shared" si="0"/>
        <v>Kiran-Stationery</v>
      </c>
    </row>
    <row r="6" spans="1:12" ht="15" thickBot="1" x14ac:dyDescent="0.4">
      <c r="A6" s="5">
        <v>1132</v>
      </c>
      <c r="B6" s="5" t="s">
        <v>11</v>
      </c>
      <c r="C6" s="5" t="s">
        <v>31</v>
      </c>
      <c r="D6" s="5" t="s">
        <v>13</v>
      </c>
      <c r="E6" s="5" t="s">
        <v>50</v>
      </c>
      <c r="F6" s="5">
        <v>10</v>
      </c>
      <c r="G6" s="5">
        <v>270</v>
      </c>
      <c r="H6" s="5">
        <v>7</v>
      </c>
      <c r="I6" s="6">
        <v>46024</v>
      </c>
      <c r="J6" s="6">
        <v>46034</v>
      </c>
      <c r="K6" s="10" t="s">
        <v>24</v>
      </c>
      <c r="L6" s="14" t="str">
        <f t="shared" si="0"/>
        <v>Ritesh-Stationery</v>
      </c>
    </row>
    <row r="7" spans="1:12" ht="15" thickBot="1" x14ac:dyDescent="0.4">
      <c r="A7" s="5">
        <v>1352</v>
      </c>
      <c r="B7" s="5" t="s">
        <v>54</v>
      </c>
      <c r="C7" s="5" t="s">
        <v>22</v>
      </c>
      <c r="D7" s="5" t="s">
        <v>13</v>
      </c>
      <c r="E7" s="5" t="s">
        <v>14</v>
      </c>
      <c r="F7" s="5">
        <v>12</v>
      </c>
      <c r="G7" s="5">
        <v>203</v>
      </c>
      <c r="H7" s="5">
        <v>5</v>
      </c>
      <c r="I7" s="6">
        <v>46024</v>
      </c>
      <c r="J7" s="6">
        <v>46033</v>
      </c>
      <c r="K7" s="10" t="s">
        <v>15</v>
      </c>
      <c r="L7" s="14" t="str">
        <f t="shared" si="0"/>
        <v>Manoj-Stationery</v>
      </c>
    </row>
    <row r="8" spans="1:12" ht="15" thickBot="1" x14ac:dyDescent="0.4">
      <c r="A8" s="5">
        <v>1156</v>
      </c>
      <c r="B8" s="5" t="s">
        <v>54</v>
      </c>
      <c r="C8" s="5" t="s">
        <v>38</v>
      </c>
      <c r="D8" s="5" t="s">
        <v>13</v>
      </c>
      <c r="E8" s="5" t="s">
        <v>36</v>
      </c>
      <c r="F8" s="5">
        <v>5</v>
      </c>
      <c r="G8" s="5">
        <v>466</v>
      </c>
      <c r="H8" s="5">
        <v>15</v>
      </c>
      <c r="I8" s="6">
        <v>46025</v>
      </c>
      <c r="J8" s="6">
        <v>46029</v>
      </c>
      <c r="K8" s="10" t="s">
        <v>15</v>
      </c>
      <c r="L8" s="14" t="str">
        <f t="shared" si="0"/>
        <v>Manoj-Stationery</v>
      </c>
    </row>
    <row r="9" spans="1:12" ht="15" thickBot="1" x14ac:dyDescent="0.4">
      <c r="A9" s="5">
        <v>1341</v>
      </c>
      <c r="B9" s="5" t="s">
        <v>57</v>
      </c>
      <c r="C9" s="5" t="s">
        <v>38</v>
      </c>
      <c r="D9" s="5" t="s">
        <v>18</v>
      </c>
      <c r="E9" s="5" t="s">
        <v>19</v>
      </c>
      <c r="F9" s="5">
        <v>19</v>
      </c>
      <c r="G9" s="5">
        <v>6488</v>
      </c>
      <c r="H9" s="5">
        <v>15</v>
      </c>
      <c r="I9" s="6">
        <v>46026</v>
      </c>
      <c r="J9" s="6">
        <v>46030</v>
      </c>
      <c r="K9" s="10" t="s">
        <v>20</v>
      </c>
      <c r="L9" s="14" t="str">
        <f t="shared" si="0"/>
        <v>Sara-Furniture</v>
      </c>
    </row>
    <row r="10" spans="1:12" ht="15" thickBot="1" x14ac:dyDescent="0.4">
      <c r="A10" s="5">
        <v>1351</v>
      </c>
      <c r="B10" s="5" t="s">
        <v>42</v>
      </c>
      <c r="C10" s="5" t="s">
        <v>33</v>
      </c>
      <c r="D10" s="5" t="s">
        <v>34</v>
      </c>
      <c r="E10" s="5" t="s">
        <v>45</v>
      </c>
      <c r="F10" s="5">
        <v>12</v>
      </c>
      <c r="G10" s="5">
        <v>1272</v>
      </c>
      <c r="H10" s="5">
        <v>0</v>
      </c>
      <c r="I10" s="6">
        <v>46026</v>
      </c>
      <c r="J10" s="6">
        <v>46029</v>
      </c>
      <c r="K10" s="10" t="s">
        <v>15</v>
      </c>
      <c r="L10" s="14" t="str">
        <f t="shared" si="0"/>
        <v>Nisha-Electronics</v>
      </c>
    </row>
    <row r="11" spans="1:12" ht="15" thickBot="1" x14ac:dyDescent="0.4">
      <c r="A11" s="5">
        <v>1229</v>
      </c>
      <c r="B11" s="5" t="s">
        <v>57</v>
      </c>
      <c r="C11" s="5" t="s">
        <v>12</v>
      </c>
      <c r="D11" s="5" t="s">
        <v>18</v>
      </c>
      <c r="E11" s="5" t="s">
        <v>56</v>
      </c>
      <c r="F11" s="5">
        <v>14</v>
      </c>
      <c r="G11" s="5">
        <v>5859</v>
      </c>
      <c r="H11" s="5">
        <v>12</v>
      </c>
      <c r="I11" s="6">
        <v>46027</v>
      </c>
      <c r="J11" s="6">
        <v>46036</v>
      </c>
      <c r="K11" s="10" t="s">
        <v>20</v>
      </c>
      <c r="L11" s="14" t="str">
        <f t="shared" si="0"/>
        <v>Sara-Furniture</v>
      </c>
    </row>
    <row r="12" spans="1:12" ht="15" thickBot="1" x14ac:dyDescent="0.4">
      <c r="A12" s="5">
        <v>1100</v>
      </c>
      <c r="B12" s="5" t="s">
        <v>11</v>
      </c>
      <c r="C12" s="5" t="s">
        <v>31</v>
      </c>
      <c r="D12" s="5" t="s">
        <v>13</v>
      </c>
      <c r="E12" s="5" t="s">
        <v>14</v>
      </c>
      <c r="F12" s="5">
        <v>11</v>
      </c>
      <c r="G12" s="5">
        <v>296</v>
      </c>
      <c r="H12" s="5">
        <v>10</v>
      </c>
      <c r="I12" s="6">
        <v>46027</v>
      </c>
      <c r="J12" s="6">
        <v>46031</v>
      </c>
      <c r="K12" s="10" t="s">
        <v>51</v>
      </c>
      <c r="L12" s="14" t="str">
        <f t="shared" si="0"/>
        <v>Ritesh-Stationery</v>
      </c>
    </row>
    <row r="13" spans="1:12" ht="15" thickBot="1" x14ac:dyDescent="0.4">
      <c r="A13" s="5">
        <v>1301</v>
      </c>
      <c r="B13" s="5" t="s">
        <v>54</v>
      </c>
      <c r="C13" s="5" t="s">
        <v>17</v>
      </c>
      <c r="D13" s="5" t="s">
        <v>18</v>
      </c>
      <c r="E13" s="5" t="s">
        <v>28</v>
      </c>
      <c r="F13" s="5">
        <v>3</v>
      </c>
      <c r="G13" s="5">
        <v>7020</v>
      </c>
      <c r="H13" s="5">
        <v>10</v>
      </c>
      <c r="I13" s="6">
        <v>46028</v>
      </c>
      <c r="J13" s="6">
        <v>46038</v>
      </c>
      <c r="K13" s="10" t="s">
        <v>24</v>
      </c>
      <c r="L13" s="14" t="str">
        <f t="shared" si="0"/>
        <v>Manoj-Furniture</v>
      </c>
    </row>
    <row r="14" spans="1:12" ht="15" thickBot="1" x14ac:dyDescent="0.4">
      <c r="A14" s="5">
        <v>1148</v>
      </c>
      <c r="B14" s="5" t="s">
        <v>59</v>
      </c>
      <c r="C14" s="5" t="s">
        <v>33</v>
      </c>
      <c r="D14" s="5" t="s">
        <v>18</v>
      </c>
      <c r="E14" s="5" t="s">
        <v>28</v>
      </c>
      <c r="F14" s="5">
        <v>11</v>
      </c>
      <c r="G14" s="5">
        <v>3023</v>
      </c>
      <c r="H14" s="5">
        <v>7</v>
      </c>
      <c r="I14" s="6">
        <v>46030</v>
      </c>
      <c r="J14" s="6">
        <v>46032</v>
      </c>
      <c r="K14" s="10" t="s">
        <v>24</v>
      </c>
      <c r="L14" s="14" t="str">
        <f t="shared" si="0"/>
        <v>Anita-Furniture</v>
      </c>
    </row>
    <row r="15" spans="1:12" ht="15" thickBot="1" x14ac:dyDescent="0.4">
      <c r="A15" s="5">
        <v>1038</v>
      </c>
      <c r="B15" s="5" t="s">
        <v>55</v>
      </c>
      <c r="C15" s="5" t="s">
        <v>17</v>
      </c>
      <c r="D15" s="5" t="s">
        <v>13</v>
      </c>
      <c r="E15" s="5" t="s">
        <v>36</v>
      </c>
      <c r="F15" s="5">
        <v>17</v>
      </c>
      <c r="G15" s="5">
        <v>223</v>
      </c>
      <c r="H15" s="5">
        <v>7</v>
      </c>
      <c r="I15" s="6">
        <v>46030</v>
      </c>
      <c r="J15" s="6">
        <v>46031</v>
      </c>
      <c r="K15" s="10" t="s">
        <v>51</v>
      </c>
      <c r="L15" s="14" t="str">
        <f t="shared" si="0"/>
        <v>Sneha-Stationery</v>
      </c>
    </row>
    <row r="16" spans="1:12" ht="15" thickBot="1" x14ac:dyDescent="0.4">
      <c r="A16" s="5">
        <v>1035</v>
      </c>
      <c r="B16" s="5" t="s">
        <v>49</v>
      </c>
      <c r="C16" s="5" t="s">
        <v>43</v>
      </c>
      <c r="D16" s="5" t="s">
        <v>18</v>
      </c>
      <c r="E16" s="5" t="s">
        <v>56</v>
      </c>
      <c r="F16" s="5">
        <v>3</v>
      </c>
      <c r="G16" s="5">
        <v>9149</v>
      </c>
      <c r="H16" s="5">
        <v>0</v>
      </c>
      <c r="I16" s="6">
        <v>46031</v>
      </c>
      <c r="J16" s="6">
        <v>46034</v>
      </c>
      <c r="K16" s="10" t="s">
        <v>24</v>
      </c>
      <c r="L16" s="14" t="str">
        <f t="shared" si="0"/>
        <v>Ajay-Furniture</v>
      </c>
    </row>
    <row r="17" spans="1:12" ht="15" thickBot="1" x14ac:dyDescent="0.4">
      <c r="A17" s="5">
        <v>1364</v>
      </c>
      <c r="B17" s="5" t="s">
        <v>30</v>
      </c>
      <c r="C17" s="5" t="s">
        <v>22</v>
      </c>
      <c r="D17" s="5" t="s">
        <v>18</v>
      </c>
      <c r="E17" s="5" t="s">
        <v>56</v>
      </c>
      <c r="F17" s="5">
        <v>16</v>
      </c>
      <c r="G17" s="5">
        <v>1744</v>
      </c>
      <c r="H17" s="5">
        <v>15</v>
      </c>
      <c r="I17" s="6">
        <v>46031</v>
      </c>
      <c r="J17" s="6">
        <v>46033</v>
      </c>
      <c r="K17" s="10" t="s">
        <v>51</v>
      </c>
      <c r="L17" s="14" t="str">
        <f t="shared" si="0"/>
        <v>Neha-Furniture</v>
      </c>
    </row>
    <row r="18" spans="1:12" ht="15" thickBot="1" x14ac:dyDescent="0.4">
      <c r="A18" s="5">
        <v>1396</v>
      </c>
      <c r="B18" s="5" t="s">
        <v>21</v>
      </c>
      <c r="C18" s="5" t="s">
        <v>38</v>
      </c>
      <c r="D18" s="5" t="s">
        <v>13</v>
      </c>
      <c r="E18" s="5" t="s">
        <v>53</v>
      </c>
      <c r="F18" s="5">
        <v>8</v>
      </c>
      <c r="G18" s="5">
        <v>54</v>
      </c>
      <c r="H18" s="5">
        <v>15</v>
      </c>
      <c r="I18" s="6">
        <v>46031</v>
      </c>
      <c r="J18" s="6">
        <v>46035</v>
      </c>
      <c r="K18" s="10" t="s">
        <v>15</v>
      </c>
      <c r="L18" s="14" t="str">
        <f t="shared" si="0"/>
        <v>Meera-Stationery</v>
      </c>
    </row>
    <row r="19" spans="1:12" ht="15" thickBot="1" x14ac:dyDescent="0.4">
      <c r="A19" s="5">
        <v>1330</v>
      </c>
      <c r="B19" s="5" t="s">
        <v>49</v>
      </c>
      <c r="C19" s="5" t="s">
        <v>17</v>
      </c>
      <c r="D19" s="5" t="s">
        <v>18</v>
      </c>
      <c r="E19" s="5" t="s">
        <v>19</v>
      </c>
      <c r="F19" s="5">
        <v>13</v>
      </c>
      <c r="G19" s="5">
        <v>12071</v>
      </c>
      <c r="H19" s="5">
        <v>0</v>
      </c>
      <c r="I19" s="6">
        <v>46032</v>
      </c>
      <c r="J19" s="6">
        <v>46036</v>
      </c>
      <c r="K19" s="10" t="s">
        <v>51</v>
      </c>
      <c r="L19" s="14" t="str">
        <f t="shared" si="0"/>
        <v>Ajay-Furniture</v>
      </c>
    </row>
    <row r="20" spans="1:12" ht="15" thickBot="1" x14ac:dyDescent="0.4">
      <c r="A20" s="5">
        <v>1037</v>
      </c>
      <c r="B20" s="5" t="s">
        <v>46</v>
      </c>
      <c r="C20" s="5" t="s">
        <v>43</v>
      </c>
      <c r="D20" s="5" t="s">
        <v>18</v>
      </c>
      <c r="E20" s="5" t="s">
        <v>56</v>
      </c>
      <c r="F20" s="5">
        <v>6</v>
      </c>
      <c r="G20" s="5">
        <v>14385</v>
      </c>
      <c r="H20" s="5">
        <v>12</v>
      </c>
      <c r="I20" s="6">
        <v>46033</v>
      </c>
      <c r="J20" s="6">
        <v>46043</v>
      </c>
      <c r="K20" s="10" t="s">
        <v>24</v>
      </c>
      <c r="L20" s="14" t="str">
        <f t="shared" si="0"/>
        <v>Kiran-Furniture</v>
      </c>
    </row>
    <row r="21" spans="1:12" ht="15" thickBot="1" x14ac:dyDescent="0.4">
      <c r="A21" s="5">
        <v>1109</v>
      </c>
      <c r="B21" s="5" t="s">
        <v>21</v>
      </c>
      <c r="C21" s="5" t="s">
        <v>31</v>
      </c>
      <c r="D21" s="5" t="s">
        <v>18</v>
      </c>
      <c r="E21" s="5" t="s">
        <v>44</v>
      </c>
      <c r="F21" s="5">
        <v>19</v>
      </c>
      <c r="G21" s="5">
        <v>6512</v>
      </c>
      <c r="H21" s="5">
        <v>10</v>
      </c>
      <c r="I21" s="6">
        <v>46033</v>
      </c>
      <c r="J21" s="6">
        <v>46037</v>
      </c>
      <c r="K21" s="10" t="s">
        <v>20</v>
      </c>
      <c r="L21" s="14" t="str">
        <f t="shared" si="0"/>
        <v>Meera-Furniture</v>
      </c>
    </row>
    <row r="22" spans="1:12" ht="15" thickBot="1" x14ac:dyDescent="0.4">
      <c r="A22" s="5">
        <v>1008</v>
      </c>
      <c r="B22" s="5" t="s">
        <v>30</v>
      </c>
      <c r="C22" s="5" t="s">
        <v>31</v>
      </c>
      <c r="D22" s="5" t="s">
        <v>18</v>
      </c>
      <c r="E22" s="5" t="s">
        <v>28</v>
      </c>
      <c r="F22" s="5">
        <v>1</v>
      </c>
      <c r="G22" s="5">
        <v>1134</v>
      </c>
      <c r="H22" s="5">
        <v>0</v>
      </c>
      <c r="I22" s="6">
        <v>46033</v>
      </c>
      <c r="J22" s="6">
        <v>46041</v>
      </c>
      <c r="K22" s="10" t="s">
        <v>24</v>
      </c>
      <c r="L22" s="14" t="str">
        <f t="shared" si="0"/>
        <v>Neha-Furniture</v>
      </c>
    </row>
    <row r="23" spans="1:12" ht="15" thickBot="1" x14ac:dyDescent="0.4">
      <c r="A23" s="5">
        <v>1181</v>
      </c>
      <c r="B23" s="5" t="s">
        <v>58</v>
      </c>
      <c r="C23" s="5" t="s">
        <v>33</v>
      </c>
      <c r="D23" s="5" t="s">
        <v>13</v>
      </c>
      <c r="E23" s="5" t="s">
        <v>36</v>
      </c>
      <c r="F23" s="5">
        <v>4</v>
      </c>
      <c r="G23" s="5">
        <v>357</v>
      </c>
      <c r="H23" s="5">
        <v>2</v>
      </c>
      <c r="I23" s="6">
        <v>46033</v>
      </c>
      <c r="J23" s="6">
        <v>46035</v>
      </c>
      <c r="K23" s="10" t="s">
        <v>15</v>
      </c>
      <c r="L23" s="14" t="str">
        <f t="shared" si="0"/>
        <v>Rohan-Stationery</v>
      </c>
    </row>
    <row r="24" spans="1:12" ht="15" thickBot="1" x14ac:dyDescent="0.4">
      <c r="A24" s="5">
        <v>1205</v>
      </c>
      <c r="B24" s="5" t="s">
        <v>21</v>
      </c>
      <c r="C24" s="5" t="s">
        <v>38</v>
      </c>
      <c r="D24" s="5" t="s">
        <v>13</v>
      </c>
      <c r="E24" s="5" t="s">
        <v>36</v>
      </c>
      <c r="F24" s="5">
        <v>1</v>
      </c>
      <c r="G24" s="5">
        <v>112</v>
      </c>
      <c r="H24" s="5">
        <v>7</v>
      </c>
      <c r="I24" s="6">
        <v>46033</v>
      </c>
      <c r="J24" s="6">
        <v>46040</v>
      </c>
      <c r="K24" s="10" t="s">
        <v>51</v>
      </c>
      <c r="L24" s="14" t="str">
        <f t="shared" si="0"/>
        <v>Meera-Stationery</v>
      </c>
    </row>
    <row r="25" spans="1:12" ht="15" thickBot="1" x14ac:dyDescent="0.4">
      <c r="A25" s="5">
        <v>1004</v>
      </c>
      <c r="B25" s="5" t="s">
        <v>16</v>
      </c>
      <c r="C25" s="5" t="s">
        <v>25</v>
      </c>
      <c r="D25" s="5" t="s">
        <v>18</v>
      </c>
      <c r="E25" s="5" t="s">
        <v>23</v>
      </c>
      <c r="F25" s="5">
        <v>16</v>
      </c>
      <c r="G25" s="5">
        <v>11739</v>
      </c>
      <c r="H25" s="5">
        <v>12</v>
      </c>
      <c r="I25" s="6">
        <v>46034</v>
      </c>
      <c r="J25" s="6">
        <v>46040</v>
      </c>
      <c r="K25" s="10" t="s">
        <v>20</v>
      </c>
      <c r="L25" s="14" t="str">
        <f t="shared" si="0"/>
        <v>Pooja-Furniture</v>
      </c>
    </row>
    <row r="26" spans="1:12" ht="15" thickBot="1" x14ac:dyDescent="0.4">
      <c r="A26" s="5">
        <v>1072</v>
      </c>
      <c r="B26" s="5" t="s">
        <v>16</v>
      </c>
      <c r="C26" s="5" t="s">
        <v>25</v>
      </c>
      <c r="D26" s="5" t="s">
        <v>34</v>
      </c>
      <c r="E26" s="5" t="s">
        <v>61</v>
      </c>
      <c r="F26" s="5">
        <v>20</v>
      </c>
      <c r="G26" s="5">
        <v>58779</v>
      </c>
      <c r="H26" s="5">
        <v>0</v>
      </c>
      <c r="I26" s="6">
        <v>46035</v>
      </c>
      <c r="J26" s="6">
        <v>46036</v>
      </c>
      <c r="K26" s="10" t="s">
        <v>24</v>
      </c>
      <c r="L26" s="14" t="str">
        <f t="shared" si="0"/>
        <v>Pooja-Electronics</v>
      </c>
    </row>
    <row r="27" spans="1:12" ht="15" thickBot="1" x14ac:dyDescent="0.4">
      <c r="A27" s="5">
        <v>1368</v>
      </c>
      <c r="B27" s="5" t="s">
        <v>55</v>
      </c>
      <c r="C27" s="5" t="s">
        <v>38</v>
      </c>
      <c r="D27" s="5" t="s">
        <v>13</v>
      </c>
      <c r="E27" s="5" t="s">
        <v>36</v>
      </c>
      <c r="F27" s="5">
        <v>9</v>
      </c>
      <c r="G27" s="5">
        <v>115</v>
      </c>
      <c r="H27" s="5">
        <v>0</v>
      </c>
      <c r="I27" s="6">
        <v>46036</v>
      </c>
      <c r="J27" s="6">
        <v>46045</v>
      </c>
      <c r="K27" s="10" t="s">
        <v>24</v>
      </c>
      <c r="L27" s="14" t="str">
        <f t="shared" si="0"/>
        <v>Sneha-Stationery</v>
      </c>
    </row>
    <row r="28" spans="1:12" ht="15" thickBot="1" x14ac:dyDescent="0.4">
      <c r="A28" s="5">
        <v>1347</v>
      </c>
      <c r="B28" s="5" t="s">
        <v>29</v>
      </c>
      <c r="C28" s="5" t="s">
        <v>22</v>
      </c>
      <c r="D28" s="5" t="s">
        <v>34</v>
      </c>
      <c r="E28" s="5" t="s">
        <v>35</v>
      </c>
      <c r="F28" s="5">
        <v>16</v>
      </c>
      <c r="G28" s="5">
        <v>6034</v>
      </c>
      <c r="H28" s="5">
        <v>15</v>
      </c>
      <c r="I28" s="6">
        <v>46037</v>
      </c>
      <c r="J28" s="6">
        <v>46044</v>
      </c>
      <c r="K28" s="10" t="s">
        <v>24</v>
      </c>
      <c r="L28" s="14" t="str">
        <f t="shared" si="0"/>
        <v>Priya-Electronics</v>
      </c>
    </row>
    <row r="29" spans="1:12" ht="15" thickBot="1" x14ac:dyDescent="0.4">
      <c r="A29" s="5">
        <v>1051</v>
      </c>
      <c r="B29" s="5" t="s">
        <v>58</v>
      </c>
      <c r="C29" s="5" t="s">
        <v>17</v>
      </c>
      <c r="D29" s="5" t="s">
        <v>13</v>
      </c>
      <c r="E29" s="5" t="s">
        <v>36</v>
      </c>
      <c r="F29" s="5">
        <v>12</v>
      </c>
      <c r="G29" s="5">
        <v>47</v>
      </c>
      <c r="H29" s="5">
        <v>2</v>
      </c>
      <c r="I29" s="6">
        <v>46037</v>
      </c>
      <c r="J29" s="6">
        <v>46045</v>
      </c>
      <c r="K29" s="10" t="s">
        <v>15</v>
      </c>
      <c r="L29" s="14" t="str">
        <f t="shared" si="0"/>
        <v>Rohan-Stationery</v>
      </c>
    </row>
    <row r="30" spans="1:12" ht="15" thickBot="1" x14ac:dyDescent="0.4">
      <c r="A30" s="5">
        <v>1045</v>
      </c>
      <c r="B30" s="5" t="s">
        <v>32</v>
      </c>
      <c r="C30" s="5" t="s">
        <v>38</v>
      </c>
      <c r="D30" s="5" t="s">
        <v>34</v>
      </c>
      <c r="E30" s="5" t="s">
        <v>35</v>
      </c>
      <c r="F30" s="5">
        <v>3</v>
      </c>
      <c r="G30" s="5">
        <v>62762</v>
      </c>
      <c r="H30" s="5">
        <v>7</v>
      </c>
      <c r="I30" s="6">
        <v>46038</v>
      </c>
      <c r="J30" s="6">
        <v>46039</v>
      </c>
      <c r="K30" s="10" t="s">
        <v>29</v>
      </c>
      <c r="L30" s="14" t="str">
        <f t="shared" si="0"/>
        <v>Asha-Electronics</v>
      </c>
    </row>
    <row r="31" spans="1:12" ht="15" thickBot="1" x14ac:dyDescent="0.4">
      <c r="A31" s="5">
        <v>1334</v>
      </c>
      <c r="B31" s="5" t="s">
        <v>40</v>
      </c>
      <c r="C31" s="5" t="s">
        <v>12</v>
      </c>
      <c r="D31" s="5" t="s">
        <v>34</v>
      </c>
      <c r="E31" s="5" t="s">
        <v>41</v>
      </c>
      <c r="F31" s="5">
        <v>15</v>
      </c>
      <c r="G31" s="5">
        <v>39853</v>
      </c>
      <c r="H31" s="5">
        <v>7</v>
      </c>
      <c r="I31" s="6">
        <v>46038</v>
      </c>
      <c r="J31" s="6">
        <v>46047</v>
      </c>
      <c r="K31" s="10" t="s">
        <v>51</v>
      </c>
      <c r="L31" s="14" t="str">
        <f t="shared" si="0"/>
        <v>Deepak-Electronics</v>
      </c>
    </row>
    <row r="32" spans="1:12" ht="15" thickBot="1" x14ac:dyDescent="0.4">
      <c r="A32" s="5">
        <v>1069</v>
      </c>
      <c r="B32" s="5" t="s">
        <v>52</v>
      </c>
      <c r="C32" s="5" t="s">
        <v>31</v>
      </c>
      <c r="D32" s="5" t="s">
        <v>18</v>
      </c>
      <c r="E32" s="5" t="s">
        <v>28</v>
      </c>
      <c r="F32" s="5">
        <v>9</v>
      </c>
      <c r="G32" s="5">
        <v>4415</v>
      </c>
      <c r="H32" s="5">
        <v>5</v>
      </c>
      <c r="I32" s="6">
        <v>46039</v>
      </c>
      <c r="J32" s="6">
        <v>46046</v>
      </c>
      <c r="K32" s="10" t="s">
        <v>15</v>
      </c>
      <c r="L32" s="14" t="str">
        <f t="shared" si="0"/>
        <v>Komal-Furniture</v>
      </c>
    </row>
    <row r="33" spans="1:12" ht="15" thickBot="1" x14ac:dyDescent="0.4">
      <c r="A33" s="5">
        <v>1246</v>
      </c>
      <c r="B33" s="5" t="s">
        <v>55</v>
      </c>
      <c r="C33" s="5" t="s">
        <v>22</v>
      </c>
      <c r="D33" s="5" t="s">
        <v>34</v>
      </c>
      <c r="E33" s="5" t="s">
        <v>35</v>
      </c>
      <c r="F33" s="5">
        <v>13</v>
      </c>
      <c r="G33" s="5">
        <v>1825</v>
      </c>
      <c r="H33" s="5">
        <v>2</v>
      </c>
      <c r="I33" s="6">
        <v>46039</v>
      </c>
      <c r="J33" s="6">
        <v>46045</v>
      </c>
      <c r="K33" s="10" t="s">
        <v>51</v>
      </c>
      <c r="L33" s="14" t="str">
        <f t="shared" si="0"/>
        <v>Sneha-Electronics</v>
      </c>
    </row>
    <row r="34" spans="1:12" ht="15" thickBot="1" x14ac:dyDescent="0.4">
      <c r="A34" s="5">
        <v>1026</v>
      </c>
      <c r="B34" s="5" t="s">
        <v>49</v>
      </c>
      <c r="C34" s="5" t="s">
        <v>31</v>
      </c>
      <c r="D34" s="5" t="s">
        <v>13</v>
      </c>
      <c r="E34" s="5" t="s">
        <v>50</v>
      </c>
      <c r="F34" s="5">
        <v>17</v>
      </c>
      <c r="G34" s="5">
        <v>323</v>
      </c>
      <c r="H34" s="5">
        <v>10</v>
      </c>
      <c r="I34" s="6">
        <v>46039</v>
      </c>
      <c r="J34" s="6">
        <v>46040</v>
      </c>
      <c r="K34" s="10" t="s">
        <v>29</v>
      </c>
      <c r="L34" s="14" t="str">
        <f t="shared" si="0"/>
        <v>Ajay-Stationery</v>
      </c>
    </row>
    <row r="35" spans="1:12" ht="15" thickBot="1" x14ac:dyDescent="0.4">
      <c r="A35" s="5">
        <v>1260</v>
      </c>
      <c r="B35" s="5" t="s">
        <v>54</v>
      </c>
      <c r="C35" s="5" t="s">
        <v>38</v>
      </c>
      <c r="D35" s="5" t="s">
        <v>34</v>
      </c>
      <c r="E35" s="5" t="s">
        <v>41</v>
      </c>
      <c r="F35" s="5">
        <v>19</v>
      </c>
      <c r="G35" s="5">
        <v>54981</v>
      </c>
      <c r="H35" s="5">
        <v>10</v>
      </c>
      <c r="I35" s="6">
        <v>46040</v>
      </c>
      <c r="J35" s="6">
        <v>46045</v>
      </c>
      <c r="K35" s="10" t="s">
        <v>29</v>
      </c>
      <c r="L35" s="14" t="str">
        <f t="shared" si="0"/>
        <v>Manoj-Electronics</v>
      </c>
    </row>
    <row r="36" spans="1:12" ht="15" thickBot="1" x14ac:dyDescent="0.4">
      <c r="A36" s="5">
        <v>1103</v>
      </c>
      <c r="B36" s="5" t="s">
        <v>16</v>
      </c>
      <c r="C36" s="5" t="s">
        <v>12</v>
      </c>
      <c r="D36" s="5" t="s">
        <v>18</v>
      </c>
      <c r="E36" s="5" t="s">
        <v>23</v>
      </c>
      <c r="F36" s="5">
        <v>7</v>
      </c>
      <c r="G36" s="5">
        <v>11925</v>
      </c>
      <c r="H36" s="5">
        <v>5</v>
      </c>
      <c r="I36" s="6">
        <v>46040</v>
      </c>
      <c r="J36" s="6">
        <v>46041</v>
      </c>
      <c r="K36" s="10" t="s">
        <v>29</v>
      </c>
      <c r="L36" s="14" t="str">
        <f t="shared" si="0"/>
        <v>Pooja-Furniture</v>
      </c>
    </row>
    <row r="37" spans="1:12" ht="15" thickBot="1" x14ac:dyDescent="0.4">
      <c r="A37" s="5">
        <v>1135</v>
      </c>
      <c r="B37" s="5" t="s">
        <v>49</v>
      </c>
      <c r="C37" s="5" t="s">
        <v>43</v>
      </c>
      <c r="D37" s="5" t="s">
        <v>34</v>
      </c>
      <c r="E37" s="5" t="s">
        <v>39</v>
      </c>
      <c r="F37" s="5">
        <v>14</v>
      </c>
      <c r="G37" s="5">
        <v>68534</v>
      </c>
      <c r="H37" s="5">
        <v>0</v>
      </c>
      <c r="I37" s="6">
        <v>46041</v>
      </c>
      <c r="J37" s="6">
        <v>46042</v>
      </c>
      <c r="K37" s="10" t="s">
        <v>15</v>
      </c>
      <c r="L37" s="14" t="str">
        <f t="shared" si="0"/>
        <v>Ajay-Electronics</v>
      </c>
    </row>
    <row r="38" spans="1:12" ht="15" thickBot="1" x14ac:dyDescent="0.4">
      <c r="A38" s="5">
        <v>1228</v>
      </c>
      <c r="B38" s="5" t="s">
        <v>29</v>
      </c>
      <c r="C38" s="5" t="s">
        <v>25</v>
      </c>
      <c r="D38" s="5" t="s">
        <v>34</v>
      </c>
      <c r="E38" s="5" t="s">
        <v>45</v>
      </c>
      <c r="F38" s="5">
        <v>16</v>
      </c>
      <c r="G38" s="5">
        <v>17477</v>
      </c>
      <c r="H38" s="5">
        <v>10</v>
      </c>
      <c r="I38" s="6">
        <v>46041</v>
      </c>
      <c r="J38" s="6">
        <v>46043</v>
      </c>
      <c r="K38" s="10" t="s">
        <v>24</v>
      </c>
      <c r="L38" s="14" t="str">
        <f t="shared" si="0"/>
        <v>Priya-Electronics</v>
      </c>
    </row>
    <row r="39" spans="1:12" ht="15" thickBot="1" x14ac:dyDescent="0.4">
      <c r="A39" s="5">
        <v>1313</v>
      </c>
      <c r="B39" s="5" t="s">
        <v>59</v>
      </c>
      <c r="C39" s="5" t="s">
        <v>22</v>
      </c>
      <c r="D39" s="5" t="s">
        <v>18</v>
      </c>
      <c r="E39" s="5" t="s">
        <v>56</v>
      </c>
      <c r="F39" s="5">
        <v>6</v>
      </c>
      <c r="G39" s="5">
        <v>10864</v>
      </c>
      <c r="H39" s="5">
        <v>10</v>
      </c>
      <c r="I39" s="6">
        <v>46041</v>
      </c>
      <c r="J39" s="6">
        <v>46049</v>
      </c>
      <c r="K39" s="10" t="s">
        <v>15</v>
      </c>
      <c r="L39" s="14" t="str">
        <f t="shared" si="0"/>
        <v>Anita-Furniture</v>
      </c>
    </row>
    <row r="40" spans="1:12" ht="15" thickBot="1" x14ac:dyDescent="0.4">
      <c r="A40" s="5">
        <v>1208</v>
      </c>
      <c r="B40" s="5" t="s">
        <v>54</v>
      </c>
      <c r="C40" s="5" t="s">
        <v>43</v>
      </c>
      <c r="D40" s="5" t="s">
        <v>18</v>
      </c>
      <c r="E40" s="5" t="s">
        <v>44</v>
      </c>
      <c r="F40" s="5">
        <v>6</v>
      </c>
      <c r="G40" s="5">
        <v>7627</v>
      </c>
      <c r="H40" s="5">
        <v>10</v>
      </c>
      <c r="I40" s="6">
        <v>46042</v>
      </c>
      <c r="J40" s="6">
        <v>46047</v>
      </c>
      <c r="K40" s="10" t="s">
        <v>20</v>
      </c>
      <c r="L40" s="14" t="str">
        <f t="shared" si="0"/>
        <v>Manoj-Furniture</v>
      </c>
    </row>
    <row r="41" spans="1:12" ht="15" thickBot="1" x14ac:dyDescent="0.4">
      <c r="A41" s="5">
        <v>1165</v>
      </c>
      <c r="B41" s="5" t="s">
        <v>48</v>
      </c>
      <c r="C41" s="5" t="s">
        <v>25</v>
      </c>
      <c r="D41" s="5" t="s">
        <v>13</v>
      </c>
      <c r="E41" s="5" t="s">
        <v>37</v>
      </c>
      <c r="F41" s="5">
        <v>1</v>
      </c>
      <c r="G41" s="5">
        <v>427</v>
      </c>
      <c r="H41" s="5">
        <v>0</v>
      </c>
      <c r="I41" s="6">
        <v>46042</v>
      </c>
      <c r="J41" s="6">
        <v>46050</v>
      </c>
      <c r="K41" s="10" t="s">
        <v>51</v>
      </c>
      <c r="L41" s="14" t="str">
        <f t="shared" si="0"/>
        <v>Nitin-Stationery</v>
      </c>
    </row>
    <row r="42" spans="1:12" ht="15" thickBot="1" x14ac:dyDescent="0.4">
      <c r="A42" s="5">
        <v>1304</v>
      </c>
      <c r="B42" s="5" t="s">
        <v>59</v>
      </c>
      <c r="C42" s="5" t="s">
        <v>25</v>
      </c>
      <c r="D42" s="5" t="s">
        <v>13</v>
      </c>
      <c r="E42" s="5" t="s">
        <v>36</v>
      </c>
      <c r="F42" s="5">
        <v>20</v>
      </c>
      <c r="G42" s="5">
        <v>368</v>
      </c>
      <c r="H42" s="5">
        <v>7</v>
      </c>
      <c r="I42" s="6">
        <v>46042</v>
      </c>
      <c r="J42" s="6">
        <v>46051</v>
      </c>
      <c r="K42" s="10" t="s">
        <v>51</v>
      </c>
      <c r="L42" s="14" t="str">
        <f t="shared" si="0"/>
        <v>Anita-Stationery</v>
      </c>
    </row>
    <row r="43" spans="1:12" ht="15" thickBot="1" x14ac:dyDescent="0.4">
      <c r="A43" s="5">
        <v>1141</v>
      </c>
      <c r="B43" s="5" t="s">
        <v>11</v>
      </c>
      <c r="C43" s="5" t="s">
        <v>17</v>
      </c>
      <c r="D43" s="5" t="s">
        <v>18</v>
      </c>
      <c r="E43" s="5" t="s">
        <v>44</v>
      </c>
      <c r="F43" s="5">
        <v>20</v>
      </c>
      <c r="G43" s="5">
        <v>6835</v>
      </c>
      <c r="H43" s="5">
        <v>2</v>
      </c>
      <c r="I43" s="6">
        <v>46043</v>
      </c>
      <c r="J43" s="6">
        <v>46053</v>
      </c>
      <c r="K43" s="10" t="s">
        <v>15</v>
      </c>
      <c r="L43" s="14" t="str">
        <f t="shared" si="0"/>
        <v>Ritesh-Furniture</v>
      </c>
    </row>
    <row r="44" spans="1:12" ht="15" thickBot="1" x14ac:dyDescent="0.4">
      <c r="A44" s="5">
        <v>1389</v>
      </c>
      <c r="B44" s="5" t="s">
        <v>32</v>
      </c>
      <c r="C44" s="5" t="s">
        <v>12</v>
      </c>
      <c r="D44" s="5" t="s">
        <v>34</v>
      </c>
      <c r="E44" s="5" t="s">
        <v>41</v>
      </c>
      <c r="F44" s="5">
        <v>3</v>
      </c>
      <c r="G44" s="5">
        <v>56380</v>
      </c>
      <c r="H44" s="5">
        <v>5</v>
      </c>
      <c r="I44" s="6">
        <v>46044</v>
      </c>
      <c r="J44" s="6">
        <v>46048</v>
      </c>
      <c r="K44" s="10" t="s">
        <v>51</v>
      </c>
      <c r="L44" s="14" t="str">
        <f t="shared" si="0"/>
        <v>Asha-Electronics</v>
      </c>
    </row>
    <row r="45" spans="1:12" ht="15" thickBot="1" x14ac:dyDescent="0.4">
      <c r="A45" s="5">
        <v>1226</v>
      </c>
      <c r="B45" s="5" t="s">
        <v>29</v>
      </c>
      <c r="C45" s="5" t="s">
        <v>31</v>
      </c>
      <c r="D45" s="5" t="s">
        <v>34</v>
      </c>
      <c r="E45" s="5" t="s">
        <v>41</v>
      </c>
      <c r="F45" s="5">
        <v>13</v>
      </c>
      <c r="G45" s="5">
        <v>21332</v>
      </c>
      <c r="H45" s="5">
        <v>0</v>
      </c>
      <c r="I45" s="6">
        <v>46044</v>
      </c>
      <c r="J45" s="6">
        <v>46048</v>
      </c>
      <c r="K45" s="10" t="s">
        <v>29</v>
      </c>
      <c r="L45" s="14" t="str">
        <f t="shared" si="0"/>
        <v>Priya-Electronics</v>
      </c>
    </row>
    <row r="46" spans="1:12" ht="15" thickBot="1" x14ac:dyDescent="0.4">
      <c r="A46" s="5">
        <v>1128</v>
      </c>
      <c r="B46" s="5" t="s">
        <v>30</v>
      </c>
      <c r="C46" s="5" t="s">
        <v>22</v>
      </c>
      <c r="D46" s="5" t="s">
        <v>34</v>
      </c>
      <c r="E46" s="5" t="s">
        <v>61</v>
      </c>
      <c r="F46" s="5">
        <v>6</v>
      </c>
      <c r="G46" s="5">
        <v>5001</v>
      </c>
      <c r="H46" s="5">
        <v>7</v>
      </c>
      <c r="I46" s="6">
        <v>46044</v>
      </c>
      <c r="J46" s="6">
        <v>46050</v>
      </c>
      <c r="K46" s="10" t="s">
        <v>29</v>
      </c>
      <c r="L46" s="14" t="str">
        <f t="shared" si="0"/>
        <v>Neha-Electronics</v>
      </c>
    </row>
    <row r="47" spans="1:12" ht="15" thickBot="1" x14ac:dyDescent="0.4">
      <c r="A47" s="5">
        <v>1197</v>
      </c>
      <c r="B47" s="5" t="s">
        <v>52</v>
      </c>
      <c r="C47" s="5" t="s">
        <v>31</v>
      </c>
      <c r="D47" s="5" t="s">
        <v>34</v>
      </c>
      <c r="E47" s="5" t="s">
        <v>35</v>
      </c>
      <c r="F47" s="5">
        <v>5</v>
      </c>
      <c r="G47" s="5">
        <v>45352</v>
      </c>
      <c r="H47" s="5">
        <v>12</v>
      </c>
      <c r="I47" s="6">
        <v>46045</v>
      </c>
      <c r="J47" s="6">
        <v>46048</v>
      </c>
      <c r="K47" s="10" t="s">
        <v>15</v>
      </c>
      <c r="L47" s="14" t="str">
        <f t="shared" si="0"/>
        <v>Komal-Electronics</v>
      </c>
    </row>
    <row r="48" spans="1:12" ht="15" thickBot="1" x14ac:dyDescent="0.4">
      <c r="A48" s="5">
        <v>1076</v>
      </c>
      <c r="B48" s="5" t="s">
        <v>29</v>
      </c>
      <c r="C48" s="5" t="s">
        <v>17</v>
      </c>
      <c r="D48" s="5" t="s">
        <v>34</v>
      </c>
      <c r="E48" s="5" t="s">
        <v>35</v>
      </c>
      <c r="F48" s="5">
        <v>19</v>
      </c>
      <c r="G48" s="5">
        <v>26714</v>
      </c>
      <c r="H48" s="5">
        <v>5</v>
      </c>
      <c r="I48" s="6">
        <v>46045</v>
      </c>
      <c r="J48" s="6">
        <v>46055</v>
      </c>
      <c r="K48" s="10" t="s">
        <v>29</v>
      </c>
      <c r="L48" s="14" t="str">
        <f t="shared" si="0"/>
        <v>Priya-Electronics</v>
      </c>
    </row>
    <row r="49" spans="1:12" ht="15" thickBot="1" x14ac:dyDescent="0.4">
      <c r="A49" s="5">
        <v>1224</v>
      </c>
      <c r="B49" s="5" t="s">
        <v>30</v>
      </c>
      <c r="C49" s="5" t="s">
        <v>38</v>
      </c>
      <c r="D49" s="5" t="s">
        <v>34</v>
      </c>
      <c r="E49" s="5" t="s">
        <v>45</v>
      </c>
      <c r="F49" s="5">
        <v>16</v>
      </c>
      <c r="G49" s="5">
        <v>18378</v>
      </c>
      <c r="H49" s="5">
        <v>10</v>
      </c>
      <c r="I49" s="6">
        <v>46045</v>
      </c>
      <c r="J49" s="6">
        <v>46052</v>
      </c>
      <c r="K49" s="10" t="s">
        <v>24</v>
      </c>
      <c r="L49" s="14" t="str">
        <f t="shared" si="0"/>
        <v>Neha-Electronics</v>
      </c>
    </row>
    <row r="50" spans="1:12" ht="15" thickBot="1" x14ac:dyDescent="0.4">
      <c r="A50" s="5">
        <v>1293</v>
      </c>
      <c r="B50" s="5" t="s">
        <v>49</v>
      </c>
      <c r="C50" s="5" t="s">
        <v>43</v>
      </c>
      <c r="D50" s="5" t="s">
        <v>18</v>
      </c>
      <c r="E50" s="5" t="s">
        <v>23</v>
      </c>
      <c r="F50" s="5">
        <v>7</v>
      </c>
      <c r="G50" s="5">
        <v>11481</v>
      </c>
      <c r="H50" s="5">
        <v>15</v>
      </c>
      <c r="I50" s="6">
        <v>46045</v>
      </c>
      <c r="J50" s="6">
        <v>46050</v>
      </c>
      <c r="K50" s="10" t="s">
        <v>20</v>
      </c>
      <c r="L50" s="14" t="str">
        <f t="shared" si="0"/>
        <v>Ajay-Furniture</v>
      </c>
    </row>
    <row r="51" spans="1:12" ht="15" thickBot="1" x14ac:dyDescent="0.4">
      <c r="A51" s="5">
        <v>1086</v>
      </c>
      <c r="B51" s="5" t="s">
        <v>32</v>
      </c>
      <c r="C51" s="5" t="s">
        <v>12</v>
      </c>
      <c r="D51" s="5" t="s">
        <v>13</v>
      </c>
      <c r="E51" s="5" t="s">
        <v>53</v>
      </c>
      <c r="F51" s="5">
        <v>15</v>
      </c>
      <c r="G51" s="5">
        <v>40</v>
      </c>
      <c r="H51" s="5">
        <v>10</v>
      </c>
      <c r="I51" s="6">
        <v>46045</v>
      </c>
      <c r="J51" s="6">
        <v>46049</v>
      </c>
      <c r="K51" s="10" t="s">
        <v>24</v>
      </c>
      <c r="L51" s="14" t="str">
        <f t="shared" si="0"/>
        <v>Asha-Stationery</v>
      </c>
    </row>
    <row r="52" spans="1:12" ht="15" thickBot="1" x14ac:dyDescent="0.4">
      <c r="A52" s="5">
        <v>1029</v>
      </c>
      <c r="B52" s="5" t="s">
        <v>30</v>
      </c>
      <c r="C52" s="5" t="s">
        <v>25</v>
      </c>
      <c r="D52" s="5" t="s">
        <v>13</v>
      </c>
      <c r="E52" s="5" t="s">
        <v>36</v>
      </c>
      <c r="F52" s="5">
        <v>18</v>
      </c>
      <c r="G52" s="5">
        <v>443</v>
      </c>
      <c r="H52" s="5">
        <v>5</v>
      </c>
      <c r="I52" s="6">
        <v>46046</v>
      </c>
      <c r="J52" s="6">
        <v>46054</v>
      </c>
      <c r="K52" s="10" t="s">
        <v>24</v>
      </c>
      <c r="L52" s="14" t="str">
        <f t="shared" si="0"/>
        <v>Neha-Stationery</v>
      </c>
    </row>
    <row r="53" spans="1:12" ht="15" thickBot="1" x14ac:dyDescent="0.4">
      <c r="A53" s="5">
        <v>1366</v>
      </c>
      <c r="B53" s="5" t="s">
        <v>26</v>
      </c>
      <c r="C53" s="5" t="s">
        <v>17</v>
      </c>
      <c r="D53" s="5" t="s">
        <v>34</v>
      </c>
      <c r="E53" s="5" t="s">
        <v>61</v>
      </c>
      <c r="F53" s="5">
        <v>20</v>
      </c>
      <c r="G53" s="5">
        <v>44312</v>
      </c>
      <c r="H53" s="5">
        <v>10</v>
      </c>
      <c r="I53" s="6">
        <v>46047</v>
      </c>
      <c r="J53" s="6">
        <v>46054</v>
      </c>
      <c r="K53" s="10" t="s">
        <v>29</v>
      </c>
      <c r="L53" s="14" t="str">
        <f t="shared" si="0"/>
        <v>Vikram-Electronics</v>
      </c>
    </row>
    <row r="54" spans="1:12" ht="15" thickBot="1" x14ac:dyDescent="0.4">
      <c r="A54" s="5">
        <v>1393</v>
      </c>
      <c r="B54" s="5" t="s">
        <v>30</v>
      </c>
      <c r="C54" s="5" t="s">
        <v>25</v>
      </c>
      <c r="D54" s="5" t="s">
        <v>34</v>
      </c>
      <c r="E54" s="5" t="s">
        <v>45</v>
      </c>
      <c r="F54" s="5">
        <v>17</v>
      </c>
      <c r="G54" s="5">
        <v>30351</v>
      </c>
      <c r="H54" s="5">
        <v>15</v>
      </c>
      <c r="I54" s="6">
        <v>46047</v>
      </c>
      <c r="J54" s="6">
        <v>46051</v>
      </c>
      <c r="K54" s="10" t="s">
        <v>51</v>
      </c>
      <c r="L54" s="14" t="str">
        <f t="shared" si="0"/>
        <v>Neha-Electronics</v>
      </c>
    </row>
    <row r="55" spans="1:12" ht="15" thickBot="1" x14ac:dyDescent="0.4">
      <c r="A55" s="5">
        <v>1084</v>
      </c>
      <c r="B55" s="5" t="s">
        <v>49</v>
      </c>
      <c r="C55" s="5" t="s">
        <v>31</v>
      </c>
      <c r="D55" s="5" t="s">
        <v>18</v>
      </c>
      <c r="E55" s="5" t="s">
        <v>28</v>
      </c>
      <c r="F55" s="5">
        <v>4</v>
      </c>
      <c r="G55" s="5">
        <v>6901</v>
      </c>
      <c r="H55" s="5">
        <v>10</v>
      </c>
      <c r="I55" s="6">
        <v>46047</v>
      </c>
      <c r="J55" s="6">
        <v>46057</v>
      </c>
      <c r="K55" s="10" t="s">
        <v>20</v>
      </c>
      <c r="L55" s="14" t="str">
        <f t="shared" si="0"/>
        <v>Ajay-Furniture</v>
      </c>
    </row>
    <row r="56" spans="1:12" ht="15" thickBot="1" x14ac:dyDescent="0.4">
      <c r="A56" s="5">
        <v>1385</v>
      </c>
      <c r="B56" s="5" t="s">
        <v>26</v>
      </c>
      <c r="C56" s="5" t="s">
        <v>33</v>
      </c>
      <c r="D56" s="5" t="s">
        <v>34</v>
      </c>
      <c r="E56" s="5" t="s">
        <v>39</v>
      </c>
      <c r="F56" s="5">
        <v>12</v>
      </c>
      <c r="G56" s="5">
        <v>61360</v>
      </c>
      <c r="H56" s="5">
        <v>10</v>
      </c>
      <c r="I56" s="6">
        <v>46048</v>
      </c>
      <c r="J56" s="6">
        <v>46053</v>
      </c>
      <c r="K56" s="10" t="s">
        <v>51</v>
      </c>
      <c r="L56" s="14" t="str">
        <f t="shared" si="0"/>
        <v>Vikram-Electronics</v>
      </c>
    </row>
    <row r="57" spans="1:12" ht="15" thickBot="1" x14ac:dyDescent="0.4">
      <c r="A57" s="5">
        <v>1176</v>
      </c>
      <c r="B57" s="5" t="s">
        <v>58</v>
      </c>
      <c r="C57" s="5" t="s">
        <v>38</v>
      </c>
      <c r="D57" s="5" t="s">
        <v>34</v>
      </c>
      <c r="E57" s="5" t="s">
        <v>41</v>
      </c>
      <c r="F57" s="5">
        <v>17</v>
      </c>
      <c r="G57" s="5">
        <v>46937</v>
      </c>
      <c r="H57" s="5">
        <v>12</v>
      </c>
      <c r="I57" s="6">
        <v>46048</v>
      </c>
      <c r="J57" s="6">
        <v>46056</v>
      </c>
      <c r="K57" s="10" t="s">
        <v>29</v>
      </c>
      <c r="L57" s="14" t="str">
        <f t="shared" si="0"/>
        <v>Rohan-Electronics</v>
      </c>
    </row>
    <row r="58" spans="1:12" ht="15" thickBot="1" x14ac:dyDescent="0.4">
      <c r="A58" s="5">
        <v>1307</v>
      </c>
      <c r="B58" s="5" t="s">
        <v>57</v>
      </c>
      <c r="C58" s="5" t="s">
        <v>43</v>
      </c>
      <c r="D58" s="5" t="s">
        <v>34</v>
      </c>
      <c r="E58" s="5" t="s">
        <v>35</v>
      </c>
      <c r="F58" s="5">
        <v>18</v>
      </c>
      <c r="G58" s="5">
        <v>7541</v>
      </c>
      <c r="H58" s="5">
        <v>12</v>
      </c>
      <c r="I58" s="6">
        <v>46048</v>
      </c>
      <c r="J58" s="6">
        <v>46051</v>
      </c>
      <c r="K58" s="10" t="s">
        <v>51</v>
      </c>
      <c r="L58" s="14" t="str">
        <f t="shared" si="0"/>
        <v>Sara-Electronics</v>
      </c>
    </row>
    <row r="59" spans="1:12" ht="15" thickBot="1" x14ac:dyDescent="0.4">
      <c r="A59" s="5">
        <v>1348</v>
      </c>
      <c r="B59" s="5" t="s">
        <v>11</v>
      </c>
      <c r="C59" s="5" t="s">
        <v>33</v>
      </c>
      <c r="D59" s="5" t="s">
        <v>13</v>
      </c>
      <c r="E59" s="5" t="s">
        <v>50</v>
      </c>
      <c r="F59" s="5">
        <v>12</v>
      </c>
      <c r="G59" s="5">
        <v>244</v>
      </c>
      <c r="H59" s="5">
        <v>7</v>
      </c>
      <c r="I59" s="6">
        <v>46048</v>
      </c>
      <c r="J59" s="6">
        <v>46053</v>
      </c>
      <c r="K59" s="10" t="s">
        <v>15</v>
      </c>
      <c r="L59" s="14" t="str">
        <f t="shared" si="0"/>
        <v>Ritesh-Stationery</v>
      </c>
    </row>
    <row r="60" spans="1:12" ht="15" thickBot="1" x14ac:dyDescent="0.4">
      <c r="A60" s="5">
        <v>1092</v>
      </c>
      <c r="B60" s="5" t="s">
        <v>21</v>
      </c>
      <c r="C60" s="5" t="s">
        <v>22</v>
      </c>
      <c r="D60" s="5" t="s">
        <v>34</v>
      </c>
      <c r="E60" s="5" t="s">
        <v>41</v>
      </c>
      <c r="F60" s="5">
        <v>9</v>
      </c>
      <c r="G60" s="5">
        <v>23438</v>
      </c>
      <c r="H60" s="5">
        <v>2</v>
      </c>
      <c r="I60" s="6">
        <v>46049</v>
      </c>
      <c r="J60" s="6">
        <v>46055</v>
      </c>
      <c r="K60" s="10" t="s">
        <v>29</v>
      </c>
      <c r="L60" s="14" t="str">
        <f t="shared" si="0"/>
        <v>Meera-Electronics</v>
      </c>
    </row>
    <row r="61" spans="1:12" ht="15" thickBot="1" x14ac:dyDescent="0.4">
      <c r="A61" s="5">
        <v>1116</v>
      </c>
      <c r="B61" s="5" t="s">
        <v>16</v>
      </c>
      <c r="C61" s="5" t="s">
        <v>25</v>
      </c>
      <c r="D61" s="5" t="s">
        <v>18</v>
      </c>
      <c r="E61" s="5" t="s">
        <v>56</v>
      </c>
      <c r="F61" s="5">
        <v>2</v>
      </c>
      <c r="G61" s="5">
        <v>12692</v>
      </c>
      <c r="H61" s="5">
        <v>15</v>
      </c>
      <c r="I61" s="6">
        <v>46049</v>
      </c>
      <c r="J61" s="6">
        <v>46051</v>
      </c>
      <c r="K61" s="10" t="s">
        <v>15</v>
      </c>
      <c r="L61" s="14" t="str">
        <f t="shared" si="0"/>
        <v>Pooja-Furniture</v>
      </c>
    </row>
    <row r="62" spans="1:12" ht="15" thickBot="1" x14ac:dyDescent="0.4">
      <c r="A62" s="5">
        <v>1230</v>
      </c>
      <c r="B62" s="5" t="s">
        <v>59</v>
      </c>
      <c r="C62" s="5" t="s">
        <v>33</v>
      </c>
      <c r="D62" s="5" t="s">
        <v>34</v>
      </c>
      <c r="E62" s="5" t="s">
        <v>60</v>
      </c>
      <c r="F62" s="5">
        <v>7</v>
      </c>
      <c r="G62" s="5">
        <v>2932</v>
      </c>
      <c r="H62" s="5">
        <v>7</v>
      </c>
      <c r="I62" s="6">
        <v>46050</v>
      </c>
      <c r="J62" s="6">
        <v>46059</v>
      </c>
      <c r="K62" s="10" t="s">
        <v>24</v>
      </c>
      <c r="L62" s="14" t="str">
        <f t="shared" si="0"/>
        <v>Anita-Electronics</v>
      </c>
    </row>
    <row r="63" spans="1:12" ht="15" thickBot="1" x14ac:dyDescent="0.4">
      <c r="A63" s="5">
        <v>1173</v>
      </c>
      <c r="B63" s="5" t="s">
        <v>40</v>
      </c>
      <c r="C63" s="5" t="s">
        <v>17</v>
      </c>
      <c r="D63" s="5" t="s">
        <v>13</v>
      </c>
      <c r="E63" s="5" t="s">
        <v>37</v>
      </c>
      <c r="F63" s="5">
        <v>15</v>
      </c>
      <c r="G63" s="5">
        <v>214</v>
      </c>
      <c r="H63" s="5">
        <v>10</v>
      </c>
      <c r="I63" s="6">
        <v>46050</v>
      </c>
      <c r="J63" s="6">
        <v>46060</v>
      </c>
      <c r="K63" s="10" t="s">
        <v>51</v>
      </c>
      <c r="L63" s="14" t="str">
        <f t="shared" si="0"/>
        <v>Deepak-Stationery</v>
      </c>
    </row>
    <row r="64" spans="1:12" ht="15" thickBot="1" x14ac:dyDescent="0.4">
      <c r="A64" s="5">
        <v>1250</v>
      </c>
      <c r="B64" s="5" t="s">
        <v>11</v>
      </c>
      <c r="C64" s="5" t="s">
        <v>17</v>
      </c>
      <c r="D64" s="5" t="s">
        <v>34</v>
      </c>
      <c r="E64" s="5" t="s">
        <v>45</v>
      </c>
      <c r="F64" s="5">
        <v>2</v>
      </c>
      <c r="G64" s="5">
        <v>65953</v>
      </c>
      <c r="H64" s="5">
        <v>7</v>
      </c>
      <c r="I64" s="6">
        <v>46051</v>
      </c>
      <c r="J64" s="6">
        <v>46053</v>
      </c>
      <c r="K64" s="10" t="s">
        <v>29</v>
      </c>
      <c r="L64" s="14" t="str">
        <f t="shared" si="0"/>
        <v>Ritesh-Electronics</v>
      </c>
    </row>
    <row r="65" spans="1:12" ht="15" thickBot="1" x14ac:dyDescent="0.4">
      <c r="A65" s="5">
        <v>1375</v>
      </c>
      <c r="B65" s="5" t="s">
        <v>46</v>
      </c>
      <c r="C65" s="5" t="s">
        <v>43</v>
      </c>
      <c r="D65" s="5" t="s">
        <v>34</v>
      </c>
      <c r="E65" s="5" t="s">
        <v>45</v>
      </c>
      <c r="F65" s="5">
        <v>20</v>
      </c>
      <c r="G65" s="5">
        <v>56766</v>
      </c>
      <c r="H65" s="5">
        <v>0</v>
      </c>
      <c r="I65" s="6">
        <v>46052</v>
      </c>
      <c r="J65" s="6">
        <v>46061</v>
      </c>
      <c r="K65" s="10" t="s">
        <v>24</v>
      </c>
      <c r="L65" s="14" t="str">
        <f t="shared" si="0"/>
        <v>Kiran-Electronics</v>
      </c>
    </row>
    <row r="66" spans="1:12" ht="15" thickBot="1" x14ac:dyDescent="0.4">
      <c r="A66" s="5">
        <v>1190</v>
      </c>
      <c r="B66" s="5" t="s">
        <v>57</v>
      </c>
      <c r="C66" s="5" t="s">
        <v>17</v>
      </c>
      <c r="D66" s="5" t="s">
        <v>18</v>
      </c>
      <c r="E66" s="5" t="s">
        <v>28</v>
      </c>
      <c r="F66" s="5">
        <v>4</v>
      </c>
      <c r="G66" s="5">
        <v>10154</v>
      </c>
      <c r="H66" s="5">
        <v>7</v>
      </c>
      <c r="I66" s="6">
        <v>46052</v>
      </c>
      <c r="J66" s="6">
        <v>46062</v>
      </c>
      <c r="K66" s="10" t="s">
        <v>20</v>
      </c>
      <c r="L66" s="14" t="str">
        <f t="shared" si="0"/>
        <v>Sara-Furniture</v>
      </c>
    </row>
    <row r="67" spans="1:12" ht="15" thickBot="1" x14ac:dyDescent="0.4">
      <c r="A67" s="5">
        <v>1034</v>
      </c>
      <c r="B67" s="5" t="s">
        <v>55</v>
      </c>
      <c r="C67" s="5" t="s">
        <v>33</v>
      </c>
      <c r="D67" s="5" t="s">
        <v>18</v>
      </c>
      <c r="E67" s="5" t="s">
        <v>28</v>
      </c>
      <c r="F67" s="5">
        <v>17</v>
      </c>
      <c r="G67" s="5">
        <v>5104</v>
      </c>
      <c r="H67" s="5">
        <v>12</v>
      </c>
      <c r="I67" s="6">
        <v>46052</v>
      </c>
      <c r="J67" s="6">
        <v>46061</v>
      </c>
      <c r="K67" s="10" t="s">
        <v>51</v>
      </c>
      <c r="L67" s="14" t="str">
        <f t="shared" ref="L67:L130" si="1">_xlfn.CONCAT(B67,"-",D67)</f>
        <v>Sneha-Furniture</v>
      </c>
    </row>
    <row r="68" spans="1:12" ht="15" thickBot="1" x14ac:dyDescent="0.4">
      <c r="A68" s="5">
        <v>1210</v>
      </c>
      <c r="B68" s="5" t="s">
        <v>30</v>
      </c>
      <c r="C68" s="5" t="s">
        <v>31</v>
      </c>
      <c r="D68" s="5" t="s">
        <v>13</v>
      </c>
      <c r="E68" s="5" t="s">
        <v>53</v>
      </c>
      <c r="F68" s="5">
        <v>10</v>
      </c>
      <c r="G68" s="5">
        <v>349</v>
      </c>
      <c r="H68" s="5">
        <v>0</v>
      </c>
      <c r="I68" s="6">
        <v>46052</v>
      </c>
      <c r="J68" s="6">
        <v>46060</v>
      </c>
      <c r="K68" s="10" t="s">
        <v>29</v>
      </c>
      <c r="L68" s="14" t="str">
        <f t="shared" si="1"/>
        <v>Neha-Stationery</v>
      </c>
    </row>
    <row r="69" spans="1:12" ht="15" thickBot="1" x14ac:dyDescent="0.4">
      <c r="A69" s="5">
        <v>1149</v>
      </c>
      <c r="B69" s="5" t="s">
        <v>26</v>
      </c>
      <c r="C69" s="5" t="s">
        <v>38</v>
      </c>
      <c r="D69" s="5" t="s">
        <v>34</v>
      </c>
      <c r="E69" s="5" t="s">
        <v>35</v>
      </c>
      <c r="F69" s="5">
        <v>10</v>
      </c>
      <c r="G69" s="5">
        <v>22853</v>
      </c>
      <c r="H69" s="5">
        <v>7</v>
      </c>
      <c r="I69" s="6">
        <v>46053</v>
      </c>
      <c r="J69" s="6">
        <v>46054</v>
      </c>
      <c r="K69" s="10" t="s">
        <v>29</v>
      </c>
      <c r="L69" s="14" t="str">
        <f t="shared" si="1"/>
        <v>Vikram-Electronics</v>
      </c>
    </row>
    <row r="70" spans="1:12" ht="15" thickBot="1" x14ac:dyDescent="0.4">
      <c r="A70" s="5">
        <v>1324</v>
      </c>
      <c r="B70" s="5" t="s">
        <v>32</v>
      </c>
      <c r="C70" s="5" t="s">
        <v>22</v>
      </c>
      <c r="D70" s="5" t="s">
        <v>18</v>
      </c>
      <c r="E70" s="5" t="s">
        <v>19</v>
      </c>
      <c r="F70" s="5">
        <v>1</v>
      </c>
      <c r="G70" s="5">
        <v>4286</v>
      </c>
      <c r="H70" s="5">
        <v>15</v>
      </c>
      <c r="I70" s="6">
        <v>46053</v>
      </c>
      <c r="J70" s="6">
        <v>46056</v>
      </c>
      <c r="K70" s="10" t="s">
        <v>20</v>
      </c>
      <c r="L70" s="14" t="str">
        <f t="shared" si="1"/>
        <v>Asha-Furniture</v>
      </c>
    </row>
    <row r="71" spans="1:12" ht="15" thickBot="1" x14ac:dyDescent="0.4">
      <c r="A71" s="5">
        <v>1096</v>
      </c>
      <c r="B71" s="5" t="s">
        <v>49</v>
      </c>
      <c r="C71" s="5" t="s">
        <v>17</v>
      </c>
      <c r="D71" s="5" t="s">
        <v>18</v>
      </c>
      <c r="E71" s="5" t="s">
        <v>23</v>
      </c>
      <c r="F71" s="5">
        <v>15</v>
      </c>
      <c r="G71" s="5">
        <v>14724</v>
      </c>
      <c r="H71" s="5">
        <v>15</v>
      </c>
      <c r="I71" s="6">
        <v>46054</v>
      </c>
      <c r="J71" s="6">
        <v>46061</v>
      </c>
      <c r="K71" s="10" t="s">
        <v>20</v>
      </c>
      <c r="L71" s="14" t="str">
        <f t="shared" si="1"/>
        <v>Ajay-Furniture</v>
      </c>
    </row>
    <row r="72" spans="1:12" ht="15" thickBot="1" x14ac:dyDescent="0.4">
      <c r="A72" s="5">
        <v>1006</v>
      </c>
      <c r="B72" s="5" t="s">
        <v>27</v>
      </c>
      <c r="C72" s="5" t="s">
        <v>25</v>
      </c>
      <c r="D72" s="5" t="s">
        <v>18</v>
      </c>
      <c r="E72" s="5" t="s">
        <v>28</v>
      </c>
      <c r="F72" s="5">
        <v>3</v>
      </c>
      <c r="G72" s="5">
        <v>2714</v>
      </c>
      <c r="H72" s="5">
        <v>5</v>
      </c>
      <c r="I72" s="6">
        <v>46055</v>
      </c>
      <c r="J72" s="6">
        <v>46062</v>
      </c>
      <c r="K72" s="10" t="s">
        <v>29</v>
      </c>
      <c r="L72" s="14" t="str">
        <f t="shared" si="1"/>
        <v>Arjun-Furniture</v>
      </c>
    </row>
    <row r="73" spans="1:12" ht="15" thickBot="1" x14ac:dyDescent="0.4">
      <c r="A73" s="5">
        <v>1285</v>
      </c>
      <c r="B73" s="5" t="s">
        <v>32</v>
      </c>
      <c r="C73" s="5" t="s">
        <v>38</v>
      </c>
      <c r="D73" s="5" t="s">
        <v>13</v>
      </c>
      <c r="E73" s="5" t="s">
        <v>36</v>
      </c>
      <c r="F73" s="5">
        <v>7</v>
      </c>
      <c r="G73" s="5">
        <v>439</v>
      </c>
      <c r="H73" s="5">
        <v>15</v>
      </c>
      <c r="I73" s="6">
        <v>46055</v>
      </c>
      <c r="J73" s="6">
        <v>46058</v>
      </c>
      <c r="K73" s="10" t="s">
        <v>20</v>
      </c>
      <c r="L73" s="14" t="str">
        <f t="shared" si="1"/>
        <v>Asha-Stationery</v>
      </c>
    </row>
    <row r="74" spans="1:12" ht="15" thickBot="1" x14ac:dyDescent="0.4">
      <c r="A74" s="5">
        <v>1281</v>
      </c>
      <c r="B74" s="5" t="s">
        <v>55</v>
      </c>
      <c r="C74" s="5" t="s">
        <v>17</v>
      </c>
      <c r="D74" s="5" t="s">
        <v>13</v>
      </c>
      <c r="E74" s="5" t="s">
        <v>50</v>
      </c>
      <c r="F74" s="5">
        <v>6</v>
      </c>
      <c r="G74" s="5">
        <v>253</v>
      </c>
      <c r="H74" s="5">
        <v>0</v>
      </c>
      <c r="I74" s="6">
        <v>46055</v>
      </c>
      <c r="J74" s="6">
        <v>46063</v>
      </c>
      <c r="K74" s="10" t="s">
        <v>24</v>
      </c>
      <c r="L74" s="14" t="str">
        <f t="shared" si="1"/>
        <v>Sneha-Stationery</v>
      </c>
    </row>
    <row r="75" spans="1:12" ht="15" thickBot="1" x14ac:dyDescent="0.4">
      <c r="A75" s="5">
        <v>1136</v>
      </c>
      <c r="B75" s="5" t="s">
        <v>27</v>
      </c>
      <c r="C75" s="5" t="s">
        <v>43</v>
      </c>
      <c r="D75" s="5" t="s">
        <v>18</v>
      </c>
      <c r="E75" s="5" t="s">
        <v>56</v>
      </c>
      <c r="F75" s="5">
        <v>19</v>
      </c>
      <c r="G75" s="5">
        <v>14528</v>
      </c>
      <c r="H75" s="5">
        <v>12</v>
      </c>
      <c r="I75" s="6">
        <v>46056</v>
      </c>
      <c r="J75" s="6">
        <v>46062</v>
      </c>
      <c r="K75" s="10" t="s">
        <v>24</v>
      </c>
      <c r="L75" s="14" t="str">
        <f t="shared" si="1"/>
        <v>Arjun-Furniture</v>
      </c>
    </row>
    <row r="76" spans="1:12" ht="15" thickBot="1" x14ac:dyDescent="0.4">
      <c r="A76" s="5">
        <v>1394</v>
      </c>
      <c r="B76" s="5" t="s">
        <v>54</v>
      </c>
      <c r="C76" s="5" t="s">
        <v>12</v>
      </c>
      <c r="D76" s="5" t="s">
        <v>13</v>
      </c>
      <c r="E76" s="5" t="s">
        <v>14</v>
      </c>
      <c r="F76" s="5">
        <v>10</v>
      </c>
      <c r="G76" s="5">
        <v>138</v>
      </c>
      <c r="H76" s="5">
        <v>2</v>
      </c>
      <c r="I76" s="6">
        <v>46056</v>
      </c>
      <c r="J76" s="6">
        <v>46057</v>
      </c>
      <c r="K76" s="10" t="s">
        <v>15</v>
      </c>
      <c r="L76" s="14" t="str">
        <f t="shared" si="1"/>
        <v>Manoj-Stationery</v>
      </c>
    </row>
    <row r="77" spans="1:12" ht="15" thickBot="1" x14ac:dyDescent="0.4">
      <c r="A77" s="5">
        <v>1105</v>
      </c>
      <c r="B77" s="5" t="s">
        <v>59</v>
      </c>
      <c r="C77" s="5" t="s">
        <v>25</v>
      </c>
      <c r="D77" s="5" t="s">
        <v>13</v>
      </c>
      <c r="E77" s="5" t="s">
        <v>50</v>
      </c>
      <c r="F77" s="5">
        <v>2</v>
      </c>
      <c r="G77" s="5">
        <v>493</v>
      </c>
      <c r="H77" s="5">
        <v>12</v>
      </c>
      <c r="I77" s="6">
        <v>46057</v>
      </c>
      <c r="J77" s="6">
        <v>46066</v>
      </c>
      <c r="K77" s="10" t="s">
        <v>51</v>
      </c>
      <c r="L77" s="14" t="str">
        <f t="shared" si="1"/>
        <v>Anita-Stationery</v>
      </c>
    </row>
    <row r="78" spans="1:12" ht="15" thickBot="1" x14ac:dyDescent="0.4">
      <c r="A78" s="5">
        <v>1256</v>
      </c>
      <c r="B78" s="5" t="s">
        <v>48</v>
      </c>
      <c r="C78" s="5" t="s">
        <v>31</v>
      </c>
      <c r="D78" s="5" t="s">
        <v>13</v>
      </c>
      <c r="E78" s="5" t="s">
        <v>50</v>
      </c>
      <c r="F78" s="5">
        <v>19</v>
      </c>
      <c r="G78" s="5">
        <v>406</v>
      </c>
      <c r="H78" s="5">
        <v>7</v>
      </c>
      <c r="I78" s="6">
        <v>46057</v>
      </c>
      <c r="J78" s="6">
        <v>46061</v>
      </c>
      <c r="K78" s="10" t="s">
        <v>15</v>
      </c>
      <c r="L78" s="14" t="str">
        <f t="shared" si="1"/>
        <v>Nitin-Stationery</v>
      </c>
    </row>
    <row r="79" spans="1:12" ht="15" thickBot="1" x14ac:dyDescent="0.4">
      <c r="A79" s="5">
        <v>1081</v>
      </c>
      <c r="B79" s="5" t="s">
        <v>47</v>
      </c>
      <c r="C79" s="5" t="s">
        <v>12</v>
      </c>
      <c r="D79" s="5" t="s">
        <v>34</v>
      </c>
      <c r="E79" s="5" t="s">
        <v>35</v>
      </c>
      <c r="F79" s="5">
        <v>15</v>
      </c>
      <c r="G79" s="5">
        <v>59912</v>
      </c>
      <c r="H79" s="5">
        <v>7</v>
      </c>
      <c r="I79" s="6">
        <v>46058</v>
      </c>
      <c r="J79" s="6">
        <v>46060</v>
      </c>
      <c r="K79" s="10" t="s">
        <v>51</v>
      </c>
      <c r="L79" s="14" t="str">
        <f t="shared" si="1"/>
        <v>Yash-Electronics</v>
      </c>
    </row>
    <row r="80" spans="1:12" ht="15" thickBot="1" x14ac:dyDescent="0.4">
      <c r="A80" s="5">
        <v>1067</v>
      </c>
      <c r="B80" s="5" t="s">
        <v>32</v>
      </c>
      <c r="C80" s="5" t="s">
        <v>43</v>
      </c>
      <c r="D80" s="5" t="s">
        <v>18</v>
      </c>
      <c r="E80" s="5" t="s">
        <v>56</v>
      </c>
      <c r="F80" s="5">
        <v>14</v>
      </c>
      <c r="G80" s="5">
        <v>10869</v>
      </c>
      <c r="H80" s="5">
        <v>0</v>
      </c>
      <c r="I80" s="6">
        <v>46058</v>
      </c>
      <c r="J80" s="6">
        <v>46062</v>
      </c>
      <c r="K80" s="10" t="s">
        <v>29</v>
      </c>
      <c r="L80" s="14" t="str">
        <f t="shared" si="1"/>
        <v>Asha-Furniture</v>
      </c>
    </row>
    <row r="81" spans="1:12" ht="15" thickBot="1" x14ac:dyDescent="0.4">
      <c r="A81" s="5">
        <v>1099</v>
      </c>
      <c r="B81" s="5" t="s">
        <v>26</v>
      </c>
      <c r="C81" s="5" t="s">
        <v>31</v>
      </c>
      <c r="D81" s="5" t="s">
        <v>18</v>
      </c>
      <c r="E81" s="5" t="s">
        <v>19</v>
      </c>
      <c r="F81" s="5">
        <v>1</v>
      </c>
      <c r="G81" s="5">
        <v>5165</v>
      </c>
      <c r="H81" s="5">
        <v>2</v>
      </c>
      <c r="I81" s="6">
        <v>46058</v>
      </c>
      <c r="J81" s="6">
        <v>46060</v>
      </c>
      <c r="K81" s="10" t="s">
        <v>15</v>
      </c>
      <c r="L81" s="14" t="str">
        <f t="shared" si="1"/>
        <v>Vikram-Furniture</v>
      </c>
    </row>
    <row r="82" spans="1:12" ht="15" thickBot="1" x14ac:dyDescent="0.4">
      <c r="A82" s="5">
        <v>1061</v>
      </c>
      <c r="B82" s="5" t="s">
        <v>57</v>
      </c>
      <c r="C82" s="5" t="s">
        <v>12</v>
      </c>
      <c r="D82" s="5" t="s">
        <v>34</v>
      </c>
      <c r="E82" s="5" t="s">
        <v>41</v>
      </c>
      <c r="F82" s="5">
        <v>16</v>
      </c>
      <c r="G82" s="5">
        <v>59084</v>
      </c>
      <c r="H82" s="5">
        <v>0</v>
      </c>
      <c r="I82" s="6">
        <v>46060</v>
      </c>
      <c r="J82" s="6">
        <v>46069</v>
      </c>
      <c r="K82" s="10" t="s">
        <v>20</v>
      </c>
      <c r="L82" s="14" t="str">
        <f t="shared" si="1"/>
        <v>Sara-Electronics</v>
      </c>
    </row>
    <row r="83" spans="1:12" ht="15" thickBot="1" x14ac:dyDescent="0.4">
      <c r="A83" s="5">
        <v>1232</v>
      </c>
      <c r="B83" s="5" t="s">
        <v>21</v>
      </c>
      <c r="C83" s="5" t="s">
        <v>12</v>
      </c>
      <c r="D83" s="5" t="s">
        <v>34</v>
      </c>
      <c r="E83" s="5" t="s">
        <v>60</v>
      </c>
      <c r="F83" s="5">
        <v>3</v>
      </c>
      <c r="G83" s="5">
        <v>13272</v>
      </c>
      <c r="H83" s="5">
        <v>2</v>
      </c>
      <c r="I83" s="6">
        <v>46060</v>
      </c>
      <c r="J83" s="6">
        <v>46065</v>
      </c>
      <c r="K83" s="10" t="s">
        <v>15</v>
      </c>
      <c r="L83" s="14" t="str">
        <f t="shared" si="1"/>
        <v>Meera-Electronics</v>
      </c>
    </row>
    <row r="84" spans="1:12" ht="15" thickBot="1" x14ac:dyDescent="0.4">
      <c r="A84" s="5">
        <v>1104</v>
      </c>
      <c r="B84" s="5" t="s">
        <v>16</v>
      </c>
      <c r="C84" s="5" t="s">
        <v>43</v>
      </c>
      <c r="D84" s="5" t="s">
        <v>18</v>
      </c>
      <c r="E84" s="5" t="s">
        <v>19</v>
      </c>
      <c r="F84" s="5">
        <v>10</v>
      </c>
      <c r="G84" s="5">
        <v>12848</v>
      </c>
      <c r="H84" s="5">
        <v>15</v>
      </c>
      <c r="I84" s="6">
        <v>46060</v>
      </c>
      <c r="J84" s="6">
        <v>46064</v>
      </c>
      <c r="K84" s="10" t="s">
        <v>29</v>
      </c>
      <c r="L84" s="14" t="str">
        <f t="shared" si="1"/>
        <v>Pooja-Furniture</v>
      </c>
    </row>
    <row r="85" spans="1:12" ht="15" thickBot="1" x14ac:dyDescent="0.4">
      <c r="A85" s="5">
        <v>1140</v>
      </c>
      <c r="B85" s="5" t="s">
        <v>57</v>
      </c>
      <c r="C85" s="5" t="s">
        <v>38</v>
      </c>
      <c r="D85" s="5" t="s">
        <v>34</v>
      </c>
      <c r="E85" s="5" t="s">
        <v>41</v>
      </c>
      <c r="F85" s="5">
        <v>5</v>
      </c>
      <c r="G85" s="5">
        <v>68012</v>
      </c>
      <c r="H85" s="5">
        <v>5</v>
      </c>
      <c r="I85" s="6">
        <v>46061</v>
      </c>
      <c r="J85" s="6">
        <v>46065</v>
      </c>
      <c r="K85" s="10" t="s">
        <v>15</v>
      </c>
      <c r="L85" s="14" t="str">
        <f t="shared" si="1"/>
        <v>Sara-Electronics</v>
      </c>
    </row>
    <row r="86" spans="1:12" ht="15" thickBot="1" x14ac:dyDescent="0.4">
      <c r="A86" s="5">
        <v>1120</v>
      </c>
      <c r="B86" s="5" t="s">
        <v>32</v>
      </c>
      <c r="C86" s="5" t="s">
        <v>38</v>
      </c>
      <c r="D86" s="5" t="s">
        <v>13</v>
      </c>
      <c r="E86" s="5" t="s">
        <v>36</v>
      </c>
      <c r="F86" s="5">
        <v>10</v>
      </c>
      <c r="G86" s="5">
        <v>438</v>
      </c>
      <c r="H86" s="5">
        <v>10</v>
      </c>
      <c r="I86" s="6">
        <v>46061</v>
      </c>
      <c r="J86" s="6">
        <v>46065</v>
      </c>
      <c r="K86" s="10" t="s">
        <v>51</v>
      </c>
      <c r="L86" s="14" t="str">
        <f t="shared" si="1"/>
        <v>Asha-Stationery</v>
      </c>
    </row>
    <row r="87" spans="1:12" ht="15" thickBot="1" x14ac:dyDescent="0.4">
      <c r="A87" s="5">
        <v>1395</v>
      </c>
      <c r="B87" s="5" t="s">
        <v>54</v>
      </c>
      <c r="C87" s="5" t="s">
        <v>33</v>
      </c>
      <c r="D87" s="5" t="s">
        <v>18</v>
      </c>
      <c r="E87" s="5" t="s">
        <v>44</v>
      </c>
      <c r="F87" s="5">
        <v>18</v>
      </c>
      <c r="G87" s="5">
        <v>10402</v>
      </c>
      <c r="H87" s="5">
        <v>15</v>
      </c>
      <c r="I87" s="6">
        <v>46062</v>
      </c>
      <c r="J87" s="6">
        <v>46067</v>
      </c>
      <c r="K87" s="10" t="s">
        <v>29</v>
      </c>
      <c r="L87" s="14" t="str">
        <f t="shared" si="1"/>
        <v>Manoj-Furniture</v>
      </c>
    </row>
    <row r="88" spans="1:12" ht="15" thickBot="1" x14ac:dyDescent="0.4">
      <c r="A88" s="5">
        <v>1152</v>
      </c>
      <c r="B88" s="5" t="s">
        <v>27</v>
      </c>
      <c r="C88" s="5" t="s">
        <v>31</v>
      </c>
      <c r="D88" s="5" t="s">
        <v>34</v>
      </c>
      <c r="E88" s="5" t="s">
        <v>61</v>
      </c>
      <c r="F88" s="5">
        <v>14</v>
      </c>
      <c r="G88" s="5">
        <v>8150</v>
      </c>
      <c r="H88" s="5">
        <v>10</v>
      </c>
      <c r="I88" s="6">
        <v>46062</v>
      </c>
      <c r="J88" s="6">
        <v>46070</v>
      </c>
      <c r="K88" s="10" t="s">
        <v>15</v>
      </c>
      <c r="L88" s="14" t="str">
        <f t="shared" si="1"/>
        <v>Arjun-Electronics</v>
      </c>
    </row>
    <row r="89" spans="1:12" ht="15" thickBot="1" x14ac:dyDescent="0.4">
      <c r="A89" s="5">
        <v>1369</v>
      </c>
      <c r="B89" s="5" t="s">
        <v>57</v>
      </c>
      <c r="C89" s="5" t="s">
        <v>25</v>
      </c>
      <c r="D89" s="5" t="s">
        <v>18</v>
      </c>
      <c r="E89" s="5" t="s">
        <v>19</v>
      </c>
      <c r="F89" s="5">
        <v>19</v>
      </c>
      <c r="G89" s="5">
        <v>5840</v>
      </c>
      <c r="H89" s="5">
        <v>5</v>
      </c>
      <c r="I89" s="6">
        <v>46062</v>
      </c>
      <c r="J89" s="6">
        <v>46067</v>
      </c>
      <c r="K89" s="10" t="s">
        <v>15</v>
      </c>
      <c r="L89" s="14" t="str">
        <f t="shared" si="1"/>
        <v>Sara-Furniture</v>
      </c>
    </row>
    <row r="90" spans="1:12" ht="15" thickBot="1" x14ac:dyDescent="0.4">
      <c r="A90" s="5">
        <v>1010</v>
      </c>
      <c r="B90" s="5" t="s">
        <v>11</v>
      </c>
      <c r="C90" s="5" t="s">
        <v>17</v>
      </c>
      <c r="D90" s="5" t="s">
        <v>13</v>
      </c>
      <c r="E90" s="5" t="s">
        <v>36</v>
      </c>
      <c r="F90" s="5">
        <v>14</v>
      </c>
      <c r="G90" s="5">
        <v>470</v>
      </c>
      <c r="H90" s="5">
        <v>5</v>
      </c>
      <c r="I90" s="6">
        <v>46062</v>
      </c>
      <c r="J90" s="6">
        <v>46068</v>
      </c>
      <c r="K90" s="10" t="s">
        <v>15</v>
      </c>
      <c r="L90" s="14" t="str">
        <f t="shared" si="1"/>
        <v>Ritesh-Stationery</v>
      </c>
    </row>
    <row r="91" spans="1:12" ht="15" thickBot="1" x14ac:dyDescent="0.4">
      <c r="A91" s="5">
        <v>1374</v>
      </c>
      <c r="B91" s="5" t="s">
        <v>57</v>
      </c>
      <c r="C91" s="5" t="s">
        <v>33</v>
      </c>
      <c r="D91" s="5" t="s">
        <v>34</v>
      </c>
      <c r="E91" s="5" t="s">
        <v>35</v>
      </c>
      <c r="F91" s="5">
        <v>12</v>
      </c>
      <c r="G91" s="5">
        <v>66052</v>
      </c>
      <c r="H91" s="5">
        <v>2</v>
      </c>
      <c r="I91" s="6">
        <v>46063</v>
      </c>
      <c r="J91" s="6">
        <v>46066</v>
      </c>
      <c r="K91" s="10" t="s">
        <v>51</v>
      </c>
      <c r="L91" s="14" t="str">
        <f t="shared" si="1"/>
        <v>Sara-Electronics</v>
      </c>
    </row>
    <row r="92" spans="1:12" ht="15" thickBot="1" x14ac:dyDescent="0.4">
      <c r="A92" s="5">
        <v>1296</v>
      </c>
      <c r="B92" s="5" t="s">
        <v>26</v>
      </c>
      <c r="C92" s="5" t="s">
        <v>38</v>
      </c>
      <c r="D92" s="5" t="s">
        <v>13</v>
      </c>
      <c r="E92" s="5" t="s">
        <v>50</v>
      </c>
      <c r="F92" s="5">
        <v>6</v>
      </c>
      <c r="G92" s="5">
        <v>201</v>
      </c>
      <c r="H92" s="5">
        <v>0</v>
      </c>
      <c r="I92" s="6">
        <v>46063</v>
      </c>
      <c r="J92" s="6">
        <v>46072</v>
      </c>
      <c r="K92" s="10" t="s">
        <v>51</v>
      </c>
      <c r="L92" s="14" t="str">
        <f t="shared" si="1"/>
        <v>Vikram-Stationery</v>
      </c>
    </row>
    <row r="93" spans="1:12" ht="15" thickBot="1" x14ac:dyDescent="0.4">
      <c r="A93" s="5">
        <v>1142</v>
      </c>
      <c r="B93" s="5" t="s">
        <v>40</v>
      </c>
      <c r="C93" s="5" t="s">
        <v>25</v>
      </c>
      <c r="D93" s="5" t="s">
        <v>34</v>
      </c>
      <c r="E93" s="5" t="s">
        <v>60</v>
      </c>
      <c r="F93" s="5">
        <v>9</v>
      </c>
      <c r="G93" s="5">
        <v>59788</v>
      </c>
      <c r="H93" s="5">
        <v>7</v>
      </c>
      <c r="I93" s="6">
        <v>46064</v>
      </c>
      <c r="J93" s="6">
        <v>46071</v>
      </c>
      <c r="K93" s="10" t="s">
        <v>29</v>
      </c>
      <c r="L93" s="14" t="str">
        <f t="shared" si="1"/>
        <v>Deepak-Electronics</v>
      </c>
    </row>
    <row r="94" spans="1:12" ht="15" thickBot="1" x14ac:dyDescent="0.4">
      <c r="A94" s="5">
        <v>1053</v>
      </c>
      <c r="B94" s="5" t="s">
        <v>16</v>
      </c>
      <c r="C94" s="5" t="s">
        <v>33</v>
      </c>
      <c r="D94" s="5" t="s">
        <v>18</v>
      </c>
      <c r="E94" s="5" t="s">
        <v>28</v>
      </c>
      <c r="F94" s="5">
        <v>1</v>
      </c>
      <c r="G94" s="5">
        <v>9749</v>
      </c>
      <c r="H94" s="5">
        <v>15</v>
      </c>
      <c r="I94" s="6">
        <v>46064</v>
      </c>
      <c r="J94" s="6">
        <v>46070</v>
      </c>
      <c r="K94" s="10" t="s">
        <v>24</v>
      </c>
      <c r="L94" s="14" t="str">
        <f t="shared" si="1"/>
        <v>Pooja-Furniture</v>
      </c>
    </row>
    <row r="95" spans="1:12" ht="15" thickBot="1" x14ac:dyDescent="0.4">
      <c r="A95" s="5">
        <v>1089</v>
      </c>
      <c r="B95" s="5" t="s">
        <v>46</v>
      </c>
      <c r="C95" s="5" t="s">
        <v>12</v>
      </c>
      <c r="D95" s="5" t="s">
        <v>34</v>
      </c>
      <c r="E95" s="5" t="s">
        <v>35</v>
      </c>
      <c r="F95" s="5">
        <v>10</v>
      </c>
      <c r="G95" s="5">
        <v>17041</v>
      </c>
      <c r="H95" s="5">
        <v>2</v>
      </c>
      <c r="I95" s="6">
        <v>46066</v>
      </c>
      <c r="J95" s="6">
        <v>46071</v>
      </c>
      <c r="K95" s="10" t="s">
        <v>24</v>
      </c>
      <c r="L95" s="14" t="str">
        <f t="shared" si="1"/>
        <v>Kiran-Electronics</v>
      </c>
    </row>
    <row r="96" spans="1:12" ht="15" thickBot="1" x14ac:dyDescent="0.4">
      <c r="A96" s="5">
        <v>1174</v>
      </c>
      <c r="B96" s="5" t="s">
        <v>58</v>
      </c>
      <c r="C96" s="5" t="s">
        <v>38</v>
      </c>
      <c r="D96" s="5" t="s">
        <v>13</v>
      </c>
      <c r="E96" s="5" t="s">
        <v>14</v>
      </c>
      <c r="F96" s="5">
        <v>13</v>
      </c>
      <c r="G96" s="5">
        <v>155</v>
      </c>
      <c r="H96" s="5">
        <v>2</v>
      </c>
      <c r="I96" s="6">
        <v>46066</v>
      </c>
      <c r="J96" s="6">
        <v>46069</v>
      </c>
      <c r="K96" s="10" t="s">
        <v>24</v>
      </c>
      <c r="L96" s="14" t="str">
        <f t="shared" si="1"/>
        <v>Rohan-Stationery</v>
      </c>
    </row>
    <row r="97" spans="1:12" ht="15" thickBot="1" x14ac:dyDescent="0.4">
      <c r="A97" s="5">
        <v>1114</v>
      </c>
      <c r="B97" s="5" t="s">
        <v>16</v>
      </c>
      <c r="C97" s="5" t="s">
        <v>25</v>
      </c>
      <c r="D97" s="5" t="s">
        <v>13</v>
      </c>
      <c r="E97" s="5" t="s">
        <v>50</v>
      </c>
      <c r="F97" s="5">
        <v>13</v>
      </c>
      <c r="G97" s="5">
        <v>32</v>
      </c>
      <c r="H97" s="5">
        <v>15</v>
      </c>
      <c r="I97" s="6">
        <v>46066</v>
      </c>
      <c r="J97" s="6">
        <v>46069</v>
      </c>
      <c r="K97" s="10" t="s">
        <v>15</v>
      </c>
      <c r="L97" s="14" t="str">
        <f t="shared" si="1"/>
        <v>Pooja-Stationery</v>
      </c>
    </row>
    <row r="98" spans="1:12" ht="15" thickBot="1" x14ac:dyDescent="0.4">
      <c r="A98" s="5">
        <v>1057</v>
      </c>
      <c r="B98" s="5" t="s">
        <v>59</v>
      </c>
      <c r="C98" s="5" t="s">
        <v>22</v>
      </c>
      <c r="D98" s="5" t="s">
        <v>18</v>
      </c>
      <c r="E98" s="5" t="s">
        <v>28</v>
      </c>
      <c r="F98" s="5">
        <v>2</v>
      </c>
      <c r="G98" s="5">
        <v>9531</v>
      </c>
      <c r="H98" s="5">
        <v>15</v>
      </c>
      <c r="I98" s="6">
        <v>46067</v>
      </c>
      <c r="J98" s="6">
        <v>46076</v>
      </c>
      <c r="K98" s="10" t="s">
        <v>51</v>
      </c>
      <c r="L98" s="14" t="str">
        <f t="shared" si="1"/>
        <v>Anita-Furniture</v>
      </c>
    </row>
    <row r="99" spans="1:12" ht="15" thickBot="1" x14ac:dyDescent="0.4">
      <c r="A99" s="5">
        <v>1088</v>
      </c>
      <c r="B99" s="5" t="s">
        <v>40</v>
      </c>
      <c r="C99" s="5" t="s">
        <v>33</v>
      </c>
      <c r="D99" s="5" t="s">
        <v>34</v>
      </c>
      <c r="E99" s="5" t="s">
        <v>41</v>
      </c>
      <c r="F99" s="5">
        <v>20</v>
      </c>
      <c r="G99" s="5">
        <v>41165</v>
      </c>
      <c r="H99" s="5">
        <v>0</v>
      </c>
      <c r="I99" s="6">
        <v>46068</v>
      </c>
      <c r="J99" s="6">
        <v>46069</v>
      </c>
      <c r="K99" s="10" t="s">
        <v>20</v>
      </c>
      <c r="L99" s="14" t="str">
        <f t="shared" si="1"/>
        <v>Deepak-Electronics</v>
      </c>
    </row>
    <row r="100" spans="1:12" ht="15" thickBot="1" x14ac:dyDescent="0.4">
      <c r="A100" s="5">
        <v>1243</v>
      </c>
      <c r="B100" s="5" t="s">
        <v>30</v>
      </c>
      <c r="C100" s="5" t="s">
        <v>31</v>
      </c>
      <c r="D100" s="5" t="s">
        <v>34</v>
      </c>
      <c r="E100" s="5" t="s">
        <v>41</v>
      </c>
      <c r="F100" s="5">
        <v>5</v>
      </c>
      <c r="G100" s="5">
        <v>11570</v>
      </c>
      <c r="H100" s="5">
        <v>15</v>
      </c>
      <c r="I100" s="6">
        <v>46069</v>
      </c>
      <c r="J100" s="6">
        <v>46077</v>
      </c>
      <c r="K100" s="10" t="s">
        <v>24</v>
      </c>
      <c r="L100" s="14" t="str">
        <f t="shared" si="1"/>
        <v>Neha-Electronics</v>
      </c>
    </row>
    <row r="101" spans="1:12" ht="15" thickBot="1" x14ac:dyDescent="0.4">
      <c r="A101" s="5">
        <v>1153</v>
      </c>
      <c r="B101" s="5" t="s">
        <v>42</v>
      </c>
      <c r="C101" s="5" t="s">
        <v>25</v>
      </c>
      <c r="D101" s="5" t="s">
        <v>18</v>
      </c>
      <c r="E101" s="5" t="s">
        <v>23</v>
      </c>
      <c r="F101" s="5">
        <v>19</v>
      </c>
      <c r="G101" s="5">
        <v>10273</v>
      </c>
      <c r="H101" s="5">
        <v>12</v>
      </c>
      <c r="I101" s="6">
        <v>46069</v>
      </c>
      <c r="J101" s="6">
        <v>46072</v>
      </c>
      <c r="K101" s="10" t="s">
        <v>29</v>
      </c>
      <c r="L101" s="14" t="str">
        <f t="shared" si="1"/>
        <v>Nisha-Furniture</v>
      </c>
    </row>
    <row r="102" spans="1:12" ht="15" thickBot="1" x14ac:dyDescent="0.4">
      <c r="A102" s="5">
        <v>1365</v>
      </c>
      <c r="B102" s="5" t="s">
        <v>46</v>
      </c>
      <c r="C102" s="5" t="s">
        <v>33</v>
      </c>
      <c r="D102" s="5" t="s">
        <v>13</v>
      </c>
      <c r="E102" s="5" t="s">
        <v>50</v>
      </c>
      <c r="F102" s="5">
        <v>17</v>
      </c>
      <c r="G102" s="5">
        <v>119</v>
      </c>
      <c r="H102" s="5">
        <v>7</v>
      </c>
      <c r="I102" s="6">
        <v>46070</v>
      </c>
      <c r="J102" s="6">
        <v>46072</v>
      </c>
      <c r="K102" s="10" t="s">
        <v>20</v>
      </c>
      <c r="L102" s="14" t="str">
        <f t="shared" si="1"/>
        <v>Kiran-Stationery</v>
      </c>
    </row>
    <row r="103" spans="1:12" ht="15" thickBot="1" x14ac:dyDescent="0.4">
      <c r="A103" s="5">
        <v>1036</v>
      </c>
      <c r="B103" s="5" t="s">
        <v>11</v>
      </c>
      <c r="C103" s="5" t="s">
        <v>25</v>
      </c>
      <c r="D103" s="5" t="s">
        <v>13</v>
      </c>
      <c r="E103" s="5" t="s">
        <v>36</v>
      </c>
      <c r="F103" s="5">
        <v>20</v>
      </c>
      <c r="G103" s="5">
        <v>161</v>
      </c>
      <c r="H103" s="5">
        <v>7</v>
      </c>
      <c r="I103" s="6">
        <v>46071</v>
      </c>
      <c r="J103" s="6">
        <v>46077</v>
      </c>
      <c r="K103" s="10" t="s">
        <v>24</v>
      </c>
      <c r="L103" s="14" t="str">
        <f t="shared" si="1"/>
        <v>Ritesh-Stationery</v>
      </c>
    </row>
    <row r="104" spans="1:12" ht="15" thickBot="1" x14ac:dyDescent="0.4">
      <c r="A104" s="5">
        <v>1371</v>
      </c>
      <c r="B104" s="5" t="s">
        <v>48</v>
      </c>
      <c r="C104" s="5" t="s">
        <v>38</v>
      </c>
      <c r="D104" s="5" t="s">
        <v>18</v>
      </c>
      <c r="E104" s="5" t="s">
        <v>19</v>
      </c>
      <c r="F104" s="5">
        <v>19</v>
      </c>
      <c r="G104" s="5">
        <v>1087</v>
      </c>
      <c r="H104" s="5">
        <v>15</v>
      </c>
      <c r="I104" s="6">
        <v>46072</v>
      </c>
      <c r="J104" s="6">
        <v>46082</v>
      </c>
      <c r="K104" s="10" t="s">
        <v>20</v>
      </c>
      <c r="L104" s="14" t="str">
        <f t="shared" si="1"/>
        <v>Nitin-Furniture</v>
      </c>
    </row>
    <row r="105" spans="1:12" ht="15" thickBot="1" x14ac:dyDescent="0.4">
      <c r="A105" s="5">
        <v>1323</v>
      </c>
      <c r="B105" s="5" t="s">
        <v>57</v>
      </c>
      <c r="C105" s="5" t="s">
        <v>38</v>
      </c>
      <c r="D105" s="5" t="s">
        <v>34</v>
      </c>
      <c r="E105" s="5" t="s">
        <v>61</v>
      </c>
      <c r="F105" s="5">
        <v>2</v>
      </c>
      <c r="G105" s="5">
        <v>32074</v>
      </c>
      <c r="H105" s="5">
        <v>10</v>
      </c>
      <c r="I105" s="6">
        <v>46073</v>
      </c>
      <c r="J105" s="6">
        <v>46078</v>
      </c>
      <c r="K105" s="10" t="s">
        <v>15</v>
      </c>
      <c r="L105" s="14" t="str">
        <f t="shared" si="1"/>
        <v>Sara-Electronics</v>
      </c>
    </row>
    <row r="106" spans="1:12" ht="15" thickBot="1" x14ac:dyDescent="0.4">
      <c r="A106" s="5">
        <v>1253</v>
      </c>
      <c r="B106" s="5" t="s">
        <v>21</v>
      </c>
      <c r="C106" s="5" t="s">
        <v>31</v>
      </c>
      <c r="D106" s="5" t="s">
        <v>34</v>
      </c>
      <c r="E106" s="5" t="s">
        <v>45</v>
      </c>
      <c r="F106" s="5">
        <v>20</v>
      </c>
      <c r="G106" s="5">
        <v>47880</v>
      </c>
      <c r="H106" s="5">
        <v>7</v>
      </c>
      <c r="I106" s="6">
        <v>46074</v>
      </c>
      <c r="J106" s="6">
        <v>46075</v>
      </c>
      <c r="K106" s="10" t="s">
        <v>29</v>
      </c>
      <c r="L106" s="14" t="str">
        <f t="shared" si="1"/>
        <v>Meera-Electronics</v>
      </c>
    </row>
    <row r="107" spans="1:12" ht="15" thickBot="1" x14ac:dyDescent="0.4">
      <c r="A107" s="5">
        <v>1384</v>
      </c>
      <c r="B107" s="5" t="s">
        <v>59</v>
      </c>
      <c r="C107" s="5" t="s">
        <v>12</v>
      </c>
      <c r="D107" s="5" t="s">
        <v>34</v>
      </c>
      <c r="E107" s="5" t="s">
        <v>39</v>
      </c>
      <c r="F107" s="5">
        <v>15</v>
      </c>
      <c r="G107" s="5">
        <v>38116</v>
      </c>
      <c r="H107" s="5">
        <v>0</v>
      </c>
      <c r="I107" s="6">
        <v>46074</v>
      </c>
      <c r="J107" s="6">
        <v>46078</v>
      </c>
      <c r="K107" s="10" t="s">
        <v>29</v>
      </c>
      <c r="L107" s="14" t="str">
        <f t="shared" si="1"/>
        <v>Anita-Electronics</v>
      </c>
    </row>
    <row r="108" spans="1:12" ht="15" thickBot="1" x14ac:dyDescent="0.4">
      <c r="A108" s="5">
        <v>1378</v>
      </c>
      <c r="B108" s="5" t="s">
        <v>55</v>
      </c>
      <c r="C108" s="5" t="s">
        <v>22</v>
      </c>
      <c r="D108" s="5" t="s">
        <v>34</v>
      </c>
      <c r="E108" s="5" t="s">
        <v>45</v>
      </c>
      <c r="F108" s="5">
        <v>15</v>
      </c>
      <c r="G108" s="5">
        <v>22693</v>
      </c>
      <c r="H108" s="5">
        <v>12</v>
      </c>
      <c r="I108" s="6">
        <v>46074</v>
      </c>
      <c r="J108" s="6">
        <v>46080</v>
      </c>
      <c r="K108" s="10" t="s">
        <v>51</v>
      </c>
      <c r="L108" s="14" t="str">
        <f t="shared" si="1"/>
        <v>Sneha-Electronics</v>
      </c>
    </row>
    <row r="109" spans="1:12" ht="15" thickBot="1" x14ac:dyDescent="0.4">
      <c r="A109" s="5">
        <v>1058</v>
      </c>
      <c r="B109" s="5" t="s">
        <v>52</v>
      </c>
      <c r="C109" s="5" t="s">
        <v>38</v>
      </c>
      <c r="D109" s="5" t="s">
        <v>18</v>
      </c>
      <c r="E109" s="5" t="s">
        <v>28</v>
      </c>
      <c r="F109" s="5">
        <v>10</v>
      </c>
      <c r="G109" s="5">
        <v>5532</v>
      </c>
      <c r="H109" s="5">
        <v>7</v>
      </c>
      <c r="I109" s="6">
        <v>46074</v>
      </c>
      <c r="J109" s="6">
        <v>46084</v>
      </c>
      <c r="K109" s="10" t="s">
        <v>24</v>
      </c>
      <c r="L109" s="14" t="str">
        <f t="shared" si="1"/>
        <v>Komal-Furniture</v>
      </c>
    </row>
    <row r="110" spans="1:12" ht="15" thickBot="1" x14ac:dyDescent="0.4">
      <c r="A110" s="5">
        <v>1337</v>
      </c>
      <c r="B110" s="5" t="s">
        <v>16</v>
      </c>
      <c r="C110" s="5" t="s">
        <v>12</v>
      </c>
      <c r="D110" s="5" t="s">
        <v>13</v>
      </c>
      <c r="E110" s="5" t="s">
        <v>53</v>
      </c>
      <c r="F110" s="5">
        <v>14</v>
      </c>
      <c r="G110" s="5">
        <v>373</v>
      </c>
      <c r="H110" s="5">
        <v>10</v>
      </c>
      <c r="I110" s="6">
        <v>46074</v>
      </c>
      <c r="J110" s="6">
        <v>46080</v>
      </c>
      <c r="K110" s="10" t="s">
        <v>29</v>
      </c>
      <c r="L110" s="14" t="str">
        <f t="shared" si="1"/>
        <v>Pooja-Stationery</v>
      </c>
    </row>
    <row r="111" spans="1:12" ht="15" thickBot="1" x14ac:dyDescent="0.4">
      <c r="A111" s="5">
        <v>1201</v>
      </c>
      <c r="B111" s="5" t="s">
        <v>54</v>
      </c>
      <c r="C111" s="5" t="s">
        <v>31</v>
      </c>
      <c r="D111" s="5" t="s">
        <v>13</v>
      </c>
      <c r="E111" s="5" t="s">
        <v>53</v>
      </c>
      <c r="F111" s="5">
        <v>18</v>
      </c>
      <c r="G111" s="5">
        <v>139</v>
      </c>
      <c r="H111" s="5">
        <v>12</v>
      </c>
      <c r="I111" s="6">
        <v>46075</v>
      </c>
      <c r="J111" s="6">
        <v>46076</v>
      </c>
      <c r="K111" s="10" t="s">
        <v>20</v>
      </c>
      <c r="L111" s="14" t="str">
        <f t="shared" si="1"/>
        <v>Manoj-Stationery</v>
      </c>
    </row>
    <row r="112" spans="1:12" ht="15" thickBot="1" x14ac:dyDescent="0.4">
      <c r="A112" s="5">
        <v>1082</v>
      </c>
      <c r="B112" s="5" t="s">
        <v>21</v>
      </c>
      <c r="C112" s="5" t="s">
        <v>12</v>
      </c>
      <c r="D112" s="5" t="s">
        <v>13</v>
      </c>
      <c r="E112" s="5" t="s">
        <v>14</v>
      </c>
      <c r="F112" s="5">
        <v>7</v>
      </c>
      <c r="G112" s="5">
        <v>133</v>
      </c>
      <c r="H112" s="5">
        <v>10</v>
      </c>
      <c r="I112" s="6">
        <v>46075</v>
      </c>
      <c r="J112" s="6">
        <v>46085</v>
      </c>
      <c r="K112" s="10" t="s">
        <v>51</v>
      </c>
      <c r="L112" s="14" t="str">
        <f t="shared" si="1"/>
        <v>Meera-Stationery</v>
      </c>
    </row>
    <row r="113" spans="1:12" ht="15" thickBot="1" x14ac:dyDescent="0.4">
      <c r="A113" s="5">
        <v>1325</v>
      </c>
      <c r="B113" s="5" t="s">
        <v>48</v>
      </c>
      <c r="C113" s="5" t="s">
        <v>43</v>
      </c>
      <c r="D113" s="5" t="s">
        <v>34</v>
      </c>
      <c r="E113" s="5" t="s">
        <v>39</v>
      </c>
      <c r="F113" s="5">
        <v>9</v>
      </c>
      <c r="G113" s="5">
        <v>58442</v>
      </c>
      <c r="H113" s="5">
        <v>12</v>
      </c>
      <c r="I113" s="6">
        <v>46076</v>
      </c>
      <c r="J113" s="6">
        <v>46085</v>
      </c>
      <c r="K113" s="10" t="s">
        <v>20</v>
      </c>
      <c r="L113" s="14" t="str">
        <f t="shared" si="1"/>
        <v>Nitin-Electronics</v>
      </c>
    </row>
    <row r="114" spans="1:12" ht="15" thickBot="1" x14ac:dyDescent="0.4">
      <c r="A114" s="5">
        <v>1107</v>
      </c>
      <c r="B114" s="5" t="s">
        <v>52</v>
      </c>
      <c r="C114" s="5" t="s">
        <v>17</v>
      </c>
      <c r="D114" s="5" t="s">
        <v>34</v>
      </c>
      <c r="E114" s="5" t="s">
        <v>60</v>
      </c>
      <c r="F114" s="5">
        <v>4</v>
      </c>
      <c r="G114" s="5">
        <v>14291</v>
      </c>
      <c r="H114" s="5">
        <v>2</v>
      </c>
      <c r="I114" s="6">
        <v>46076</v>
      </c>
      <c r="J114" s="6">
        <v>46078</v>
      </c>
      <c r="K114" s="10" t="s">
        <v>15</v>
      </c>
      <c r="L114" s="14" t="str">
        <f t="shared" si="1"/>
        <v>Komal-Electronics</v>
      </c>
    </row>
    <row r="115" spans="1:12" ht="15" thickBot="1" x14ac:dyDescent="0.4">
      <c r="A115" s="5">
        <v>1390</v>
      </c>
      <c r="B115" s="5" t="s">
        <v>58</v>
      </c>
      <c r="C115" s="5" t="s">
        <v>43</v>
      </c>
      <c r="D115" s="5" t="s">
        <v>18</v>
      </c>
      <c r="E115" s="5" t="s">
        <v>19</v>
      </c>
      <c r="F115" s="5">
        <v>9</v>
      </c>
      <c r="G115" s="5">
        <v>7670</v>
      </c>
      <c r="H115" s="5">
        <v>0</v>
      </c>
      <c r="I115" s="6">
        <v>46076</v>
      </c>
      <c r="J115" s="6">
        <v>46081</v>
      </c>
      <c r="K115" s="10" t="s">
        <v>51</v>
      </c>
      <c r="L115" s="14" t="str">
        <f t="shared" si="1"/>
        <v>Rohan-Furniture</v>
      </c>
    </row>
    <row r="116" spans="1:12" ht="15" thickBot="1" x14ac:dyDescent="0.4">
      <c r="A116" s="5">
        <v>1113</v>
      </c>
      <c r="B116" s="5" t="s">
        <v>26</v>
      </c>
      <c r="C116" s="5" t="s">
        <v>43</v>
      </c>
      <c r="D116" s="5" t="s">
        <v>18</v>
      </c>
      <c r="E116" s="5" t="s">
        <v>56</v>
      </c>
      <c r="F116" s="5">
        <v>13</v>
      </c>
      <c r="G116" s="5">
        <v>6719</v>
      </c>
      <c r="H116" s="5">
        <v>15</v>
      </c>
      <c r="I116" s="6">
        <v>46076</v>
      </c>
      <c r="J116" s="6">
        <v>46081</v>
      </c>
      <c r="K116" s="10" t="s">
        <v>24</v>
      </c>
      <c r="L116" s="14" t="str">
        <f t="shared" si="1"/>
        <v>Vikram-Furniture</v>
      </c>
    </row>
    <row r="117" spans="1:12" ht="15" thickBot="1" x14ac:dyDescent="0.4">
      <c r="A117" s="5">
        <v>1070</v>
      </c>
      <c r="B117" s="5" t="s">
        <v>52</v>
      </c>
      <c r="C117" s="5" t="s">
        <v>43</v>
      </c>
      <c r="D117" s="5" t="s">
        <v>13</v>
      </c>
      <c r="E117" s="5" t="s">
        <v>36</v>
      </c>
      <c r="F117" s="5">
        <v>10</v>
      </c>
      <c r="G117" s="5">
        <v>233</v>
      </c>
      <c r="H117" s="5">
        <v>7</v>
      </c>
      <c r="I117" s="6">
        <v>46076</v>
      </c>
      <c r="J117" s="6">
        <v>46077</v>
      </c>
      <c r="K117" s="10" t="s">
        <v>29</v>
      </c>
      <c r="L117" s="14" t="str">
        <f t="shared" si="1"/>
        <v>Komal-Stationery</v>
      </c>
    </row>
    <row r="118" spans="1:12" ht="15" thickBot="1" x14ac:dyDescent="0.4">
      <c r="A118" s="5">
        <v>1157</v>
      </c>
      <c r="B118" s="5" t="s">
        <v>52</v>
      </c>
      <c r="C118" s="5" t="s">
        <v>33</v>
      </c>
      <c r="D118" s="5" t="s">
        <v>13</v>
      </c>
      <c r="E118" s="5" t="s">
        <v>50</v>
      </c>
      <c r="F118" s="5">
        <v>3</v>
      </c>
      <c r="G118" s="5">
        <v>203</v>
      </c>
      <c r="H118" s="5">
        <v>15</v>
      </c>
      <c r="I118" s="6">
        <v>46076</v>
      </c>
      <c r="J118" s="6">
        <v>46080</v>
      </c>
      <c r="K118" s="10" t="s">
        <v>29</v>
      </c>
      <c r="L118" s="14" t="str">
        <f t="shared" si="1"/>
        <v>Komal-Stationery</v>
      </c>
    </row>
    <row r="119" spans="1:12" ht="15" thickBot="1" x14ac:dyDescent="0.4">
      <c r="A119" s="5">
        <v>1110</v>
      </c>
      <c r="B119" s="5" t="s">
        <v>49</v>
      </c>
      <c r="C119" s="5" t="s">
        <v>38</v>
      </c>
      <c r="D119" s="5" t="s">
        <v>18</v>
      </c>
      <c r="E119" s="5" t="s">
        <v>23</v>
      </c>
      <c r="F119" s="5">
        <v>14</v>
      </c>
      <c r="G119" s="5">
        <v>6793</v>
      </c>
      <c r="H119" s="5">
        <v>7</v>
      </c>
      <c r="I119" s="6">
        <v>46077</v>
      </c>
      <c r="J119" s="6">
        <v>46082</v>
      </c>
      <c r="K119" s="10" t="s">
        <v>29</v>
      </c>
      <c r="L119" s="14" t="str">
        <f t="shared" si="1"/>
        <v>Ajay-Furniture</v>
      </c>
    </row>
    <row r="120" spans="1:12" ht="15" thickBot="1" x14ac:dyDescent="0.4">
      <c r="A120" s="5">
        <v>1223</v>
      </c>
      <c r="B120" s="5" t="s">
        <v>59</v>
      </c>
      <c r="C120" s="5" t="s">
        <v>17</v>
      </c>
      <c r="D120" s="5" t="s">
        <v>18</v>
      </c>
      <c r="E120" s="5" t="s">
        <v>23</v>
      </c>
      <c r="F120" s="5">
        <v>4</v>
      </c>
      <c r="G120" s="5">
        <v>2249</v>
      </c>
      <c r="H120" s="5">
        <v>7</v>
      </c>
      <c r="I120" s="6">
        <v>46077</v>
      </c>
      <c r="J120" s="6">
        <v>46084</v>
      </c>
      <c r="K120" s="10" t="s">
        <v>15</v>
      </c>
      <c r="L120" s="14" t="str">
        <f t="shared" si="1"/>
        <v>Anita-Furniture</v>
      </c>
    </row>
    <row r="121" spans="1:12" ht="15" thickBot="1" x14ac:dyDescent="0.4">
      <c r="A121" s="5">
        <v>1055</v>
      </c>
      <c r="B121" s="5" t="s">
        <v>48</v>
      </c>
      <c r="C121" s="5" t="s">
        <v>12</v>
      </c>
      <c r="D121" s="5" t="s">
        <v>13</v>
      </c>
      <c r="E121" s="5" t="s">
        <v>37</v>
      </c>
      <c r="F121" s="5">
        <v>18</v>
      </c>
      <c r="G121" s="5">
        <v>185</v>
      </c>
      <c r="H121" s="5">
        <v>15</v>
      </c>
      <c r="I121" s="6">
        <v>46077</v>
      </c>
      <c r="J121" s="6">
        <v>46078</v>
      </c>
      <c r="K121" s="10" t="s">
        <v>15</v>
      </c>
      <c r="L121" s="14" t="str">
        <f t="shared" si="1"/>
        <v>Nitin-Stationery</v>
      </c>
    </row>
    <row r="122" spans="1:12" ht="15" thickBot="1" x14ac:dyDescent="0.4">
      <c r="A122" s="5">
        <v>1272</v>
      </c>
      <c r="B122" s="5" t="s">
        <v>52</v>
      </c>
      <c r="C122" s="5" t="s">
        <v>38</v>
      </c>
      <c r="D122" s="5" t="s">
        <v>34</v>
      </c>
      <c r="E122" s="5" t="s">
        <v>41</v>
      </c>
      <c r="F122" s="5">
        <v>13</v>
      </c>
      <c r="G122" s="5">
        <v>42179</v>
      </c>
      <c r="H122" s="5">
        <v>0</v>
      </c>
      <c r="I122" s="6">
        <v>46078</v>
      </c>
      <c r="J122" s="6">
        <v>46084</v>
      </c>
      <c r="K122" s="10" t="s">
        <v>20</v>
      </c>
      <c r="L122" s="14" t="str">
        <f t="shared" si="1"/>
        <v>Komal-Electronics</v>
      </c>
    </row>
    <row r="123" spans="1:12" ht="15" thickBot="1" x14ac:dyDescent="0.4">
      <c r="A123" s="5">
        <v>1316</v>
      </c>
      <c r="B123" s="5" t="s">
        <v>46</v>
      </c>
      <c r="C123" s="5" t="s">
        <v>12</v>
      </c>
      <c r="D123" s="5" t="s">
        <v>18</v>
      </c>
      <c r="E123" s="5" t="s">
        <v>28</v>
      </c>
      <c r="F123" s="5">
        <v>7</v>
      </c>
      <c r="G123" s="5">
        <v>9838</v>
      </c>
      <c r="H123" s="5">
        <v>7</v>
      </c>
      <c r="I123" s="6">
        <v>46078</v>
      </c>
      <c r="J123" s="6">
        <v>46085</v>
      </c>
      <c r="K123" s="10" t="s">
        <v>20</v>
      </c>
      <c r="L123" s="14" t="str">
        <f t="shared" si="1"/>
        <v>Kiran-Furniture</v>
      </c>
    </row>
    <row r="124" spans="1:12" ht="15" thickBot="1" x14ac:dyDescent="0.4">
      <c r="A124" s="5">
        <v>1020</v>
      </c>
      <c r="B124" s="5" t="s">
        <v>46</v>
      </c>
      <c r="C124" s="5" t="s">
        <v>12</v>
      </c>
      <c r="D124" s="5" t="s">
        <v>18</v>
      </c>
      <c r="E124" s="5" t="s">
        <v>19</v>
      </c>
      <c r="F124" s="5">
        <v>5</v>
      </c>
      <c r="G124" s="5">
        <v>4582</v>
      </c>
      <c r="H124" s="5">
        <v>5</v>
      </c>
      <c r="I124" s="6">
        <v>46078</v>
      </c>
      <c r="J124" s="6">
        <v>46083</v>
      </c>
      <c r="K124" s="10" t="s">
        <v>15</v>
      </c>
      <c r="L124" s="14" t="str">
        <f t="shared" si="1"/>
        <v>Kiran-Furniture</v>
      </c>
    </row>
    <row r="125" spans="1:12" ht="15" thickBot="1" x14ac:dyDescent="0.4">
      <c r="A125" s="5">
        <v>1349</v>
      </c>
      <c r="B125" s="5" t="s">
        <v>40</v>
      </c>
      <c r="C125" s="5" t="s">
        <v>33</v>
      </c>
      <c r="D125" s="5" t="s">
        <v>34</v>
      </c>
      <c r="E125" s="5" t="s">
        <v>35</v>
      </c>
      <c r="F125" s="5">
        <v>20</v>
      </c>
      <c r="G125" s="5">
        <v>62721</v>
      </c>
      <c r="H125" s="5">
        <v>7</v>
      </c>
      <c r="I125" s="6">
        <v>46079</v>
      </c>
      <c r="J125" s="6">
        <v>46083</v>
      </c>
      <c r="K125" s="10" t="s">
        <v>20</v>
      </c>
      <c r="L125" s="14" t="str">
        <f t="shared" si="1"/>
        <v>Deepak-Electronics</v>
      </c>
    </row>
    <row r="126" spans="1:12" ht="15" thickBot="1" x14ac:dyDescent="0.4">
      <c r="A126" s="5">
        <v>1158</v>
      </c>
      <c r="B126" s="5" t="s">
        <v>26</v>
      </c>
      <c r="C126" s="5" t="s">
        <v>38</v>
      </c>
      <c r="D126" s="5" t="s">
        <v>34</v>
      </c>
      <c r="E126" s="5" t="s">
        <v>41</v>
      </c>
      <c r="F126" s="5">
        <v>13</v>
      </c>
      <c r="G126" s="5">
        <v>12518</v>
      </c>
      <c r="H126" s="5">
        <v>2</v>
      </c>
      <c r="I126" s="6">
        <v>46079</v>
      </c>
      <c r="J126" s="6">
        <v>46082</v>
      </c>
      <c r="K126" s="10" t="s">
        <v>51</v>
      </c>
      <c r="L126" s="14" t="str">
        <f t="shared" si="1"/>
        <v>Vikram-Electronics</v>
      </c>
    </row>
    <row r="127" spans="1:12" ht="15" thickBot="1" x14ac:dyDescent="0.4">
      <c r="A127" s="5">
        <v>1163</v>
      </c>
      <c r="B127" s="5" t="s">
        <v>29</v>
      </c>
      <c r="C127" s="5" t="s">
        <v>38</v>
      </c>
      <c r="D127" s="5" t="s">
        <v>34</v>
      </c>
      <c r="E127" s="5" t="s">
        <v>39</v>
      </c>
      <c r="F127" s="5">
        <v>9</v>
      </c>
      <c r="G127" s="5">
        <v>62440</v>
      </c>
      <c r="H127" s="5">
        <v>2</v>
      </c>
      <c r="I127" s="6">
        <v>46081</v>
      </c>
      <c r="J127" s="6">
        <v>46086</v>
      </c>
      <c r="K127" s="10" t="s">
        <v>29</v>
      </c>
      <c r="L127" s="14" t="str">
        <f t="shared" si="1"/>
        <v>Priya-Electronics</v>
      </c>
    </row>
    <row r="128" spans="1:12" ht="15" thickBot="1" x14ac:dyDescent="0.4">
      <c r="A128" s="5">
        <v>1042</v>
      </c>
      <c r="B128" s="5" t="s">
        <v>46</v>
      </c>
      <c r="C128" s="5" t="s">
        <v>33</v>
      </c>
      <c r="D128" s="5" t="s">
        <v>13</v>
      </c>
      <c r="E128" s="5" t="s">
        <v>53</v>
      </c>
      <c r="F128" s="5">
        <v>16</v>
      </c>
      <c r="G128" s="5">
        <v>232</v>
      </c>
      <c r="H128" s="5">
        <v>0</v>
      </c>
      <c r="I128" s="6">
        <v>46081</v>
      </c>
      <c r="J128" s="6">
        <v>46088</v>
      </c>
      <c r="K128" s="10" t="s">
        <v>29</v>
      </c>
      <c r="L128" s="14" t="str">
        <f t="shared" si="1"/>
        <v>Kiran-Stationery</v>
      </c>
    </row>
    <row r="129" spans="1:12" ht="15" thickBot="1" x14ac:dyDescent="0.4">
      <c r="A129" s="5">
        <v>1001</v>
      </c>
      <c r="B129" s="5" t="s">
        <v>11</v>
      </c>
      <c r="C129" s="5" t="s">
        <v>12</v>
      </c>
      <c r="D129" s="5" t="s">
        <v>13</v>
      </c>
      <c r="E129" s="5" t="s">
        <v>14</v>
      </c>
      <c r="F129" s="5">
        <v>3</v>
      </c>
      <c r="G129" s="5">
        <v>222</v>
      </c>
      <c r="H129" s="5">
        <v>15</v>
      </c>
      <c r="I129" s="6">
        <v>46081</v>
      </c>
      <c r="J129" s="6">
        <v>46083</v>
      </c>
      <c r="K129" s="10" t="s">
        <v>15</v>
      </c>
      <c r="L129" s="14" t="str">
        <f t="shared" si="1"/>
        <v>Ritesh-Stationery</v>
      </c>
    </row>
    <row r="130" spans="1:12" ht="15" thickBot="1" x14ac:dyDescent="0.4">
      <c r="A130" s="5">
        <v>1202</v>
      </c>
      <c r="B130" s="5" t="s">
        <v>57</v>
      </c>
      <c r="C130" s="5" t="s">
        <v>22</v>
      </c>
      <c r="D130" s="5" t="s">
        <v>34</v>
      </c>
      <c r="E130" s="5" t="s">
        <v>35</v>
      </c>
      <c r="F130" s="5">
        <v>2</v>
      </c>
      <c r="G130" s="5">
        <v>20312</v>
      </c>
      <c r="H130" s="5">
        <v>12</v>
      </c>
      <c r="I130" s="6">
        <v>46082</v>
      </c>
      <c r="J130" s="6">
        <v>46091</v>
      </c>
      <c r="K130" s="10" t="s">
        <v>15</v>
      </c>
      <c r="L130" s="14" t="str">
        <f t="shared" si="1"/>
        <v>Sara-Electronics</v>
      </c>
    </row>
    <row r="131" spans="1:12" ht="15" thickBot="1" x14ac:dyDescent="0.4">
      <c r="A131" s="5">
        <v>1066</v>
      </c>
      <c r="B131" s="5" t="s">
        <v>47</v>
      </c>
      <c r="C131" s="5" t="s">
        <v>25</v>
      </c>
      <c r="D131" s="5" t="s">
        <v>18</v>
      </c>
      <c r="E131" s="5" t="s">
        <v>44</v>
      </c>
      <c r="F131" s="5">
        <v>15</v>
      </c>
      <c r="G131" s="5">
        <v>11987</v>
      </c>
      <c r="H131" s="5">
        <v>5</v>
      </c>
      <c r="I131" s="6">
        <v>46082</v>
      </c>
      <c r="J131" s="6">
        <v>46083</v>
      </c>
      <c r="K131" s="10" t="s">
        <v>15</v>
      </c>
      <c r="L131" s="14" t="str">
        <f t="shared" ref="L131:L194" si="2">_xlfn.CONCAT(B131,"-",D131)</f>
        <v>Yash-Furniture</v>
      </c>
    </row>
    <row r="132" spans="1:12" ht="15" thickBot="1" x14ac:dyDescent="0.4">
      <c r="A132" s="5">
        <v>1033</v>
      </c>
      <c r="B132" s="5" t="s">
        <v>11</v>
      </c>
      <c r="C132" s="5" t="s">
        <v>43</v>
      </c>
      <c r="D132" s="5" t="s">
        <v>18</v>
      </c>
      <c r="E132" s="5" t="s">
        <v>19</v>
      </c>
      <c r="F132" s="5">
        <v>9</v>
      </c>
      <c r="G132" s="5">
        <v>4895</v>
      </c>
      <c r="H132" s="5">
        <v>2</v>
      </c>
      <c r="I132" s="6">
        <v>46082</v>
      </c>
      <c r="J132" s="6">
        <v>46084</v>
      </c>
      <c r="K132" s="10" t="s">
        <v>29</v>
      </c>
      <c r="L132" s="14" t="str">
        <f t="shared" si="2"/>
        <v>Ritesh-Furniture</v>
      </c>
    </row>
    <row r="133" spans="1:12" ht="15" thickBot="1" x14ac:dyDescent="0.4">
      <c r="A133" s="5">
        <v>1284</v>
      </c>
      <c r="B133" s="5" t="s">
        <v>40</v>
      </c>
      <c r="C133" s="5" t="s">
        <v>25</v>
      </c>
      <c r="D133" s="5" t="s">
        <v>13</v>
      </c>
      <c r="E133" s="5" t="s">
        <v>37</v>
      </c>
      <c r="F133" s="5">
        <v>16</v>
      </c>
      <c r="G133" s="5">
        <v>419</v>
      </c>
      <c r="H133" s="5">
        <v>2</v>
      </c>
      <c r="I133" s="6">
        <v>46082</v>
      </c>
      <c r="J133" s="6">
        <v>46090</v>
      </c>
      <c r="K133" s="10" t="s">
        <v>15</v>
      </c>
      <c r="L133" s="14" t="str">
        <f t="shared" si="2"/>
        <v>Deepak-Stationery</v>
      </c>
    </row>
    <row r="134" spans="1:12" ht="15" thickBot="1" x14ac:dyDescent="0.4">
      <c r="A134" s="5">
        <v>1017</v>
      </c>
      <c r="B134" s="5" t="s">
        <v>46</v>
      </c>
      <c r="C134" s="5" t="s">
        <v>38</v>
      </c>
      <c r="D134" s="5" t="s">
        <v>13</v>
      </c>
      <c r="E134" s="5" t="s">
        <v>36</v>
      </c>
      <c r="F134" s="5">
        <v>8</v>
      </c>
      <c r="G134" s="5">
        <v>179</v>
      </c>
      <c r="H134" s="5">
        <v>15</v>
      </c>
      <c r="I134" s="6">
        <v>46082</v>
      </c>
      <c r="J134" s="6">
        <v>46084</v>
      </c>
      <c r="K134" s="10" t="s">
        <v>15</v>
      </c>
      <c r="L134" s="14" t="str">
        <f t="shared" si="2"/>
        <v>Kiran-Stationery</v>
      </c>
    </row>
    <row r="135" spans="1:12" ht="15" thickBot="1" x14ac:dyDescent="0.4">
      <c r="A135" s="5">
        <v>1271</v>
      </c>
      <c r="B135" s="5" t="s">
        <v>40</v>
      </c>
      <c r="C135" s="5" t="s">
        <v>33</v>
      </c>
      <c r="D135" s="5" t="s">
        <v>34</v>
      </c>
      <c r="E135" s="5" t="s">
        <v>60</v>
      </c>
      <c r="F135" s="5">
        <v>20</v>
      </c>
      <c r="G135" s="5">
        <v>36941</v>
      </c>
      <c r="H135" s="5">
        <v>15</v>
      </c>
      <c r="I135" s="6">
        <v>46083</v>
      </c>
      <c r="J135" s="6">
        <v>46085</v>
      </c>
      <c r="K135" s="10" t="s">
        <v>29</v>
      </c>
      <c r="L135" s="14" t="str">
        <f t="shared" si="2"/>
        <v>Deepak-Electronics</v>
      </c>
    </row>
    <row r="136" spans="1:12" ht="15" thickBot="1" x14ac:dyDescent="0.4">
      <c r="A136" s="5">
        <v>1298</v>
      </c>
      <c r="B136" s="5" t="s">
        <v>21</v>
      </c>
      <c r="C136" s="5" t="s">
        <v>12</v>
      </c>
      <c r="D136" s="5" t="s">
        <v>34</v>
      </c>
      <c r="E136" s="5" t="s">
        <v>61</v>
      </c>
      <c r="F136" s="5">
        <v>19</v>
      </c>
      <c r="G136" s="5">
        <v>20745</v>
      </c>
      <c r="H136" s="5">
        <v>2</v>
      </c>
      <c r="I136" s="6">
        <v>46083</v>
      </c>
      <c r="J136" s="6">
        <v>46093</v>
      </c>
      <c r="K136" s="10" t="s">
        <v>24</v>
      </c>
      <c r="L136" s="14" t="str">
        <f t="shared" si="2"/>
        <v>Meera-Electronics</v>
      </c>
    </row>
    <row r="137" spans="1:12" ht="15" thickBot="1" x14ac:dyDescent="0.4">
      <c r="A137" s="5">
        <v>1078</v>
      </c>
      <c r="B137" s="5" t="s">
        <v>52</v>
      </c>
      <c r="C137" s="5" t="s">
        <v>17</v>
      </c>
      <c r="D137" s="5" t="s">
        <v>34</v>
      </c>
      <c r="E137" s="5" t="s">
        <v>39</v>
      </c>
      <c r="F137" s="5">
        <v>11</v>
      </c>
      <c r="G137" s="5">
        <v>24278</v>
      </c>
      <c r="H137" s="5">
        <v>12</v>
      </c>
      <c r="I137" s="6">
        <v>46084</v>
      </c>
      <c r="J137" s="6">
        <v>46090</v>
      </c>
      <c r="K137" s="10" t="s">
        <v>29</v>
      </c>
      <c r="L137" s="14" t="str">
        <f t="shared" si="2"/>
        <v>Komal-Electronics</v>
      </c>
    </row>
    <row r="138" spans="1:12" ht="15" thickBot="1" x14ac:dyDescent="0.4">
      <c r="A138" s="5">
        <v>1138</v>
      </c>
      <c r="B138" s="5" t="s">
        <v>55</v>
      </c>
      <c r="C138" s="5" t="s">
        <v>43</v>
      </c>
      <c r="D138" s="5" t="s">
        <v>18</v>
      </c>
      <c r="E138" s="5" t="s">
        <v>19</v>
      </c>
      <c r="F138" s="5">
        <v>5</v>
      </c>
      <c r="G138" s="5">
        <v>14466</v>
      </c>
      <c r="H138" s="5">
        <v>2</v>
      </c>
      <c r="I138" s="6">
        <v>46084</v>
      </c>
      <c r="J138" s="6">
        <v>46092</v>
      </c>
      <c r="K138" s="10" t="s">
        <v>51</v>
      </c>
      <c r="L138" s="14" t="str">
        <f t="shared" si="2"/>
        <v>Sneha-Furniture</v>
      </c>
    </row>
    <row r="139" spans="1:12" ht="15" thickBot="1" x14ac:dyDescent="0.4">
      <c r="A139" s="5">
        <v>1280</v>
      </c>
      <c r="B139" s="5" t="s">
        <v>59</v>
      </c>
      <c r="C139" s="5" t="s">
        <v>38</v>
      </c>
      <c r="D139" s="5" t="s">
        <v>13</v>
      </c>
      <c r="E139" s="5" t="s">
        <v>53</v>
      </c>
      <c r="F139" s="5">
        <v>9</v>
      </c>
      <c r="G139" s="5">
        <v>50</v>
      </c>
      <c r="H139" s="5">
        <v>7</v>
      </c>
      <c r="I139" s="6">
        <v>46085</v>
      </c>
      <c r="J139" s="6">
        <v>46095</v>
      </c>
      <c r="K139" s="10" t="s">
        <v>51</v>
      </c>
      <c r="L139" s="14" t="str">
        <f t="shared" si="2"/>
        <v>Anita-Stationery</v>
      </c>
    </row>
    <row r="140" spans="1:12" ht="15" thickBot="1" x14ac:dyDescent="0.4">
      <c r="A140" s="5">
        <v>1012</v>
      </c>
      <c r="B140" s="5" t="s">
        <v>26</v>
      </c>
      <c r="C140" s="5" t="s">
        <v>38</v>
      </c>
      <c r="D140" s="5" t="s">
        <v>34</v>
      </c>
      <c r="E140" s="5" t="s">
        <v>39</v>
      </c>
      <c r="F140" s="5">
        <v>3</v>
      </c>
      <c r="G140" s="5">
        <v>64615</v>
      </c>
      <c r="H140" s="5">
        <v>10</v>
      </c>
      <c r="I140" s="6">
        <v>46086</v>
      </c>
      <c r="J140" s="6">
        <v>46095</v>
      </c>
      <c r="K140" s="10" t="s">
        <v>29</v>
      </c>
      <c r="L140" s="14" t="str">
        <f t="shared" si="2"/>
        <v>Vikram-Electronics</v>
      </c>
    </row>
    <row r="141" spans="1:12" ht="15" thickBot="1" x14ac:dyDescent="0.4">
      <c r="A141" s="5">
        <v>1336</v>
      </c>
      <c r="B141" s="5" t="s">
        <v>16</v>
      </c>
      <c r="C141" s="5" t="s">
        <v>25</v>
      </c>
      <c r="D141" s="5" t="s">
        <v>18</v>
      </c>
      <c r="E141" s="5" t="s">
        <v>56</v>
      </c>
      <c r="F141" s="5">
        <v>10</v>
      </c>
      <c r="G141" s="5">
        <v>5624</v>
      </c>
      <c r="H141" s="5">
        <v>0</v>
      </c>
      <c r="I141" s="6">
        <v>46086</v>
      </c>
      <c r="J141" s="6">
        <v>46092</v>
      </c>
      <c r="K141" s="10" t="s">
        <v>29</v>
      </c>
      <c r="L141" s="14" t="str">
        <f t="shared" si="2"/>
        <v>Pooja-Furniture</v>
      </c>
    </row>
    <row r="142" spans="1:12" ht="15" thickBot="1" x14ac:dyDescent="0.4">
      <c r="A142" s="5">
        <v>1277</v>
      </c>
      <c r="B142" s="5" t="s">
        <v>59</v>
      </c>
      <c r="C142" s="5" t="s">
        <v>17</v>
      </c>
      <c r="D142" s="5" t="s">
        <v>13</v>
      </c>
      <c r="E142" s="5" t="s">
        <v>36</v>
      </c>
      <c r="F142" s="5">
        <v>14</v>
      </c>
      <c r="G142" s="5">
        <v>276</v>
      </c>
      <c r="H142" s="5">
        <v>0</v>
      </c>
      <c r="I142" s="6">
        <v>46086</v>
      </c>
      <c r="J142" s="6">
        <v>46089</v>
      </c>
      <c r="K142" s="10" t="s">
        <v>15</v>
      </c>
      <c r="L142" s="14" t="str">
        <f t="shared" si="2"/>
        <v>Anita-Stationery</v>
      </c>
    </row>
    <row r="143" spans="1:12" ht="15" thickBot="1" x14ac:dyDescent="0.4">
      <c r="A143" s="5">
        <v>1090</v>
      </c>
      <c r="B143" s="5" t="s">
        <v>49</v>
      </c>
      <c r="C143" s="5" t="s">
        <v>31</v>
      </c>
      <c r="D143" s="5" t="s">
        <v>34</v>
      </c>
      <c r="E143" s="5" t="s">
        <v>45</v>
      </c>
      <c r="F143" s="5">
        <v>19</v>
      </c>
      <c r="G143" s="5">
        <v>66139</v>
      </c>
      <c r="H143" s="5">
        <v>5</v>
      </c>
      <c r="I143" s="6">
        <v>46088</v>
      </c>
      <c r="J143" s="6">
        <v>46095</v>
      </c>
      <c r="K143" s="10" t="s">
        <v>24</v>
      </c>
      <c r="L143" s="14" t="str">
        <f t="shared" si="2"/>
        <v>Ajay-Electronics</v>
      </c>
    </row>
    <row r="144" spans="1:12" ht="15" thickBot="1" x14ac:dyDescent="0.4">
      <c r="A144" s="5">
        <v>1175</v>
      </c>
      <c r="B144" s="5" t="s">
        <v>26</v>
      </c>
      <c r="C144" s="5" t="s">
        <v>17</v>
      </c>
      <c r="D144" s="5" t="s">
        <v>34</v>
      </c>
      <c r="E144" s="5" t="s">
        <v>41</v>
      </c>
      <c r="F144" s="5">
        <v>10</v>
      </c>
      <c r="G144" s="5">
        <v>20339</v>
      </c>
      <c r="H144" s="5">
        <v>2</v>
      </c>
      <c r="I144" s="6">
        <v>46088</v>
      </c>
      <c r="J144" s="6">
        <v>46094</v>
      </c>
      <c r="K144" s="10" t="s">
        <v>20</v>
      </c>
      <c r="L144" s="14" t="str">
        <f t="shared" si="2"/>
        <v>Vikram-Electronics</v>
      </c>
    </row>
    <row r="145" spans="1:12" ht="15" thickBot="1" x14ac:dyDescent="0.4">
      <c r="A145" s="5">
        <v>1097</v>
      </c>
      <c r="B145" s="5" t="s">
        <v>52</v>
      </c>
      <c r="C145" s="5" t="s">
        <v>22</v>
      </c>
      <c r="D145" s="5" t="s">
        <v>34</v>
      </c>
      <c r="E145" s="5" t="s">
        <v>61</v>
      </c>
      <c r="F145" s="5">
        <v>10</v>
      </c>
      <c r="G145" s="5">
        <v>28980</v>
      </c>
      <c r="H145" s="5">
        <v>10</v>
      </c>
      <c r="I145" s="6">
        <v>46089</v>
      </c>
      <c r="J145" s="6">
        <v>46094</v>
      </c>
      <c r="K145" s="10" t="s">
        <v>24</v>
      </c>
      <c r="L145" s="14" t="str">
        <f t="shared" si="2"/>
        <v>Komal-Electronics</v>
      </c>
    </row>
    <row r="146" spans="1:12" ht="15" thickBot="1" x14ac:dyDescent="0.4">
      <c r="A146" s="5">
        <v>1381</v>
      </c>
      <c r="B146" s="5" t="s">
        <v>55</v>
      </c>
      <c r="C146" s="5" t="s">
        <v>33</v>
      </c>
      <c r="D146" s="5" t="s">
        <v>18</v>
      </c>
      <c r="E146" s="5" t="s">
        <v>28</v>
      </c>
      <c r="F146" s="5">
        <v>5</v>
      </c>
      <c r="G146" s="5">
        <v>7484</v>
      </c>
      <c r="H146" s="5">
        <v>2</v>
      </c>
      <c r="I146" s="6">
        <v>46089</v>
      </c>
      <c r="J146" s="6">
        <v>46093</v>
      </c>
      <c r="K146" s="10" t="s">
        <v>20</v>
      </c>
      <c r="L146" s="14" t="str">
        <f t="shared" si="2"/>
        <v>Sneha-Furniture</v>
      </c>
    </row>
    <row r="147" spans="1:12" ht="15" thickBot="1" x14ac:dyDescent="0.4">
      <c r="A147" s="5">
        <v>1018</v>
      </c>
      <c r="B147" s="5" t="s">
        <v>47</v>
      </c>
      <c r="C147" s="5" t="s">
        <v>25</v>
      </c>
      <c r="D147" s="5" t="s">
        <v>13</v>
      </c>
      <c r="E147" s="5" t="s">
        <v>14</v>
      </c>
      <c r="F147" s="5">
        <v>20</v>
      </c>
      <c r="G147" s="5">
        <v>301</v>
      </c>
      <c r="H147" s="5">
        <v>0</v>
      </c>
      <c r="I147" s="6">
        <v>46089</v>
      </c>
      <c r="J147" s="6">
        <v>46094</v>
      </c>
      <c r="K147" s="10" t="s">
        <v>29</v>
      </c>
      <c r="L147" s="14" t="str">
        <f t="shared" si="2"/>
        <v>Yash-Stationery</v>
      </c>
    </row>
    <row r="148" spans="1:12" ht="15" thickBot="1" x14ac:dyDescent="0.4">
      <c r="A148" s="5">
        <v>1031</v>
      </c>
      <c r="B148" s="5" t="s">
        <v>54</v>
      </c>
      <c r="C148" s="5" t="s">
        <v>31</v>
      </c>
      <c r="D148" s="5" t="s">
        <v>13</v>
      </c>
      <c r="E148" s="5" t="s">
        <v>53</v>
      </c>
      <c r="F148" s="5">
        <v>2</v>
      </c>
      <c r="G148" s="5">
        <v>184</v>
      </c>
      <c r="H148" s="5">
        <v>5</v>
      </c>
      <c r="I148" s="6">
        <v>46089</v>
      </c>
      <c r="J148" s="6">
        <v>46093</v>
      </c>
      <c r="K148" s="10" t="s">
        <v>20</v>
      </c>
      <c r="L148" s="14" t="str">
        <f t="shared" si="2"/>
        <v>Manoj-Stationery</v>
      </c>
    </row>
    <row r="149" spans="1:12" ht="15" thickBot="1" x14ac:dyDescent="0.4">
      <c r="A149" s="5">
        <v>1399</v>
      </c>
      <c r="B149" s="5" t="s">
        <v>48</v>
      </c>
      <c r="C149" s="5" t="s">
        <v>31</v>
      </c>
      <c r="D149" s="5" t="s">
        <v>13</v>
      </c>
      <c r="E149" s="5" t="s">
        <v>14</v>
      </c>
      <c r="F149" s="5">
        <v>15</v>
      </c>
      <c r="G149" s="5">
        <v>87</v>
      </c>
      <c r="H149" s="5">
        <v>15</v>
      </c>
      <c r="I149" s="6">
        <v>46089</v>
      </c>
      <c r="J149" s="6">
        <v>46093</v>
      </c>
      <c r="K149" s="10" t="s">
        <v>20</v>
      </c>
      <c r="L149" s="14" t="str">
        <f t="shared" si="2"/>
        <v>Nitin-Stationery</v>
      </c>
    </row>
    <row r="150" spans="1:12" ht="15" thickBot="1" x14ac:dyDescent="0.4">
      <c r="A150" s="5">
        <v>1192</v>
      </c>
      <c r="B150" s="5" t="s">
        <v>21</v>
      </c>
      <c r="C150" s="5" t="s">
        <v>33</v>
      </c>
      <c r="D150" s="5" t="s">
        <v>13</v>
      </c>
      <c r="E150" s="5" t="s">
        <v>53</v>
      </c>
      <c r="F150" s="5">
        <v>18</v>
      </c>
      <c r="G150" s="5">
        <v>49</v>
      </c>
      <c r="H150" s="5">
        <v>12</v>
      </c>
      <c r="I150" s="6">
        <v>46089</v>
      </c>
      <c r="J150" s="6">
        <v>46095</v>
      </c>
      <c r="K150" s="10" t="s">
        <v>24</v>
      </c>
      <c r="L150" s="14" t="str">
        <f t="shared" si="2"/>
        <v>Meera-Stationery</v>
      </c>
    </row>
    <row r="151" spans="1:12" ht="15" thickBot="1" x14ac:dyDescent="0.4">
      <c r="A151" s="5">
        <v>1400</v>
      </c>
      <c r="B151" s="5" t="s">
        <v>40</v>
      </c>
      <c r="C151" s="5" t="s">
        <v>22</v>
      </c>
      <c r="D151" s="5" t="s">
        <v>34</v>
      </c>
      <c r="E151" s="5" t="s">
        <v>35</v>
      </c>
      <c r="F151" s="5">
        <v>13</v>
      </c>
      <c r="G151" s="5">
        <v>52411</v>
      </c>
      <c r="H151" s="5">
        <v>15</v>
      </c>
      <c r="I151" s="6">
        <v>46090</v>
      </c>
      <c r="J151" s="6">
        <v>46092</v>
      </c>
      <c r="K151" s="10" t="s">
        <v>20</v>
      </c>
      <c r="L151" s="14" t="str">
        <f t="shared" si="2"/>
        <v>Deepak-Electronics</v>
      </c>
    </row>
    <row r="152" spans="1:12" ht="15" thickBot="1" x14ac:dyDescent="0.4">
      <c r="A152" s="5">
        <v>1112</v>
      </c>
      <c r="B152" s="5" t="s">
        <v>21</v>
      </c>
      <c r="C152" s="5" t="s">
        <v>43</v>
      </c>
      <c r="D152" s="5" t="s">
        <v>18</v>
      </c>
      <c r="E152" s="5" t="s">
        <v>44</v>
      </c>
      <c r="F152" s="5">
        <v>7</v>
      </c>
      <c r="G152" s="5">
        <v>1959</v>
      </c>
      <c r="H152" s="5">
        <v>15</v>
      </c>
      <c r="I152" s="6">
        <v>46090</v>
      </c>
      <c r="J152" s="6">
        <v>46100</v>
      </c>
      <c r="K152" s="10" t="s">
        <v>15</v>
      </c>
      <c r="L152" s="14" t="str">
        <f t="shared" si="2"/>
        <v>Meera-Furniture</v>
      </c>
    </row>
    <row r="153" spans="1:12" ht="15" thickBot="1" x14ac:dyDescent="0.4">
      <c r="A153" s="5">
        <v>1043</v>
      </c>
      <c r="B153" s="5" t="s">
        <v>49</v>
      </c>
      <c r="C153" s="5" t="s">
        <v>38</v>
      </c>
      <c r="D153" s="5" t="s">
        <v>34</v>
      </c>
      <c r="E153" s="5" t="s">
        <v>35</v>
      </c>
      <c r="F153" s="5">
        <v>20</v>
      </c>
      <c r="G153" s="5">
        <v>46093</v>
      </c>
      <c r="H153" s="5">
        <v>5</v>
      </c>
      <c r="I153" s="6">
        <v>46091</v>
      </c>
      <c r="J153" s="6">
        <v>46098</v>
      </c>
      <c r="K153" s="10" t="s">
        <v>29</v>
      </c>
      <c r="L153" s="14" t="str">
        <f t="shared" si="2"/>
        <v>Ajay-Electronics</v>
      </c>
    </row>
    <row r="154" spans="1:12" ht="15" thickBot="1" x14ac:dyDescent="0.4">
      <c r="A154" s="5">
        <v>1255</v>
      </c>
      <c r="B154" s="5" t="s">
        <v>32</v>
      </c>
      <c r="C154" s="5" t="s">
        <v>17</v>
      </c>
      <c r="D154" s="5" t="s">
        <v>18</v>
      </c>
      <c r="E154" s="5" t="s">
        <v>19</v>
      </c>
      <c r="F154" s="5">
        <v>1</v>
      </c>
      <c r="G154" s="5">
        <v>2240</v>
      </c>
      <c r="H154" s="5">
        <v>5</v>
      </c>
      <c r="I154" s="6">
        <v>46091</v>
      </c>
      <c r="J154" s="6">
        <v>46095</v>
      </c>
      <c r="K154" s="10" t="s">
        <v>20</v>
      </c>
      <c r="L154" s="14" t="str">
        <f t="shared" si="2"/>
        <v>Asha-Furniture</v>
      </c>
    </row>
    <row r="155" spans="1:12" ht="15" thickBot="1" x14ac:dyDescent="0.4">
      <c r="A155" s="5">
        <v>1106</v>
      </c>
      <c r="B155" s="5" t="s">
        <v>27</v>
      </c>
      <c r="C155" s="5" t="s">
        <v>43</v>
      </c>
      <c r="D155" s="5" t="s">
        <v>18</v>
      </c>
      <c r="E155" s="5" t="s">
        <v>23</v>
      </c>
      <c r="F155" s="5">
        <v>20</v>
      </c>
      <c r="G155" s="5">
        <v>2141</v>
      </c>
      <c r="H155" s="5">
        <v>2</v>
      </c>
      <c r="I155" s="6">
        <v>46091</v>
      </c>
      <c r="J155" s="6">
        <v>46097</v>
      </c>
      <c r="K155" s="10" t="s">
        <v>29</v>
      </c>
      <c r="L155" s="14" t="str">
        <f t="shared" si="2"/>
        <v>Arjun-Furniture</v>
      </c>
    </row>
    <row r="156" spans="1:12" ht="15" thickBot="1" x14ac:dyDescent="0.4">
      <c r="A156" s="5">
        <v>1275</v>
      </c>
      <c r="B156" s="5" t="s">
        <v>16</v>
      </c>
      <c r="C156" s="5" t="s">
        <v>31</v>
      </c>
      <c r="D156" s="5" t="s">
        <v>13</v>
      </c>
      <c r="E156" s="5" t="s">
        <v>50</v>
      </c>
      <c r="F156" s="5">
        <v>20</v>
      </c>
      <c r="G156" s="5">
        <v>451</v>
      </c>
      <c r="H156" s="5">
        <v>15</v>
      </c>
      <c r="I156" s="6">
        <v>46092</v>
      </c>
      <c r="J156" s="6">
        <v>46094</v>
      </c>
      <c r="K156" s="10" t="s">
        <v>20</v>
      </c>
      <c r="L156" s="14" t="str">
        <f t="shared" si="2"/>
        <v>Pooja-Stationery</v>
      </c>
    </row>
    <row r="157" spans="1:12" ht="15" thickBot="1" x14ac:dyDescent="0.4">
      <c r="A157" s="5">
        <v>1166</v>
      </c>
      <c r="B157" s="5" t="s">
        <v>32</v>
      </c>
      <c r="C157" s="5" t="s">
        <v>31</v>
      </c>
      <c r="D157" s="5" t="s">
        <v>13</v>
      </c>
      <c r="E157" s="5" t="s">
        <v>37</v>
      </c>
      <c r="F157" s="5">
        <v>1</v>
      </c>
      <c r="G157" s="5">
        <v>396</v>
      </c>
      <c r="H157" s="5">
        <v>5</v>
      </c>
      <c r="I157" s="6">
        <v>46092</v>
      </c>
      <c r="J157" s="6">
        <v>46093</v>
      </c>
      <c r="K157" s="10" t="s">
        <v>20</v>
      </c>
      <c r="L157" s="14" t="str">
        <f t="shared" si="2"/>
        <v>Asha-Stationery</v>
      </c>
    </row>
    <row r="158" spans="1:12" ht="15" thickBot="1" x14ac:dyDescent="0.4">
      <c r="A158" s="5">
        <v>1139</v>
      </c>
      <c r="B158" s="5" t="s">
        <v>55</v>
      </c>
      <c r="C158" s="5" t="s">
        <v>33</v>
      </c>
      <c r="D158" s="5" t="s">
        <v>34</v>
      </c>
      <c r="E158" s="5" t="s">
        <v>61</v>
      </c>
      <c r="F158" s="5">
        <v>17</v>
      </c>
      <c r="G158" s="5">
        <v>28839</v>
      </c>
      <c r="H158" s="5">
        <v>10</v>
      </c>
      <c r="I158" s="6">
        <v>46093</v>
      </c>
      <c r="J158" s="6">
        <v>46099</v>
      </c>
      <c r="K158" s="10" t="s">
        <v>15</v>
      </c>
      <c r="L158" s="14" t="str">
        <f t="shared" si="2"/>
        <v>Sneha-Electronics</v>
      </c>
    </row>
    <row r="159" spans="1:12" ht="15" thickBot="1" x14ac:dyDescent="0.4">
      <c r="A159" s="5">
        <v>1155</v>
      </c>
      <c r="B159" s="5" t="s">
        <v>11</v>
      </c>
      <c r="C159" s="5" t="s">
        <v>31</v>
      </c>
      <c r="D159" s="5" t="s">
        <v>18</v>
      </c>
      <c r="E159" s="5" t="s">
        <v>28</v>
      </c>
      <c r="F159" s="5">
        <v>13</v>
      </c>
      <c r="G159" s="5">
        <v>4341</v>
      </c>
      <c r="H159" s="5">
        <v>15</v>
      </c>
      <c r="I159" s="6">
        <v>46093</v>
      </c>
      <c r="J159" s="6">
        <v>46096</v>
      </c>
      <c r="K159" s="10" t="s">
        <v>24</v>
      </c>
      <c r="L159" s="14" t="str">
        <f t="shared" si="2"/>
        <v>Ritesh-Furniture</v>
      </c>
    </row>
    <row r="160" spans="1:12" ht="15" thickBot="1" x14ac:dyDescent="0.4">
      <c r="A160" s="5">
        <v>1319</v>
      </c>
      <c r="B160" s="5" t="s">
        <v>21</v>
      </c>
      <c r="C160" s="5" t="s">
        <v>17</v>
      </c>
      <c r="D160" s="5" t="s">
        <v>34</v>
      </c>
      <c r="E160" s="5" t="s">
        <v>61</v>
      </c>
      <c r="F160" s="5">
        <v>17</v>
      </c>
      <c r="G160" s="5">
        <v>58407</v>
      </c>
      <c r="H160" s="5">
        <v>7</v>
      </c>
      <c r="I160" s="6">
        <v>46094</v>
      </c>
      <c r="J160" s="6">
        <v>46102</v>
      </c>
      <c r="K160" s="10" t="s">
        <v>15</v>
      </c>
      <c r="L160" s="14" t="str">
        <f t="shared" si="2"/>
        <v>Meera-Electronics</v>
      </c>
    </row>
    <row r="161" spans="1:12" ht="15" thickBot="1" x14ac:dyDescent="0.4">
      <c r="A161" s="5">
        <v>1388</v>
      </c>
      <c r="B161" s="5" t="s">
        <v>55</v>
      </c>
      <c r="C161" s="5" t="s">
        <v>31</v>
      </c>
      <c r="D161" s="5" t="s">
        <v>18</v>
      </c>
      <c r="E161" s="5" t="s">
        <v>28</v>
      </c>
      <c r="F161" s="5">
        <v>12</v>
      </c>
      <c r="G161" s="5">
        <v>11662</v>
      </c>
      <c r="H161" s="5">
        <v>12</v>
      </c>
      <c r="I161" s="6">
        <v>46094</v>
      </c>
      <c r="J161" s="6">
        <v>46096</v>
      </c>
      <c r="K161" s="10" t="s">
        <v>20</v>
      </c>
      <c r="L161" s="14" t="str">
        <f t="shared" si="2"/>
        <v>Sneha-Furniture</v>
      </c>
    </row>
    <row r="162" spans="1:12" ht="15" thickBot="1" x14ac:dyDescent="0.4">
      <c r="A162" s="5">
        <v>1362</v>
      </c>
      <c r="B162" s="5" t="s">
        <v>16</v>
      </c>
      <c r="C162" s="5" t="s">
        <v>12</v>
      </c>
      <c r="D162" s="5" t="s">
        <v>18</v>
      </c>
      <c r="E162" s="5" t="s">
        <v>28</v>
      </c>
      <c r="F162" s="5">
        <v>1</v>
      </c>
      <c r="G162" s="5">
        <v>10474</v>
      </c>
      <c r="H162" s="5">
        <v>0</v>
      </c>
      <c r="I162" s="6">
        <v>46094</v>
      </c>
      <c r="J162" s="6">
        <v>46096</v>
      </c>
      <c r="K162" s="10" t="s">
        <v>29</v>
      </c>
      <c r="L162" s="14" t="str">
        <f t="shared" si="2"/>
        <v>Pooja-Furniture</v>
      </c>
    </row>
    <row r="163" spans="1:12" ht="15" thickBot="1" x14ac:dyDescent="0.4">
      <c r="A163" s="5">
        <v>1345</v>
      </c>
      <c r="B163" s="5" t="s">
        <v>32</v>
      </c>
      <c r="C163" s="5" t="s">
        <v>12</v>
      </c>
      <c r="D163" s="5" t="s">
        <v>34</v>
      </c>
      <c r="E163" s="5" t="s">
        <v>45</v>
      </c>
      <c r="F163" s="5">
        <v>12</v>
      </c>
      <c r="G163" s="5">
        <v>50544</v>
      </c>
      <c r="H163" s="5">
        <v>10</v>
      </c>
      <c r="I163" s="6">
        <v>46095</v>
      </c>
      <c r="J163" s="6">
        <v>46097</v>
      </c>
      <c r="K163" s="10" t="s">
        <v>29</v>
      </c>
      <c r="L163" s="14" t="str">
        <f t="shared" si="2"/>
        <v>Asha-Electronics</v>
      </c>
    </row>
    <row r="164" spans="1:12" ht="15" thickBot="1" x14ac:dyDescent="0.4">
      <c r="A164" s="5">
        <v>1013</v>
      </c>
      <c r="B164" s="5" t="s">
        <v>16</v>
      </c>
      <c r="C164" s="5" t="s">
        <v>31</v>
      </c>
      <c r="D164" s="5" t="s">
        <v>13</v>
      </c>
      <c r="E164" s="5" t="s">
        <v>36</v>
      </c>
      <c r="F164" s="5">
        <v>17</v>
      </c>
      <c r="G164" s="5">
        <v>459</v>
      </c>
      <c r="H164" s="5">
        <v>12</v>
      </c>
      <c r="I164" s="6">
        <v>46095</v>
      </c>
      <c r="J164" s="6">
        <v>46105</v>
      </c>
      <c r="K164" s="10" t="s">
        <v>29</v>
      </c>
      <c r="L164" s="14" t="str">
        <f t="shared" si="2"/>
        <v>Pooja-Stationery</v>
      </c>
    </row>
    <row r="165" spans="1:12" ht="15" thickBot="1" x14ac:dyDescent="0.4">
      <c r="A165" s="5">
        <v>1359</v>
      </c>
      <c r="B165" s="5" t="s">
        <v>54</v>
      </c>
      <c r="C165" s="5" t="s">
        <v>12</v>
      </c>
      <c r="D165" s="5" t="s">
        <v>34</v>
      </c>
      <c r="E165" s="5" t="s">
        <v>61</v>
      </c>
      <c r="F165" s="5">
        <v>9</v>
      </c>
      <c r="G165" s="5">
        <v>38179</v>
      </c>
      <c r="H165" s="5">
        <v>0</v>
      </c>
      <c r="I165" s="6">
        <v>46096</v>
      </c>
      <c r="J165" s="6">
        <v>46099</v>
      </c>
      <c r="K165" s="10" t="s">
        <v>15</v>
      </c>
      <c r="L165" s="14" t="str">
        <f t="shared" si="2"/>
        <v>Manoj-Electronics</v>
      </c>
    </row>
    <row r="166" spans="1:12" ht="15" thickBot="1" x14ac:dyDescent="0.4">
      <c r="A166" s="5">
        <v>1266</v>
      </c>
      <c r="B166" s="5" t="s">
        <v>29</v>
      </c>
      <c r="C166" s="5" t="s">
        <v>33</v>
      </c>
      <c r="D166" s="5" t="s">
        <v>13</v>
      </c>
      <c r="E166" s="5" t="s">
        <v>14</v>
      </c>
      <c r="F166" s="5">
        <v>17</v>
      </c>
      <c r="G166" s="5">
        <v>365</v>
      </c>
      <c r="H166" s="5">
        <v>2</v>
      </c>
      <c r="I166" s="6">
        <v>46096</v>
      </c>
      <c r="J166" s="6">
        <v>46104</v>
      </c>
      <c r="K166" s="10" t="s">
        <v>51</v>
      </c>
      <c r="L166" s="14" t="str">
        <f t="shared" si="2"/>
        <v>Priya-Stationery</v>
      </c>
    </row>
    <row r="167" spans="1:12" ht="15" thickBot="1" x14ac:dyDescent="0.4">
      <c r="A167" s="5">
        <v>1238</v>
      </c>
      <c r="B167" s="5" t="s">
        <v>30</v>
      </c>
      <c r="C167" s="5" t="s">
        <v>31</v>
      </c>
      <c r="D167" s="5" t="s">
        <v>13</v>
      </c>
      <c r="E167" s="5" t="s">
        <v>14</v>
      </c>
      <c r="F167" s="5">
        <v>6</v>
      </c>
      <c r="G167" s="5">
        <v>180</v>
      </c>
      <c r="H167" s="5">
        <v>12</v>
      </c>
      <c r="I167" s="6">
        <v>46096</v>
      </c>
      <c r="J167" s="6">
        <v>46097</v>
      </c>
      <c r="K167" s="10" t="s">
        <v>51</v>
      </c>
      <c r="L167" s="14" t="str">
        <f t="shared" si="2"/>
        <v>Neha-Stationery</v>
      </c>
    </row>
    <row r="168" spans="1:12" ht="15" thickBot="1" x14ac:dyDescent="0.4">
      <c r="A168" s="5">
        <v>1276</v>
      </c>
      <c r="B168" s="5" t="s">
        <v>40</v>
      </c>
      <c r="C168" s="5" t="s">
        <v>12</v>
      </c>
      <c r="D168" s="5" t="s">
        <v>18</v>
      </c>
      <c r="E168" s="5" t="s">
        <v>19</v>
      </c>
      <c r="F168" s="5">
        <v>1</v>
      </c>
      <c r="G168" s="5">
        <v>13437</v>
      </c>
      <c r="H168" s="5">
        <v>15</v>
      </c>
      <c r="I168" s="6">
        <v>46097</v>
      </c>
      <c r="J168" s="6">
        <v>46099</v>
      </c>
      <c r="K168" s="10" t="s">
        <v>24</v>
      </c>
      <c r="L168" s="14" t="str">
        <f t="shared" si="2"/>
        <v>Deepak-Furniture</v>
      </c>
    </row>
    <row r="169" spans="1:12" ht="15" thickBot="1" x14ac:dyDescent="0.4">
      <c r="A169" s="5">
        <v>1030</v>
      </c>
      <c r="B169" s="5" t="s">
        <v>52</v>
      </c>
      <c r="C169" s="5" t="s">
        <v>12</v>
      </c>
      <c r="D169" s="5" t="s">
        <v>13</v>
      </c>
      <c r="E169" s="5" t="s">
        <v>53</v>
      </c>
      <c r="F169" s="5">
        <v>13</v>
      </c>
      <c r="G169" s="5">
        <v>336</v>
      </c>
      <c r="H169" s="5">
        <v>10</v>
      </c>
      <c r="I169" s="6">
        <v>46098</v>
      </c>
      <c r="J169" s="6">
        <v>46108</v>
      </c>
      <c r="K169" s="10" t="s">
        <v>15</v>
      </c>
      <c r="L169" s="14" t="str">
        <f t="shared" si="2"/>
        <v>Komal-Stationery</v>
      </c>
    </row>
    <row r="170" spans="1:12" ht="15" thickBot="1" x14ac:dyDescent="0.4">
      <c r="A170" s="5">
        <v>1391</v>
      </c>
      <c r="B170" s="5" t="s">
        <v>30</v>
      </c>
      <c r="C170" s="5" t="s">
        <v>31</v>
      </c>
      <c r="D170" s="5" t="s">
        <v>34</v>
      </c>
      <c r="E170" s="5" t="s">
        <v>35</v>
      </c>
      <c r="F170" s="5">
        <v>5</v>
      </c>
      <c r="G170" s="5">
        <v>65270</v>
      </c>
      <c r="H170" s="5">
        <v>5</v>
      </c>
      <c r="I170" s="6">
        <v>46100</v>
      </c>
      <c r="J170" s="6">
        <v>46103</v>
      </c>
      <c r="K170" s="10" t="s">
        <v>24</v>
      </c>
      <c r="L170" s="14" t="str">
        <f t="shared" si="2"/>
        <v>Neha-Electronics</v>
      </c>
    </row>
    <row r="171" spans="1:12" ht="15" thickBot="1" x14ac:dyDescent="0.4">
      <c r="A171" s="5">
        <v>1162</v>
      </c>
      <c r="B171" s="5" t="s">
        <v>57</v>
      </c>
      <c r="C171" s="5" t="s">
        <v>31</v>
      </c>
      <c r="D171" s="5" t="s">
        <v>34</v>
      </c>
      <c r="E171" s="5" t="s">
        <v>45</v>
      </c>
      <c r="F171" s="5">
        <v>2</v>
      </c>
      <c r="G171" s="5">
        <v>28176</v>
      </c>
      <c r="H171" s="5">
        <v>10</v>
      </c>
      <c r="I171" s="6">
        <v>46100</v>
      </c>
      <c r="J171" s="6">
        <v>46101</v>
      </c>
      <c r="K171" s="10" t="s">
        <v>20</v>
      </c>
      <c r="L171" s="14" t="str">
        <f t="shared" si="2"/>
        <v>Sara-Electronics</v>
      </c>
    </row>
    <row r="172" spans="1:12" ht="15" thickBot="1" x14ac:dyDescent="0.4">
      <c r="A172" s="5">
        <v>1283</v>
      </c>
      <c r="B172" s="5" t="s">
        <v>40</v>
      </c>
      <c r="C172" s="5" t="s">
        <v>12</v>
      </c>
      <c r="D172" s="5" t="s">
        <v>18</v>
      </c>
      <c r="E172" s="5" t="s">
        <v>23</v>
      </c>
      <c r="F172" s="5">
        <v>6</v>
      </c>
      <c r="G172" s="5">
        <v>1167</v>
      </c>
      <c r="H172" s="5">
        <v>2</v>
      </c>
      <c r="I172" s="6">
        <v>46100</v>
      </c>
      <c r="J172" s="6">
        <v>46106</v>
      </c>
      <c r="K172" s="10" t="s">
        <v>15</v>
      </c>
      <c r="L172" s="14" t="str">
        <f t="shared" si="2"/>
        <v>Deepak-Furniture</v>
      </c>
    </row>
    <row r="173" spans="1:12" ht="15" thickBot="1" x14ac:dyDescent="0.4">
      <c r="A173" s="5">
        <v>1094</v>
      </c>
      <c r="B173" s="5" t="s">
        <v>47</v>
      </c>
      <c r="C173" s="5" t="s">
        <v>43</v>
      </c>
      <c r="D173" s="5" t="s">
        <v>34</v>
      </c>
      <c r="E173" s="5" t="s">
        <v>61</v>
      </c>
      <c r="F173" s="5">
        <v>4</v>
      </c>
      <c r="G173" s="5">
        <v>7073</v>
      </c>
      <c r="H173" s="5">
        <v>0</v>
      </c>
      <c r="I173" s="6">
        <v>46101</v>
      </c>
      <c r="J173" s="6">
        <v>46105</v>
      </c>
      <c r="K173" s="10" t="s">
        <v>29</v>
      </c>
      <c r="L173" s="14" t="str">
        <f t="shared" si="2"/>
        <v>Yash-Electronics</v>
      </c>
    </row>
    <row r="174" spans="1:12" ht="15" thickBot="1" x14ac:dyDescent="0.4">
      <c r="A174" s="5">
        <v>1387</v>
      </c>
      <c r="B174" s="5" t="s">
        <v>54</v>
      </c>
      <c r="C174" s="5" t="s">
        <v>33</v>
      </c>
      <c r="D174" s="5" t="s">
        <v>34</v>
      </c>
      <c r="E174" s="5" t="s">
        <v>35</v>
      </c>
      <c r="F174" s="5">
        <v>11</v>
      </c>
      <c r="G174" s="5">
        <v>56515</v>
      </c>
      <c r="H174" s="5">
        <v>5</v>
      </c>
      <c r="I174" s="6">
        <v>46102</v>
      </c>
      <c r="J174" s="6">
        <v>46112</v>
      </c>
      <c r="K174" s="10" t="s">
        <v>24</v>
      </c>
      <c r="L174" s="14" t="str">
        <f t="shared" si="2"/>
        <v>Manoj-Electronics</v>
      </c>
    </row>
    <row r="175" spans="1:12" ht="15" thickBot="1" x14ac:dyDescent="0.4">
      <c r="A175" s="5">
        <v>1049</v>
      </c>
      <c r="B175" s="5" t="s">
        <v>52</v>
      </c>
      <c r="C175" s="5" t="s">
        <v>25</v>
      </c>
      <c r="D175" s="5" t="s">
        <v>34</v>
      </c>
      <c r="E175" s="5" t="s">
        <v>45</v>
      </c>
      <c r="F175" s="5">
        <v>2</v>
      </c>
      <c r="G175" s="5">
        <v>40789</v>
      </c>
      <c r="H175" s="5">
        <v>0</v>
      </c>
      <c r="I175" s="6">
        <v>46102</v>
      </c>
      <c r="J175" s="6">
        <v>46108</v>
      </c>
      <c r="K175" s="10" t="s">
        <v>24</v>
      </c>
      <c r="L175" s="14" t="str">
        <f t="shared" si="2"/>
        <v>Komal-Electronics</v>
      </c>
    </row>
    <row r="176" spans="1:12" ht="15" thickBot="1" x14ac:dyDescent="0.4">
      <c r="A176" s="5">
        <v>1145</v>
      </c>
      <c r="B176" s="5" t="s">
        <v>42</v>
      </c>
      <c r="C176" s="5" t="s">
        <v>33</v>
      </c>
      <c r="D176" s="5" t="s">
        <v>34</v>
      </c>
      <c r="E176" s="5" t="s">
        <v>39</v>
      </c>
      <c r="F176" s="5">
        <v>2</v>
      </c>
      <c r="G176" s="5">
        <v>34429</v>
      </c>
      <c r="H176" s="5">
        <v>12</v>
      </c>
      <c r="I176" s="6">
        <v>46102</v>
      </c>
      <c r="J176" s="6">
        <v>46112</v>
      </c>
      <c r="K176" s="10" t="s">
        <v>24</v>
      </c>
      <c r="L176" s="14" t="str">
        <f t="shared" si="2"/>
        <v>Nisha-Electronics</v>
      </c>
    </row>
    <row r="177" spans="1:12" ht="15" thickBot="1" x14ac:dyDescent="0.4">
      <c r="A177" s="5">
        <v>1121</v>
      </c>
      <c r="B177" s="5" t="s">
        <v>29</v>
      </c>
      <c r="C177" s="5" t="s">
        <v>12</v>
      </c>
      <c r="D177" s="5" t="s">
        <v>34</v>
      </c>
      <c r="E177" s="5" t="s">
        <v>39</v>
      </c>
      <c r="F177" s="5">
        <v>4</v>
      </c>
      <c r="G177" s="5">
        <v>55809</v>
      </c>
      <c r="H177" s="5">
        <v>2</v>
      </c>
      <c r="I177" s="6">
        <v>46103</v>
      </c>
      <c r="J177" s="6">
        <v>46108</v>
      </c>
      <c r="K177" s="10" t="s">
        <v>29</v>
      </c>
      <c r="L177" s="14" t="str">
        <f t="shared" si="2"/>
        <v>Priya-Electronics</v>
      </c>
    </row>
    <row r="178" spans="1:12" ht="15" thickBot="1" x14ac:dyDescent="0.4">
      <c r="A178" s="5">
        <v>1209</v>
      </c>
      <c r="B178" s="5" t="s">
        <v>48</v>
      </c>
      <c r="C178" s="5" t="s">
        <v>38</v>
      </c>
      <c r="D178" s="5" t="s">
        <v>34</v>
      </c>
      <c r="E178" s="5" t="s">
        <v>35</v>
      </c>
      <c r="F178" s="5">
        <v>19</v>
      </c>
      <c r="G178" s="5">
        <v>20284</v>
      </c>
      <c r="H178" s="5">
        <v>10</v>
      </c>
      <c r="I178" s="6">
        <v>46103</v>
      </c>
      <c r="J178" s="6">
        <v>46110</v>
      </c>
      <c r="K178" s="10" t="s">
        <v>20</v>
      </c>
      <c r="L178" s="14" t="str">
        <f t="shared" si="2"/>
        <v>Nitin-Electronics</v>
      </c>
    </row>
    <row r="179" spans="1:12" ht="15" thickBot="1" x14ac:dyDescent="0.4">
      <c r="A179" s="5">
        <v>1161</v>
      </c>
      <c r="B179" s="5" t="s">
        <v>27</v>
      </c>
      <c r="C179" s="5" t="s">
        <v>25</v>
      </c>
      <c r="D179" s="5" t="s">
        <v>34</v>
      </c>
      <c r="E179" s="5" t="s">
        <v>39</v>
      </c>
      <c r="F179" s="5">
        <v>4</v>
      </c>
      <c r="G179" s="5">
        <v>54659</v>
      </c>
      <c r="H179" s="5">
        <v>7</v>
      </c>
      <c r="I179" s="6">
        <v>46105</v>
      </c>
      <c r="J179" s="6">
        <v>46109</v>
      </c>
      <c r="K179" s="10" t="s">
        <v>20</v>
      </c>
      <c r="L179" s="14" t="str">
        <f t="shared" si="2"/>
        <v>Arjun-Electronics</v>
      </c>
    </row>
    <row r="180" spans="1:12" ht="15" thickBot="1" x14ac:dyDescent="0.4">
      <c r="A180" s="5">
        <v>1377</v>
      </c>
      <c r="B180" s="5" t="s">
        <v>32</v>
      </c>
      <c r="C180" s="5" t="s">
        <v>38</v>
      </c>
      <c r="D180" s="5" t="s">
        <v>18</v>
      </c>
      <c r="E180" s="5" t="s">
        <v>19</v>
      </c>
      <c r="F180" s="5">
        <v>3</v>
      </c>
      <c r="G180" s="5">
        <v>5480</v>
      </c>
      <c r="H180" s="5">
        <v>12</v>
      </c>
      <c r="I180" s="6">
        <v>46105</v>
      </c>
      <c r="J180" s="6">
        <v>46111</v>
      </c>
      <c r="K180" s="10" t="s">
        <v>24</v>
      </c>
      <c r="L180" s="14" t="str">
        <f t="shared" si="2"/>
        <v>Asha-Furniture</v>
      </c>
    </row>
    <row r="181" spans="1:12" ht="15" thickBot="1" x14ac:dyDescent="0.4">
      <c r="A181" s="5">
        <v>1170</v>
      </c>
      <c r="B181" s="5" t="s">
        <v>49</v>
      </c>
      <c r="C181" s="5" t="s">
        <v>38</v>
      </c>
      <c r="D181" s="5" t="s">
        <v>13</v>
      </c>
      <c r="E181" s="5" t="s">
        <v>14</v>
      </c>
      <c r="F181" s="5">
        <v>6</v>
      </c>
      <c r="G181" s="5">
        <v>339</v>
      </c>
      <c r="H181" s="5">
        <v>12</v>
      </c>
      <c r="I181" s="6">
        <v>46105</v>
      </c>
      <c r="J181" s="6">
        <v>46106</v>
      </c>
      <c r="K181" s="10" t="s">
        <v>24</v>
      </c>
      <c r="L181" s="14" t="str">
        <f t="shared" si="2"/>
        <v>Ajay-Stationery</v>
      </c>
    </row>
    <row r="182" spans="1:12" ht="15" thickBot="1" x14ac:dyDescent="0.4">
      <c r="A182" s="5">
        <v>1102</v>
      </c>
      <c r="B182" s="5" t="s">
        <v>54</v>
      </c>
      <c r="C182" s="5" t="s">
        <v>25</v>
      </c>
      <c r="D182" s="5" t="s">
        <v>34</v>
      </c>
      <c r="E182" s="5" t="s">
        <v>45</v>
      </c>
      <c r="F182" s="5">
        <v>12</v>
      </c>
      <c r="G182" s="5">
        <v>63402</v>
      </c>
      <c r="H182" s="5">
        <v>7</v>
      </c>
      <c r="I182" s="6">
        <v>46106</v>
      </c>
      <c r="J182" s="6">
        <v>46113</v>
      </c>
      <c r="K182" s="10" t="s">
        <v>51</v>
      </c>
      <c r="L182" s="14" t="str">
        <f t="shared" si="2"/>
        <v>Manoj-Electronics</v>
      </c>
    </row>
    <row r="183" spans="1:12" ht="15" thickBot="1" x14ac:dyDescent="0.4">
      <c r="A183" s="5">
        <v>1198</v>
      </c>
      <c r="B183" s="5" t="s">
        <v>58</v>
      </c>
      <c r="C183" s="5" t="s">
        <v>12</v>
      </c>
      <c r="D183" s="5" t="s">
        <v>13</v>
      </c>
      <c r="E183" s="5" t="s">
        <v>14</v>
      </c>
      <c r="F183" s="5">
        <v>12</v>
      </c>
      <c r="G183" s="5">
        <v>491</v>
      </c>
      <c r="H183" s="5">
        <v>2</v>
      </c>
      <c r="I183" s="6">
        <v>46106</v>
      </c>
      <c r="J183" s="6">
        <v>46109</v>
      </c>
      <c r="K183" s="10" t="s">
        <v>51</v>
      </c>
      <c r="L183" s="14" t="str">
        <f t="shared" si="2"/>
        <v>Rohan-Stationery</v>
      </c>
    </row>
    <row r="184" spans="1:12" ht="15" thickBot="1" x14ac:dyDescent="0.4">
      <c r="A184" s="5">
        <v>1379</v>
      </c>
      <c r="B184" s="5" t="s">
        <v>47</v>
      </c>
      <c r="C184" s="5" t="s">
        <v>17</v>
      </c>
      <c r="D184" s="5" t="s">
        <v>13</v>
      </c>
      <c r="E184" s="5" t="s">
        <v>14</v>
      </c>
      <c r="F184" s="5">
        <v>11</v>
      </c>
      <c r="G184" s="5">
        <v>136</v>
      </c>
      <c r="H184" s="5">
        <v>15</v>
      </c>
      <c r="I184" s="6">
        <v>46106</v>
      </c>
      <c r="J184" s="6">
        <v>46107</v>
      </c>
      <c r="K184" s="10" t="s">
        <v>20</v>
      </c>
      <c r="L184" s="14" t="str">
        <f t="shared" si="2"/>
        <v>Yash-Stationery</v>
      </c>
    </row>
    <row r="185" spans="1:12" ht="15" thickBot="1" x14ac:dyDescent="0.4">
      <c r="A185" s="5">
        <v>1039</v>
      </c>
      <c r="B185" s="5" t="s">
        <v>48</v>
      </c>
      <c r="C185" s="5" t="s">
        <v>38</v>
      </c>
      <c r="D185" s="5" t="s">
        <v>34</v>
      </c>
      <c r="E185" s="5" t="s">
        <v>45</v>
      </c>
      <c r="F185" s="5">
        <v>5</v>
      </c>
      <c r="G185" s="5">
        <v>60236</v>
      </c>
      <c r="H185" s="5">
        <v>10</v>
      </c>
      <c r="I185" s="6">
        <v>46107</v>
      </c>
      <c r="J185" s="6">
        <v>46110</v>
      </c>
      <c r="K185" s="10" t="s">
        <v>20</v>
      </c>
      <c r="L185" s="14" t="str">
        <f t="shared" si="2"/>
        <v>Nitin-Electronics</v>
      </c>
    </row>
    <row r="186" spans="1:12" ht="15" thickBot="1" x14ac:dyDescent="0.4">
      <c r="A186" s="5">
        <v>1321</v>
      </c>
      <c r="B186" s="5" t="s">
        <v>32</v>
      </c>
      <c r="C186" s="5" t="s">
        <v>22</v>
      </c>
      <c r="D186" s="5" t="s">
        <v>18</v>
      </c>
      <c r="E186" s="5" t="s">
        <v>19</v>
      </c>
      <c r="F186" s="5">
        <v>8</v>
      </c>
      <c r="G186" s="5">
        <v>5619</v>
      </c>
      <c r="H186" s="5">
        <v>7</v>
      </c>
      <c r="I186" s="6">
        <v>46107</v>
      </c>
      <c r="J186" s="6">
        <v>46109</v>
      </c>
      <c r="K186" s="10" t="s">
        <v>51</v>
      </c>
      <c r="L186" s="14" t="str">
        <f t="shared" si="2"/>
        <v>Asha-Furniture</v>
      </c>
    </row>
    <row r="187" spans="1:12" ht="15" thickBot="1" x14ac:dyDescent="0.4">
      <c r="A187" s="5">
        <v>1123</v>
      </c>
      <c r="B187" s="5" t="s">
        <v>32</v>
      </c>
      <c r="C187" s="5" t="s">
        <v>31</v>
      </c>
      <c r="D187" s="5" t="s">
        <v>34</v>
      </c>
      <c r="E187" s="5" t="s">
        <v>45</v>
      </c>
      <c r="F187" s="5">
        <v>16</v>
      </c>
      <c r="G187" s="5">
        <v>1332</v>
      </c>
      <c r="H187" s="5">
        <v>7</v>
      </c>
      <c r="I187" s="6">
        <v>46107</v>
      </c>
      <c r="J187" s="6">
        <v>46109</v>
      </c>
      <c r="K187" s="10" t="s">
        <v>29</v>
      </c>
      <c r="L187" s="14" t="str">
        <f t="shared" si="2"/>
        <v>Asha-Electronics</v>
      </c>
    </row>
    <row r="188" spans="1:12" ht="15" thickBot="1" x14ac:dyDescent="0.4">
      <c r="A188" s="5">
        <v>1182</v>
      </c>
      <c r="B188" s="5" t="s">
        <v>42</v>
      </c>
      <c r="C188" s="5" t="s">
        <v>12</v>
      </c>
      <c r="D188" s="5" t="s">
        <v>34</v>
      </c>
      <c r="E188" s="5" t="s">
        <v>39</v>
      </c>
      <c r="F188" s="5">
        <v>8</v>
      </c>
      <c r="G188" s="5">
        <v>66022</v>
      </c>
      <c r="H188" s="5">
        <v>12</v>
      </c>
      <c r="I188" s="6">
        <v>46108</v>
      </c>
      <c r="J188" s="6">
        <v>46114</v>
      </c>
      <c r="K188" s="10" t="s">
        <v>24</v>
      </c>
      <c r="L188" s="14" t="str">
        <f t="shared" si="2"/>
        <v>Nisha-Electronics</v>
      </c>
    </row>
    <row r="189" spans="1:12" ht="15" thickBot="1" x14ac:dyDescent="0.4">
      <c r="A189" s="5">
        <v>1183</v>
      </c>
      <c r="B189" s="5" t="s">
        <v>52</v>
      </c>
      <c r="C189" s="5" t="s">
        <v>43</v>
      </c>
      <c r="D189" s="5" t="s">
        <v>13</v>
      </c>
      <c r="E189" s="5" t="s">
        <v>14</v>
      </c>
      <c r="F189" s="5">
        <v>2</v>
      </c>
      <c r="G189" s="5">
        <v>309</v>
      </c>
      <c r="H189" s="5">
        <v>2</v>
      </c>
      <c r="I189" s="6">
        <v>46109</v>
      </c>
      <c r="J189" s="6">
        <v>46111</v>
      </c>
      <c r="K189" s="10" t="s">
        <v>20</v>
      </c>
      <c r="L189" s="14" t="str">
        <f t="shared" si="2"/>
        <v>Komal-Stationery</v>
      </c>
    </row>
    <row r="190" spans="1:12" ht="15" thickBot="1" x14ac:dyDescent="0.4">
      <c r="A190" s="5">
        <v>1328</v>
      </c>
      <c r="B190" s="5" t="s">
        <v>16</v>
      </c>
      <c r="C190" s="5" t="s">
        <v>38</v>
      </c>
      <c r="D190" s="5" t="s">
        <v>13</v>
      </c>
      <c r="E190" s="5" t="s">
        <v>36</v>
      </c>
      <c r="F190" s="5">
        <v>4</v>
      </c>
      <c r="G190" s="5">
        <v>132</v>
      </c>
      <c r="H190" s="5">
        <v>0</v>
      </c>
      <c r="I190" s="6">
        <v>46109</v>
      </c>
      <c r="J190" s="6">
        <v>46114</v>
      </c>
      <c r="K190" s="10" t="s">
        <v>29</v>
      </c>
      <c r="L190" s="14" t="str">
        <f t="shared" si="2"/>
        <v>Pooja-Stationery</v>
      </c>
    </row>
    <row r="191" spans="1:12" ht="15" thickBot="1" x14ac:dyDescent="0.4">
      <c r="A191" s="5">
        <v>1290</v>
      </c>
      <c r="B191" s="5" t="s">
        <v>26</v>
      </c>
      <c r="C191" s="5" t="s">
        <v>22</v>
      </c>
      <c r="D191" s="5" t="s">
        <v>34</v>
      </c>
      <c r="E191" s="5" t="s">
        <v>35</v>
      </c>
      <c r="F191" s="5">
        <v>3</v>
      </c>
      <c r="G191" s="5">
        <v>69793</v>
      </c>
      <c r="H191" s="5">
        <v>15</v>
      </c>
      <c r="I191" s="6">
        <v>46110</v>
      </c>
      <c r="J191" s="6">
        <v>46111</v>
      </c>
      <c r="K191" s="10" t="s">
        <v>29</v>
      </c>
      <c r="L191" s="14" t="str">
        <f t="shared" si="2"/>
        <v>Vikram-Electronics</v>
      </c>
    </row>
    <row r="192" spans="1:12" ht="15" thickBot="1" x14ac:dyDescent="0.4">
      <c r="A192" s="5">
        <v>1193</v>
      </c>
      <c r="B192" s="5" t="s">
        <v>57</v>
      </c>
      <c r="C192" s="5" t="s">
        <v>12</v>
      </c>
      <c r="D192" s="5" t="s">
        <v>18</v>
      </c>
      <c r="E192" s="5" t="s">
        <v>23</v>
      </c>
      <c r="F192" s="5">
        <v>19</v>
      </c>
      <c r="G192" s="5">
        <v>2699</v>
      </c>
      <c r="H192" s="5">
        <v>7</v>
      </c>
      <c r="I192" s="6">
        <v>46110</v>
      </c>
      <c r="J192" s="6">
        <v>46112</v>
      </c>
      <c r="K192" s="10" t="s">
        <v>29</v>
      </c>
      <c r="L192" s="14" t="str">
        <f t="shared" si="2"/>
        <v>Sara-Furniture</v>
      </c>
    </row>
    <row r="193" spans="1:12" ht="15" thickBot="1" x14ac:dyDescent="0.4">
      <c r="A193" s="5">
        <v>1300</v>
      </c>
      <c r="B193" s="5" t="s">
        <v>47</v>
      </c>
      <c r="C193" s="5" t="s">
        <v>33</v>
      </c>
      <c r="D193" s="5" t="s">
        <v>34</v>
      </c>
      <c r="E193" s="5" t="s">
        <v>45</v>
      </c>
      <c r="F193" s="5">
        <v>20</v>
      </c>
      <c r="G193" s="5">
        <v>1392</v>
      </c>
      <c r="H193" s="5">
        <v>2</v>
      </c>
      <c r="I193" s="6">
        <v>46110</v>
      </c>
      <c r="J193" s="6">
        <v>46117</v>
      </c>
      <c r="K193" s="10" t="s">
        <v>24</v>
      </c>
      <c r="L193" s="14" t="str">
        <f t="shared" si="2"/>
        <v>Yash-Electronics</v>
      </c>
    </row>
    <row r="194" spans="1:12" ht="15" thickBot="1" x14ac:dyDescent="0.4">
      <c r="A194" s="5">
        <v>1180</v>
      </c>
      <c r="B194" s="5" t="s">
        <v>40</v>
      </c>
      <c r="C194" s="5" t="s">
        <v>31</v>
      </c>
      <c r="D194" s="5" t="s">
        <v>18</v>
      </c>
      <c r="E194" s="5" t="s">
        <v>28</v>
      </c>
      <c r="F194" s="5">
        <v>2</v>
      </c>
      <c r="G194" s="5">
        <v>2076</v>
      </c>
      <c r="H194" s="5">
        <v>2</v>
      </c>
      <c r="I194" s="6">
        <v>46111</v>
      </c>
      <c r="J194" s="6">
        <v>46121</v>
      </c>
      <c r="K194" s="10" t="s">
        <v>29</v>
      </c>
      <c r="L194" s="14" t="str">
        <f t="shared" si="2"/>
        <v>Deepak-Furniture</v>
      </c>
    </row>
    <row r="195" spans="1:12" ht="15" thickBot="1" x14ac:dyDescent="0.4">
      <c r="A195" s="5">
        <v>1178</v>
      </c>
      <c r="B195" s="5" t="s">
        <v>57</v>
      </c>
      <c r="C195" s="5" t="s">
        <v>17</v>
      </c>
      <c r="D195" s="5" t="s">
        <v>13</v>
      </c>
      <c r="E195" s="5" t="s">
        <v>50</v>
      </c>
      <c r="F195" s="5">
        <v>5</v>
      </c>
      <c r="G195" s="5">
        <v>50</v>
      </c>
      <c r="H195" s="5">
        <v>0</v>
      </c>
      <c r="I195" s="6">
        <v>46111</v>
      </c>
      <c r="J195" s="6">
        <v>46117</v>
      </c>
      <c r="K195" s="10" t="s">
        <v>20</v>
      </c>
      <c r="L195" s="14" t="str">
        <f t="shared" ref="L195:L258" si="3">_xlfn.CONCAT(B195,"-",D195)</f>
        <v>Sara-Stationery</v>
      </c>
    </row>
    <row r="196" spans="1:12" ht="15" thickBot="1" x14ac:dyDescent="0.4">
      <c r="A196" s="5">
        <v>1251</v>
      </c>
      <c r="B196" s="5" t="s">
        <v>55</v>
      </c>
      <c r="C196" s="5" t="s">
        <v>38</v>
      </c>
      <c r="D196" s="5" t="s">
        <v>34</v>
      </c>
      <c r="E196" s="5" t="s">
        <v>61</v>
      </c>
      <c r="F196" s="5">
        <v>19</v>
      </c>
      <c r="G196" s="5">
        <v>48548</v>
      </c>
      <c r="H196" s="5">
        <v>0</v>
      </c>
      <c r="I196" s="6">
        <v>46112</v>
      </c>
      <c r="J196" s="6">
        <v>46121</v>
      </c>
      <c r="K196" s="10" t="s">
        <v>51</v>
      </c>
      <c r="L196" s="14" t="str">
        <f t="shared" si="3"/>
        <v>Sneha-Electronics</v>
      </c>
    </row>
    <row r="197" spans="1:12" ht="15" thickBot="1" x14ac:dyDescent="0.4">
      <c r="A197" s="5">
        <v>1133</v>
      </c>
      <c r="B197" s="5" t="s">
        <v>11</v>
      </c>
      <c r="C197" s="5" t="s">
        <v>12</v>
      </c>
      <c r="D197" s="5" t="s">
        <v>18</v>
      </c>
      <c r="E197" s="5" t="s">
        <v>56</v>
      </c>
      <c r="F197" s="5">
        <v>6</v>
      </c>
      <c r="G197" s="5">
        <v>9037</v>
      </c>
      <c r="H197" s="5">
        <v>2</v>
      </c>
      <c r="I197" s="6">
        <v>46112</v>
      </c>
      <c r="J197" s="6">
        <v>46121</v>
      </c>
      <c r="K197" s="10" t="s">
        <v>51</v>
      </c>
      <c r="L197" s="14" t="str">
        <f t="shared" si="3"/>
        <v>Ritesh-Furniture</v>
      </c>
    </row>
    <row r="198" spans="1:12" ht="15" thickBot="1" x14ac:dyDescent="0.4">
      <c r="A198" s="5">
        <v>1227</v>
      </c>
      <c r="B198" s="5" t="s">
        <v>58</v>
      </c>
      <c r="C198" s="5" t="s">
        <v>22</v>
      </c>
      <c r="D198" s="5" t="s">
        <v>34</v>
      </c>
      <c r="E198" s="5" t="s">
        <v>45</v>
      </c>
      <c r="F198" s="5">
        <v>16</v>
      </c>
      <c r="G198" s="5">
        <v>1321</v>
      </c>
      <c r="H198" s="5">
        <v>12</v>
      </c>
      <c r="I198" s="6">
        <v>46113</v>
      </c>
      <c r="J198" s="6">
        <v>46116</v>
      </c>
      <c r="K198" s="10" t="s">
        <v>15</v>
      </c>
      <c r="L198" s="14" t="str">
        <f t="shared" si="3"/>
        <v>Rohan-Electronics</v>
      </c>
    </row>
    <row r="199" spans="1:12" ht="15" thickBot="1" x14ac:dyDescent="0.4">
      <c r="A199" s="5">
        <v>1077</v>
      </c>
      <c r="B199" s="5" t="s">
        <v>55</v>
      </c>
      <c r="C199" s="5" t="s">
        <v>25</v>
      </c>
      <c r="D199" s="5" t="s">
        <v>13</v>
      </c>
      <c r="E199" s="5" t="s">
        <v>14</v>
      </c>
      <c r="F199" s="5">
        <v>1</v>
      </c>
      <c r="G199" s="5">
        <v>123</v>
      </c>
      <c r="H199" s="5">
        <v>10</v>
      </c>
      <c r="I199" s="6">
        <v>46113</v>
      </c>
      <c r="J199" s="6">
        <v>46121</v>
      </c>
      <c r="K199" s="10" t="s">
        <v>51</v>
      </c>
      <c r="L199" s="14" t="str">
        <f t="shared" si="3"/>
        <v>Sneha-Stationery</v>
      </c>
    </row>
    <row r="200" spans="1:12" ht="15" thickBot="1" x14ac:dyDescent="0.4">
      <c r="A200" s="5">
        <v>1059</v>
      </c>
      <c r="B200" s="5" t="s">
        <v>54</v>
      </c>
      <c r="C200" s="5" t="s">
        <v>25</v>
      </c>
      <c r="D200" s="5" t="s">
        <v>13</v>
      </c>
      <c r="E200" s="5" t="s">
        <v>50</v>
      </c>
      <c r="F200" s="5">
        <v>20</v>
      </c>
      <c r="G200" s="5">
        <v>112</v>
      </c>
      <c r="H200" s="5">
        <v>10</v>
      </c>
      <c r="I200" s="6">
        <v>46113</v>
      </c>
      <c r="J200" s="6">
        <v>46122</v>
      </c>
      <c r="K200" s="10" t="s">
        <v>51</v>
      </c>
      <c r="L200" s="14" t="str">
        <f t="shared" si="3"/>
        <v>Manoj-Stationery</v>
      </c>
    </row>
    <row r="201" spans="1:12" ht="15" thickBot="1" x14ac:dyDescent="0.4">
      <c r="A201" s="5">
        <v>1234</v>
      </c>
      <c r="B201" s="5" t="s">
        <v>11</v>
      </c>
      <c r="C201" s="5" t="s">
        <v>25</v>
      </c>
      <c r="D201" s="5" t="s">
        <v>18</v>
      </c>
      <c r="E201" s="5" t="s">
        <v>28</v>
      </c>
      <c r="F201" s="5">
        <v>1</v>
      </c>
      <c r="G201" s="5">
        <v>14320</v>
      </c>
      <c r="H201" s="5">
        <v>12</v>
      </c>
      <c r="I201" s="6">
        <v>46114</v>
      </c>
      <c r="J201" s="6">
        <v>46121</v>
      </c>
      <c r="K201" s="10" t="s">
        <v>51</v>
      </c>
      <c r="L201" s="14" t="str">
        <f t="shared" si="3"/>
        <v>Ritesh-Furniture</v>
      </c>
    </row>
    <row r="202" spans="1:12" ht="15" thickBot="1" x14ac:dyDescent="0.4">
      <c r="A202" s="5">
        <v>1074</v>
      </c>
      <c r="B202" s="5" t="s">
        <v>26</v>
      </c>
      <c r="C202" s="5" t="s">
        <v>31</v>
      </c>
      <c r="D202" s="5" t="s">
        <v>13</v>
      </c>
      <c r="E202" s="5" t="s">
        <v>50</v>
      </c>
      <c r="F202" s="5">
        <v>11</v>
      </c>
      <c r="G202" s="5">
        <v>390</v>
      </c>
      <c r="H202" s="5">
        <v>15</v>
      </c>
      <c r="I202" s="6">
        <v>46114</v>
      </c>
      <c r="J202" s="6">
        <v>46123</v>
      </c>
      <c r="K202" s="10" t="s">
        <v>29</v>
      </c>
      <c r="L202" s="14" t="str">
        <f t="shared" si="3"/>
        <v>Vikram-Stationery</v>
      </c>
    </row>
    <row r="203" spans="1:12" ht="15" thickBot="1" x14ac:dyDescent="0.4">
      <c r="A203" s="5">
        <v>1213</v>
      </c>
      <c r="B203" s="5" t="s">
        <v>32</v>
      </c>
      <c r="C203" s="5" t="s">
        <v>38</v>
      </c>
      <c r="D203" s="5" t="s">
        <v>34</v>
      </c>
      <c r="E203" s="5" t="s">
        <v>45</v>
      </c>
      <c r="F203" s="5">
        <v>16</v>
      </c>
      <c r="G203" s="5">
        <v>27741</v>
      </c>
      <c r="H203" s="5">
        <v>12</v>
      </c>
      <c r="I203" s="6">
        <v>46116</v>
      </c>
      <c r="J203" s="6">
        <v>46119</v>
      </c>
      <c r="K203" s="10" t="s">
        <v>15</v>
      </c>
      <c r="L203" s="14" t="str">
        <f t="shared" si="3"/>
        <v>Asha-Electronics</v>
      </c>
    </row>
    <row r="204" spans="1:12" ht="15" thickBot="1" x14ac:dyDescent="0.4">
      <c r="A204" s="5">
        <v>1028</v>
      </c>
      <c r="B204" s="5" t="s">
        <v>47</v>
      </c>
      <c r="C204" s="5" t="s">
        <v>22</v>
      </c>
      <c r="D204" s="5" t="s">
        <v>13</v>
      </c>
      <c r="E204" s="5" t="s">
        <v>36</v>
      </c>
      <c r="F204" s="5">
        <v>13</v>
      </c>
      <c r="G204" s="5">
        <v>433</v>
      </c>
      <c r="H204" s="5">
        <v>2</v>
      </c>
      <c r="I204" s="6">
        <v>46116</v>
      </c>
      <c r="J204" s="6">
        <v>46121</v>
      </c>
      <c r="K204" s="10" t="s">
        <v>24</v>
      </c>
      <c r="L204" s="14" t="str">
        <f t="shared" si="3"/>
        <v>Yash-Stationery</v>
      </c>
    </row>
    <row r="205" spans="1:12" ht="15" thickBot="1" x14ac:dyDescent="0.4">
      <c r="A205" s="5">
        <v>1287</v>
      </c>
      <c r="B205" s="5" t="s">
        <v>59</v>
      </c>
      <c r="C205" s="5" t="s">
        <v>31</v>
      </c>
      <c r="D205" s="5" t="s">
        <v>13</v>
      </c>
      <c r="E205" s="5" t="s">
        <v>14</v>
      </c>
      <c r="F205" s="5">
        <v>15</v>
      </c>
      <c r="G205" s="5">
        <v>251</v>
      </c>
      <c r="H205" s="5">
        <v>2</v>
      </c>
      <c r="I205" s="6">
        <v>46116</v>
      </c>
      <c r="J205" s="6">
        <v>46122</v>
      </c>
      <c r="K205" s="10" t="s">
        <v>51</v>
      </c>
      <c r="L205" s="14" t="str">
        <f t="shared" si="3"/>
        <v>Anita-Stationery</v>
      </c>
    </row>
    <row r="206" spans="1:12" ht="15" thickBot="1" x14ac:dyDescent="0.4">
      <c r="A206" s="5">
        <v>1022</v>
      </c>
      <c r="B206" s="5" t="s">
        <v>26</v>
      </c>
      <c r="C206" s="5" t="s">
        <v>17</v>
      </c>
      <c r="D206" s="5" t="s">
        <v>34</v>
      </c>
      <c r="E206" s="5" t="s">
        <v>45</v>
      </c>
      <c r="F206" s="5">
        <v>15</v>
      </c>
      <c r="G206" s="5">
        <v>11596</v>
      </c>
      <c r="H206" s="5">
        <v>0</v>
      </c>
      <c r="I206" s="6">
        <v>46117</v>
      </c>
      <c r="J206" s="6">
        <v>46121</v>
      </c>
      <c r="K206" s="10" t="s">
        <v>29</v>
      </c>
      <c r="L206" s="14" t="str">
        <f t="shared" si="3"/>
        <v>Vikram-Electronics</v>
      </c>
    </row>
    <row r="207" spans="1:12" ht="15" thickBot="1" x14ac:dyDescent="0.4">
      <c r="A207" s="5">
        <v>1265</v>
      </c>
      <c r="B207" s="5" t="s">
        <v>58</v>
      </c>
      <c r="C207" s="5" t="s">
        <v>22</v>
      </c>
      <c r="D207" s="5" t="s">
        <v>18</v>
      </c>
      <c r="E207" s="5" t="s">
        <v>19</v>
      </c>
      <c r="F207" s="5">
        <v>1</v>
      </c>
      <c r="G207" s="5">
        <v>1052</v>
      </c>
      <c r="H207" s="5">
        <v>7</v>
      </c>
      <c r="I207" s="6">
        <v>46117</v>
      </c>
      <c r="J207" s="6">
        <v>46127</v>
      </c>
      <c r="K207" s="10" t="s">
        <v>51</v>
      </c>
      <c r="L207" s="14" t="str">
        <f t="shared" si="3"/>
        <v>Rohan-Furniture</v>
      </c>
    </row>
    <row r="208" spans="1:12" ht="15" thickBot="1" x14ac:dyDescent="0.4">
      <c r="A208" s="5">
        <v>1354</v>
      </c>
      <c r="B208" s="5" t="s">
        <v>47</v>
      </c>
      <c r="C208" s="5" t="s">
        <v>43</v>
      </c>
      <c r="D208" s="5" t="s">
        <v>34</v>
      </c>
      <c r="E208" s="5" t="s">
        <v>35</v>
      </c>
      <c r="F208" s="5">
        <v>15</v>
      </c>
      <c r="G208" s="5">
        <v>14927</v>
      </c>
      <c r="H208" s="5">
        <v>15</v>
      </c>
      <c r="I208" s="6">
        <v>46118</v>
      </c>
      <c r="J208" s="6">
        <v>46120</v>
      </c>
      <c r="K208" s="10" t="s">
        <v>51</v>
      </c>
      <c r="L208" s="14" t="str">
        <f t="shared" si="3"/>
        <v>Yash-Electronics</v>
      </c>
    </row>
    <row r="209" spans="1:12" ht="15" thickBot="1" x14ac:dyDescent="0.4">
      <c r="A209" s="5">
        <v>1108</v>
      </c>
      <c r="B209" s="5" t="s">
        <v>42</v>
      </c>
      <c r="C209" s="5" t="s">
        <v>33</v>
      </c>
      <c r="D209" s="5" t="s">
        <v>18</v>
      </c>
      <c r="E209" s="5" t="s">
        <v>28</v>
      </c>
      <c r="F209" s="5">
        <v>15</v>
      </c>
      <c r="G209" s="5">
        <v>13843</v>
      </c>
      <c r="H209" s="5">
        <v>7</v>
      </c>
      <c r="I209" s="6">
        <v>46119</v>
      </c>
      <c r="J209" s="6">
        <v>46127</v>
      </c>
      <c r="K209" s="10" t="s">
        <v>20</v>
      </c>
      <c r="L209" s="14" t="str">
        <f t="shared" si="3"/>
        <v>Nisha-Furniture</v>
      </c>
    </row>
    <row r="210" spans="1:12" ht="15" thickBot="1" x14ac:dyDescent="0.4">
      <c r="A210" s="5">
        <v>1241</v>
      </c>
      <c r="B210" s="5" t="s">
        <v>46</v>
      </c>
      <c r="C210" s="5" t="s">
        <v>31</v>
      </c>
      <c r="D210" s="5" t="s">
        <v>18</v>
      </c>
      <c r="E210" s="5" t="s">
        <v>44</v>
      </c>
      <c r="F210" s="5">
        <v>1</v>
      </c>
      <c r="G210" s="5">
        <v>12537</v>
      </c>
      <c r="H210" s="5">
        <v>0</v>
      </c>
      <c r="I210" s="6">
        <v>46119</v>
      </c>
      <c r="J210" s="6">
        <v>46122</v>
      </c>
      <c r="K210" s="10" t="s">
        <v>15</v>
      </c>
      <c r="L210" s="14" t="str">
        <f t="shared" si="3"/>
        <v>Kiran-Furniture</v>
      </c>
    </row>
    <row r="211" spans="1:12" ht="15" thickBot="1" x14ac:dyDescent="0.4">
      <c r="A211" s="5">
        <v>1203</v>
      </c>
      <c r="B211" s="5" t="s">
        <v>40</v>
      </c>
      <c r="C211" s="5" t="s">
        <v>22</v>
      </c>
      <c r="D211" s="5" t="s">
        <v>18</v>
      </c>
      <c r="E211" s="5" t="s">
        <v>23</v>
      </c>
      <c r="F211" s="5">
        <v>17</v>
      </c>
      <c r="G211" s="5">
        <v>6695</v>
      </c>
      <c r="H211" s="5">
        <v>2</v>
      </c>
      <c r="I211" s="6">
        <v>46119</v>
      </c>
      <c r="J211" s="6">
        <v>46122</v>
      </c>
      <c r="K211" s="10" t="s">
        <v>51</v>
      </c>
      <c r="L211" s="14" t="str">
        <f t="shared" si="3"/>
        <v>Deepak-Furniture</v>
      </c>
    </row>
    <row r="212" spans="1:12" ht="15" thickBot="1" x14ac:dyDescent="0.4">
      <c r="A212" s="5">
        <v>1261</v>
      </c>
      <c r="B212" s="5" t="s">
        <v>40</v>
      </c>
      <c r="C212" s="5" t="s">
        <v>17</v>
      </c>
      <c r="D212" s="5" t="s">
        <v>13</v>
      </c>
      <c r="E212" s="5" t="s">
        <v>50</v>
      </c>
      <c r="F212" s="5">
        <v>20</v>
      </c>
      <c r="G212" s="5">
        <v>162</v>
      </c>
      <c r="H212" s="5">
        <v>7</v>
      </c>
      <c r="I212" s="6">
        <v>46119</v>
      </c>
      <c r="J212" s="6">
        <v>46120</v>
      </c>
      <c r="K212" s="10" t="s">
        <v>51</v>
      </c>
      <c r="L212" s="14" t="str">
        <f t="shared" si="3"/>
        <v>Deepak-Stationery</v>
      </c>
    </row>
    <row r="213" spans="1:12" ht="15" thickBot="1" x14ac:dyDescent="0.4">
      <c r="A213" s="5">
        <v>1172</v>
      </c>
      <c r="B213" s="5" t="s">
        <v>16</v>
      </c>
      <c r="C213" s="5" t="s">
        <v>12</v>
      </c>
      <c r="D213" s="5" t="s">
        <v>34</v>
      </c>
      <c r="E213" s="5" t="s">
        <v>45</v>
      </c>
      <c r="F213" s="5">
        <v>13</v>
      </c>
      <c r="G213" s="5">
        <v>43163</v>
      </c>
      <c r="H213" s="5">
        <v>12</v>
      </c>
      <c r="I213" s="6">
        <v>46120</v>
      </c>
      <c r="J213" s="6">
        <v>46129</v>
      </c>
      <c r="K213" s="10" t="s">
        <v>24</v>
      </c>
      <c r="L213" s="14" t="str">
        <f t="shared" si="3"/>
        <v>Pooja-Electronics</v>
      </c>
    </row>
    <row r="214" spans="1:12" ht="15" thickBot="1" x14ac:dyDescent="0.4">
      <c r="A214" s="5">
        <v>1169</v>
      </c>
      <c r="B214" s="5" t="s">
        <v>47</v>
      </c>
      <c r="C214" s="5" t="s">
        <v>12</v>
      </c>
      <c r="D214" s="5" t="s">
        <v>18</v>
      </c>
      <c r="E214" s="5" t="s">
        <v>56</v>
      </c>
      <c r="F214" s="5">
        <v>12</v>
      </c>
      <c r="G214" s="5">
        <v>12104</v>
      </c>
      <c r="H214" s="5">
        <v>7</v>
      </c>
      <c r="I214" s="6">
        <v>46121</v>
      </c>
      <c r="J214" s="6">
        <v>46130</v>
      </c>
      <c r="K214" s="10" t="s">
        <v>24</v>
      </c>
      <c r="L214" s="14" t="str">
        <f t="shared" si="3"/>
        <v>Yash-Furniture</v>
      </c>
    </row>
    <row r="215" spans="1:12" ht="15" thickBot="1" x14ac:dyDescent="0.4">
      <c r="A215" s="5">
        <v>1363</v>
      </c>
      <c r="B215" s="5" t="s">
        <v>27</v>
      </c>
      <c r="C215" s="5" t="s">
        <v>25</v>
      </c>
      <c r="D215" s="5" t="s">
        <v>34</v>
      </c>
      <c r="E215" s="5" t="s">
        <v>35</v>
      </c>
      <c r="F215" s="5">
        <v>7</v>
      </c>
      <c r="G215" s="5">
        <v>45381</v>
      </c>
      <c r="H215" s="5">
        <v>0</v>
      </c>
      <c r="I215" s="6">
        <v>46122</v>
      </c>
      <c r="J215" s="6">
        <v>46128</v>
      </c>
      <c r="K215" s="10" t="s">
        <v>15</v>
      </c>
      <c r="L215" s="14" t="str">
        <f t="shared" si="3"/>
        <v>Arjun-Electronics</v>
      </c>
    </row>
    <row r="216" spans="1:12" ht="15" thickBot="1" x14ac:dyDescent="0.4">
      <c r="A216" s="5">
        <v>1289</v>
      </c>
      <c r="B216" s="5" t="s">
        <v>26</v>
      </c>
      <c r="C216" s="5" t="s">
        <v>22</v>
      </c>
      <c r="D216" s="5" t="s">
        <v>34</v>
      </c>
      <c r="E216" s="5" t="s">
        <v>45</v>
      </c>
      <c r="F216" s="5">
        <v>19</v>
      </c>
      <c r="G216" s="5">
        <v>25336</v>
      </c>
      <c r="H216" s="5">
        <v>2</v>
      </c>
      <c r="I216" s="6">
        <v>46122</v>
      </c>
      <c r="J216" s="6">
        <v>46130</v>
      </c>
      <c r="K216" s="10" t="s">
        <v>24</v>
      </c>
      <c r="L216" s="14" t="str">
        <f t="shared" si="3"/>
        <v>Vikram-Electronics</v>
      </c>
    </row>
    <row r="217" spans="1:12" ht="15" thickBot="1" x14ac:dyDescent="0.4">
      <c r="A217" s="5">
        <v>1239</v>
      </c>
      <c r="B217" s="5" t="s">
        <v>48</v>
      </c>
      <c r="C217" s="5" t="s">
        <v>17</v>
      </c>
      <c r="D217" s="5" t="s">
        <v>18</v>
      </c>
      <c r="E217" s="5" t="s">
        <v>56</v>
      </c>
      <c r="F217" s="5">
        <v>2</v>
      </c>
      <c r="G217" s="5">
        <v>12330</v>
      </c>
      <c r="H217" s="5">
        <v>12</v>
      </c>
      <c r="I217" s="6">
        <v>46122</v>
      </c>
      <c r="J217" s="6">
        <v>46125</v>
      </c>
      <c r="K217" s="10" t="s">
        <v>15</v>
      </c>
      <c r="L217" s="14" t="str">
        <f t="shared" si="3"/>
        <v>Nitin-Furniture</v>
      </c>
    </row>
    <row r="218" spans="1:12" ht="15" thickBot="1" x14ac:dyDescent="0.4">
      <c r="A218" s="5">
        <v>1221</v>
      </c>
      <c r="B218" s="5" t="s">
        <v>11</v>
      </c>
      <c r="C218" s="5" t="s">
        <v>31</v>
      </c>
      <c r="D218" s="5" t="s">
        <v>18</v>
      </c>
      <c r="E218" s="5" t="s">
        <v>56</v>
      </c>
      <c r="F218" s="5">
        <v>18</v>
      </c>
      <c r="G218" s="5">
        <v>2681</v>
      </c>
      <c r="H218" s="5">
        <v>10</v>
      </c>
      <c r="I218" s="6">
        <v>46122</v>
      </c>
      <c r="J218" s="6">
        <v>46125</v>
      </c>
      <c r="K218" s="10" t="s">
        <v>51</v>
      </c>
      <c r="L218" s="14" t="str">
        <f t="shared" si="3"/>
        <v>Ritesh-Furniture</v>
      </c>
    </row>
    <row r="219" spans="1:12" ht="15" thickBot="1" x14ac:dyDescent="0.4">
      <c r="A219" s="5">
        <v>1299</v>
      </c>
      <c r="B219" s="5" t="s">
        <v>26</v>
      </c>
      <c r="C219" s="5" t="s">
        <v>17</v>
      </c>
      <c r="D219" s="5" t="s">
        <v>18</v>
      </c>
      <c r="E219" s="5" t="s">
        <v>56</v>
      </c>
      <c r="F219" s="5">
        <v>8</v>
      </c>
      <c r="G219" s="5">
        <v>8783</v>
      </c>
      <c r="H219" s="5">
        <v>2</v>
      </c>
      <c r="I219" s="6">
        <v>46123</v>
      </c>
      <c r="J219" s="6">
        <v>46132</v>
      </c>
      <c r="K219" s="10" t="s">
        <v>15</v>
      </c>
      <c r="L219" s="14" t="str">
        <f t="shared" si="3"/>
        <v>Vikram-Furniture</v>
      </c>
    </row>
    <row r="220" spans="1:12" ht="15" thickBot="1" x14ac:dyDescent="0.4">
      <c r="A220" s="5">
        <v>1204</v>
      </c>
      <c r="B220" s="5" t="s">
        <v>16</v>
      </c>
      <c r="C220" s="5" t="s">
        <v>31</v>
      </c>
      <c r="D220" s="5" t="s">
        <v>13</v>
      </c>
      <c r="E220" s="5" t="s">
        <v>37</v>
      </c>
      <c r="F220" s="5">
        <v>13</v>
      </c>
      <c r="G220" s="5">
        <v>416</v>
      </c>
      <c r="H220" s="5">
        <v>10</v>
      </c>
      <c r="I220" s="6">
        <v>46123</v>
      </c>
      <c r="J220" s="6">
        <v>46132</v>
      </c>
      <c r="K220" s="10" t="s">
        <v>20</v>
      </c>
      <c r="L220" s="14" t="str">
        <f t="shared" si="3"/>
        <v>Pooja-Stationery</v>
      </c>
    </row>
    <row r="221" spans="1:12" ht="15" thickBot="1" x14ac:dyDescent="0.4">
      <c r="A221" s="5">
        <v>1279</v>
      </c>
      <c r="B221" s="5" t="s">
        <v>55</v>
      </c>
      <c r="C221" s="5" t="s">
        <v>33</v>
      </c>
      <c r="D221" s="5" t="s">
        <v>34</v>
      </c>
      <c r="E221" s="5" t="s">
        <v>45</v>
      </c>
      <c r="F221" s="5">
        <v>20</v>
      </c>
      <c r="G221" s="5">
        <v>49042</v>
      </c>
      <c r="H221" s="5">
        <v>2</v>
      </c>
      <c r="I221" s="6">
        <v>46124</v>
      </c>
      <c r="J221" s="6">
        <v>46126</v>
      </c>
      <c r="K221" s="10" t="s">
        <v>15</v>
      </c>
      <c r="L221" s="14" t="str">
        <f t="shared" si="3"/>
        <v>Sneha-Electronics</v>
      </c>
    </row>
    <row r="222" spans="1:12" ht="15" thickBot="1" x14ac:dyDescent="0.4">
      <c r="A222" s="5">
        <v>1392</v>
      </c>
      <c r="B222" s="5" t="s">
        <v>29</v>
      </c>
      <c r="C222" s="5" t="s">
        <v>43</v>
      </c>
      <c r="D222" s="5" t="s">
        <v>34</v>
      </c>
      <c r="E222" s="5" t="s">
        <v>35</v>
      </c>
      <c r="F222" s="5">
        <v>13</v>
      </c>
      <c r="G222" s="5">
        <v>23903</v>
      </c>
      <c r="H222" s="5">
        <v>5</v>
      </c>
      <c r="I222" s="6">
        <v>46124</v>
      </c>
      <c r="J222" s="6">
        <v>46125</v>
      </c>
      <c r="K222" s="10" t="s">
        <v>29</v>
      </c>
      <c r="L222" s="14" t="str">
        <f t="shared" si="3"/>
        <v>Priya-Electronics</v>
      </c>
    </row>
    <row r="223" spans="1:12" ht="15" thickBot="1" x14ac:dyDescent="0.4">
      <c r="A223" s="5">
        <v>1303</v>
      </c>
      <c r="B223" s="5" t="s">
        <v>57</v>
      </c>
      <c r="C223" s="5" t="s">
        <v>38</v>
      </c>
      <c r="D223" s="5" t="s">
        <v>34</v>
      </c>
      <c r="E223" s="5" t="s">
        <v>35</v>
      </c>
      <c r="F223" s="5">
        <v>13</v>
      </c>
      <c r="G223" s="5">
        <v>5170</v>
      </c>
      <c r="H223" s="5">
        <v>2</v>
      </c>
      <c r="I223" s="6">
        <v>46124</v>
      </c>
      <c r="J223" s="6">
        <v>46127</v>
      </c>
      <c r="K223" s="10" t="s">
        <v>15</v>
      </c>
      <c r="L223" s="14" t="str">
        <f t="shared" si="3"/>
        <v>Sara-Electronics</v>
      </c>
    </row>
    <row r="224" spans="1:12" ht="15" thickBot="1" x14ac:dyDescent="0.4">
      <c r="A224" s="5">
        <v>1225</v>
      </c>
      <c r="B224" s="5" t="s">
        <v>42</v>
      </c>
      <c r="C224" s="5" t="s">
        <v>31</v>
      </c>
      <c r="D224" s="5" t="s">
        <v>34</v>
      </c>
      <c r="E224" s="5" t="s">
        <v>35</v>
      </c>
      <c r="F224" s="5">
        <v>16</v>
      </c>
      <c r="G224" s="5">
        <v>32262</v>
      </c>
      <c r="H224" s="5">
        <v>12</v>
      </c>
      <c r="I224" s="6">
        <v>46125</v>
      </c>
      <c r="J224" s="6">
        <v>46126</v>
      </c>
      <c r="K224" s="10" t="s">
        <v>20</v>
      </c>
      <c r="L224" s="14" t="str">
        <f t="shared" si="3"/>
        <v>Nisha-Electronics</v>
      </c>
    </row>
    <row r="225" spans="1:12" ht="15" thickBot="1" x14ac:dyDescent="0.4">
      <c r="A225" s="5">
        <v>1130</v>
      </c>
      <c r="B225" s="5" t="s">
        <v>48</v>
      </c>
      <c r="C225" s="5" t="s">
        <v>33</v>
      </c>
      <c r="D225" s="5" t="s">
        <v>13</v>
      </c>
      <c r="E225" s="5" t="s">
        <v>14</v>
      </c>
      <c r="F225" s="5">
        <v>12</v>
      </c>
      <c r="G225" s="5">
        <v>50</v>
      </c>
      <c r="H225" s="5">
        <v>2</v>
      </c>
      <c r="I225" s="6">
        <v>46125</v>
      </c>
      <c r="J225" s="6">
        <v>46131</v>
      </c>
      <c r="K225" s="10" t="s">
        <v>24</v>
      </c>
      <c r="L225" s="14" t="str">
        <f t="shared" si="3"/>
        <v>Nitin-Stationery</v>
      </c>
    </row>
    <row r="226" spans="1:12" ht="15" thickBot="1" x14ac:dyDescent="0.4">
      <c r="A226" s="5">
        <v>1073</v>
      </c>
      <c r="B226" s="5" t="s">
        <v>58</v>
      </c>
      <c r="C226" s="5" t="s">
        <v>17</v>
      </c>
      <c r="D226" s="5" t="s">
        <v>18</v>
      </c>
      <c r="E226" s="5" t="s">
        <v>56</v>
      </c>
      <c r="F226" s="5">
        <v>4</v>
      </c>
      <c r="G226" s="5">
        <v>2453</v>
      </c>
      <c r="H226" s="5">
        <v>7</v>
      </c>
      <c r="I226" s="6">
        <v>46126</v>
      </c>
      <c r="J226" s="6">
        <v>46129</v>
      </c>
      <c r="K226" s="10" t="s">
        <v>51</v>
      </c>
      <c r="L226" s="14" t="str">
        <f t="shared" si="3"/>
        <v>Rohan-Furniture</v>
      </c>
    </row>
    <row r="227" spans="1:12" ht="15" thickBot="1" x14ac:dyDescent="0.4">
      <c r="A227" s="5">
        <v>1098</v>
      </c>
      <c r="B227" s="5" t="s">
        <v>26</v>
      </c>
      <c r="C227" s="5" t="s">
        <v>25</v>
      </c>
      <c r="D227" s="5" t="s">
        <v>13</v>
      </c>
      <c r="E227" s="5" t="s">
        <v>53</v>
      </c>
      <c r="F227" s="5">
        <v>17</v>
      </c>
      <c r="G227" s="5">
        <v>345</v>
      </c>
      <c r="H227" s="5">
        <v>2</v>
      </c>
      <c r="I227" s="6">
        <v>46126</v>
      </c>
      <c r="J227" s="6">
        <v>46127</v>
      </c>
      <c r="K227" s="10" t="s">
        <v>51</v>
      </c>
      <c r="L227" s="14" t="str">
        <f t="shared" si="3"/>
        <v>Vikram-Stationery</v>
      </c>
    </row>
    <row r="228" spans="1:12" ht="15" thickBot="1" x14ac:dyDescent="0.4">
      <c r="A228" s="5">
        <v>1329</v>
      </c>
      <c r="B228" s="5" t="s">
        <v>30</v>
      </c>
      <c r="C228" s="5" t="s">
        <v>43</v>
      </c>
      <c r="D228" s="5" t="s">
        <v>13</v>
      </c>
      <c r="E228" s="5" t="s">
        <v>53</v>
      </c>
      <c r="F228" s="5">
        <v>18</v>
      </c>
      <c r="G228" s="5">
        <v>227</v>
      </c>
      <c r="H228" s="5">
        <v>5</v>
      </c>
      <c r="I228" s="6">
        <v>46126</v>
      </c>
      <c r="J228" s="6">
        <v>46136</v>
      </c>
      <c r="K228" s="10" t="s">
        <v>29</v>
      </c>
      <c r="L228" s="14" t="str">
        <f t="shared" si="3"/>
        <v>Neha-Stationery</v>
      </c>
    </row>
    <row r="229" spans="1:12" ht="15" thickBot="1" x14ac:dyDescent="0.4">
      <c r="A229" s="5">
        <v>1358</v>
      </c>
      <c r="B229" s="5" t="s">
        <v>40</v>
      </c>
      <c r="C229" s="5" t="s">
        <v>38</v>
      </c>
      <c r="D229" s="5" t="s">
        <v>18</v>
      </c>
      <c r="E229" s="5" t="s">
        <v>19</v>
      </c>
      <c r="F229" s="5">
        <v>7</v>
      </c>
      <c r="G229" s="5">
        <v>6618</v>
      </c>
      <c r="H229" s="5">
        <v>0</v>
      </c>
      <c r="I229" s="6">
        <v>46127</v>
      </c>
      <c r="J229" s="6">
        <v>46129</v>
      </c>
      <c r="K229" s="10" t="s">
        <v>20</v>
      </c>
      <c r="L229" s="14" t="str">
        <f t="shared" si="3"/>
        <v>Deepak-Furniture</v>
      </c>
    </row>
    <row r="230" spans="1:12" ht="15" thickBot="1" x14ac:dyDescent="0.4">
      <c r="A230" s="5">
        <v>1050</v>
      </c>
      <c r="B230" s="5" t="s">
        <v>32</v>
      </c>
      <c r="C230" s="5" t="s">
        <v>25</v>
      </c>
      <c r="D230" s="5" t="s">
        <v>13</v>
      </c>
      <c r="E230" s="5" t="s">
        <v>53</v>
      </c>
      <c r="F230" s="5">
        <v>12</v>
      </c>
      <c r="G230" s="5">
        <v>360</v>
      </c>
      <c r="H230" s="5">
        <v>5</v>
      </c>
      <c r="I230" s="6">
        <v>46127</v>
      </c>
      <c r="J230" s="6">
        <v>46137</v>
      </c>
      <c r="K230" s="10" t="s">
        <v>29</v>
      </c>
      <c r="L230" s="14" t="str">
        <f t="shared" si="3"/>
        <v>Asha-Stationery</v>
      </c>
    </row>
    <row r="231" spans="1:12" ht="15" thickBot="1" x14ac:dyDescent="0.4">
      <c r="A231" s="5">
        <v>1380</v>
      </c>
      <c r="B231" s="5" t="s">
        <v>52</v>
      </c>
      <c r="C231" s="5" t="s">
        <v>43</v>
      </c>
      <c r="D231" s="5" t="s">
        <v>13</v>
      </c>
      <c r="E231" s="5" t="s">
        <v>53</v>
      </c>
      <c r="F231" s="5">
        <v>3</v>
      </c>
      <c r="G231" s="5">
        <v>412</v>
      </c>
      <c r="H231" s="5">
        <v>7</v>
      </c>
      <c r="I231" s="6">
        <v>46128</v>
      </c>
      <c r="J231" s="6">
        <v>46138</v>
      </c>
      <c r="K231" s="10" t="s">
        <v>24</v>
      </c>
      <c r="L231" s="14" t="str">
        <f t="shared" si="3"/>
        <v>Komal-Stationery</v>
      </c>
    </row>
    <row r="232" spans="1:12" ht="15" thickBot="1" x14ac:dyDescent="0.4">
      <c r="A232" s="5">
        <v>1308</v>
      </c>
      <c r="B232" s="5" t="s">
        <v>30</v>
      </c>
      <c r="C232" s="5" t="s">
        <v>22</v>
      </c>
      <c r="D232" s="5" t="s">
        <v>34</v>
      </c>
      <c r="E232" s="5" t="s">
        <v>41</v>
      </c>
      <c r="F232" s="5">
        <v>12</v>
      </c>
      <c r="G232" s="5">
        <v>66075</v>
      </c>
      <c r="H232" s="5">
        <v>5</v>
      </c>
      <c r="I232" s="6">
        <v>46129</v>
      </c>
      <c r="J232" s="6">
        <v>46135</v>
      </c>
      <c r="K232" s="10" t="s">
        <v>20</v>
      </c>
      <c r="L232" s="14" t="str">
        <f t="shared" si="3"/>
        <v>Neha-Electronics</v>
      </c>
    </row>
    <row r="233" spans="1:12" ht="15" thickBot="1" x14ac:dyDescent="0.4">
      <c r="A233" s="5">
        <v>1014</v>
      </c>
      <c r="B233" s="5" t="s">
        <v>40</v>
      </c>
      <c r="C233" s="5" t="s">
        <v>17</v>
      </c>
      <c r="D233" s="5" t="s">
        <v>34</v>
      </c>
      <c r="E233" s="5" t="s">
        <v>41</v>
      </c>
      <c r="F233" s="5">
        <v>19</v>
      </c>
      <c r="G233" s="5">
        <v>53683</v>
      </c>
      <c r="H233" s="5">
        <v>12</v>
      </c>
      <c r="I233" s="6">
        <v>46129</v>
      </c>
      <c r="J233" s="6">
        <v>46134</v>
      </c>
      <c r="K233" s="10" t="s">
        <v>29</v>
      </c>
      <c r="L233" s="14" t="str">
        <f t="shared" si="3"/>
        <v>Deepak-Electronics</v>
      </c>
    </row>
    <row r="234" spans="1:12" ht="15" thickBot="1" x14ac:dyDescent="0.4">
      <c r="A234" s="5">
        <v>1071</v>
      </c>
      <c r="B234" s="5" t="s">
        <v>59</v>
      </c>
      <c r="C234" s="5" t="s">
        <v>22</v>
      </c>
      <c r="D234" s="5" t="s">
        <v>34</v>
      </c>
      <c r="E234" s="5" t="s">
        <v>61</v>
      </c>
      <c r="F234" s="5">
        <v>18</v>
      </c>
      <c r="G234" s="5">
        <v>32197</v>
      </c>
      <c r="H234" s="5">
        <v>5</v>
      </c>
      <c r="I234" s="6">
        <v>46129</v>
      </c>
      <c r="J234" s="6">
        <v>46137</v>
      </c>
      <c r="K234" s="10" t="s">
        <v>20</v>
      </c>
      <c r="L234" s="14" t="str">
        <f t="shared" si="3"/>
        <v>Anita-Electronics</v>
      </c>
    </row>
    <row r="235" spans="1:12" ht="15" thickBot="1" x14ac:dyDescent="0.4">
      <c r="A235" s="5">
        <v>1194</v>
      </c>
      <c r="B235" s="5" t="s">
        <v>57</v>
      </c>
      <c r="C235" s="5" t="s">
        <v>43</v>
      </c>
      <c r="D235" s="5" t="s">
        <v>18</v>
      </c>
      <c r="E235" s="5" t="s">
        <v>28</v>
      </c>
      <c r="F235" s="5">
        <v>13</v>
      </c>
      <c r="G235" s="5">
        <v>12856</v>
      </c>
      <c r="H235" s="5">
        <v>15</v>
      </c>
      <c r="I235" s="6">
        <v>46129</v>
      </c>
      <c r="J235" s="6">
        <v>46133</v>
      </c>
      <c r="K235" s="10" t="s">
        <v>51</v>
      </c>
      <c r="L235" s="14" t="str">
        <f t="shared" si="3"/>
        <v>Sara-Furniture</v>
      </c>
    </row>
    <row r="236" spans="1:12" ht="15" thickBot="1" x14ac:dyDescent="0.4">
      <c r="A236" s="5">
        <v>1269</v>
      </c>
      <c r="B236" s="5" t="s">
        <v>52</v>
      </c>
      <c r="C236" s="5" t="s">
        <v>43</v>
      </c>
      <c r="D236" s="5" t="s">
        <v>18</v>
      </c>
      <c r="E236" s="5" t="s">
        <v>19</v>
      </c>
      <c r="F236" s="5">
        <v>14</v>
      </c>
      <c r="G236" s="5">
        <v>5704</v>
      </c>
      <c r="H236" s="5">
        <v>2</v>
      </c>
      <c r="I236" s="6">
        <v>46129</v>
      </c>
      <c r="J236" s="6">
        <v>46131</v>
      </c>
      <c r="K236" s="10" t="s">
        <v>15</v>
      </c>
      <c r="L236" s="14" t="str">
        <f t="shared" si="3"/>
        <v>Komal-Furniture</v>
      </c>
    </row>
    <row r="237" spans="1:12" ht="15" thickBot="1" x14ac:dyDescent="0.4">
      <c r="A237" s="5">
        <v>1267</v>
      </c>
      <c r="B237" s="5" t="s">
        <v>27</v>
      </c>
      <c r="C237" s="5" t="s">
        <v>38</v>
      </c>
      <c r="D237" s="5" t="s">
        <v>13</v>
      </c>
      <c r="E237" s="5" t="s">
        <v>50</v>
      </c>
      <c r="F237" s="5">
        <v>1</v>
      </c>
      <c r="G237" s="5">
        <v>50</v>
      </c>
      <c r="H237" s="5">
        <v>0</v>
      </c>
      <c r="I237" s="6">
        <v>46129</v>
      </c>
      <c r="J237" s="6">
        <v>46138</v>
      </c>
      <c r="K237" s="10" t="s">
        <v>20</v>
      </c>
      <c r="L237" s="14" t="str">
        <f t="shared" si="3"/>
        <v>Arjun-Stationery</v>
      </c>
    </row>
    <row r="238" spans="1:12" ht="15" thickBot="1" x14ac:dyDescent="0.4">
      <c r="A238" s="5">
        <v>1382</v>
      </c>
      <c r="B238" s="5" t="s">
        <v>49</v>
      </c>
      <c r="C238" s="5" t="s">
        <v>33</v>
      </c>
      <c r="D238" s="5" t="s">
        <v>34</v>
      </c>
      <c r="E238" s="5" t="s">
        <v>60</v>
      </c>
      <c r="F238" s="5">
        <v>11</v>
      </c>
      <c r="G238" s="5">
        <v>36198</v>
      </c>
      <c r="H238" s="5">
        <v>0</v>
      </c>
      <c r="I238" s="6">
        <v>46130</v>
      </c>
      <c r="J238" s="6">
        <v>46134</v>
      </c>
      <c r="K238" s="10" t="s">
        <v>15</v>
      </c>
      <c r="L238" s="14" t="str">
        <f t="shared" si="3"/>
        <v>Ajay-Electronics</v>
      </c>
    </row>
    <row r="239" spans="1:12" ht="15" thickBot="1" x14ac:dyDescent="0.4">
      <c r="A239" s="5">
        <v>1263</v>
      </c>
      <c r="B239" s="5" t="s">
        <v>29</v>
      </c>
      <c r="C239" s="5" t="s">
        <v>38</v>
      </c>
      <c r="D239" s="5" t="s">
        <v>18</v>
      </c>
      <c r="E239" s="5" t="s">
        <v>28</v>
      </c>
      <c r="F239" s="5">
        <v>10</v>
      </c>
      <c r="G239" s="5">
        <v>1505</v>
      </c>
      <c r="H239" s="5">
        <v>0</v>
      </c>
      <c r="I239" s="6">
        <v>46130</v>
      </c>
      <c r="J239" s="6">
        <v>46138</v>
      </c>
      <c r="K239" s="10" t="s">
        <v>51</v>
      </c>
      <c r="L239" s="14" t="str">
        <f t="shared" si="3"/>
        <v>Priya-Furniture</v>
      </c>
    </row>
    <row r="240" spans="1:12" ht="15" thickBot="1" x14ac:dyDescent="0.4">
      <c r="A240" s="5">
        <v>1168</v>
      </c>
      <c r="B240" s="5" t="s">
        <v>54</v>
      </c>
      <c r="C240" s="5" t="s">
        <v>12</v>
      </c>
      <c r="D240" s="5" t="s">
        <v>13</v>
      </c>
      <c r="E240" s="5" t="s">
        <v>37</v>
      </c>
      <c r="F240" s="5">
        <v>18</v>
      </c>
      <c r="G240" s="5">
        <v>335</v>
      </c>
      <c r="H240" s="5">
        <v>15</v>
      </c>
      <c r="I240" s="6">
        <v>46130</v>
      </c>
      <c r="J240" s="6">
        <v>46140</v>
      </c>
      <c r="K240" s="10" t="s">
        <v>29</v>
      </c>
      <c r="L240" s="14" t="str">
        <f t="shared" si="3"/>
        <v>Manoj-Stationery</v>
      </c>
    </row>
    <row r="241" spans="1:12" ht="15" thickBot="1" x14ac:dyDescent="0.4">
      <c r="A241" s="5">
        <v>1215</v>
      </c>
      <c r="B241" s="5" t="s">
        <v>27</v>
      </c>
      <c r="C241" s="5" t="s">
        <v>12</v>
      </c>
      <c r="D241" s="5" t="s">
        <v>18</v>
      </c>
      <c r="E241" s="5" t="s">
        <v>28</v>
      </c>
      <c r="F241" s="5">
        <v>6</v>
      </c>
      <c r="G241" s="5">
        <v>1254</v>
      </c>
      <c r="H241" s="5">
        <v>0</v>
      </c>
      <c r="I241" s="6">
        <v>46131</v>
      </c>
      <c r="J241" s="6">
        <v>46136</v>
      </c>
      <c r="K241" s="10" t="s">
        <v>29</v>
      </c>
      <c r="L241" s="14" t="str">
        <f t="shared" si="3"/>
        <v>Arjun-Furniture</v>
      </c>
    </row>
    <row r="242" spans="1:12" ht="15" thickBot="1" x14ac:dyDescent="0.4">
      <c r="A242" s="5">
        <v>1122</v>
      </c>
      <c r="B242" s="5" t="s">
        <v>40</v>
      </c>
      <c r="C242" s="5" t="s">
        <v>22</v>
      </c>
      <c r="D242" s="5" t="s">
        <v>34</v>
      </c>
      <c r="E242" s="5" t="s">
        <v>39</v>
      </c>
      <c r="F242" s="5">
        <v>14</v>
      </c>
      <c r="G242" s="5">
        <v>49990</v>
      </c>
      <c r="H242" s="5">
        <v>10</v>
      </c>
      <c r="I242" s="6">
        <v>46132</v>
      </c>
      <c r="J242" s="6">
        <v>46135</v>
      </c>
      <c r="K242" s="10" t="s">
        <v>29</v>
      </c>
      <c r="L242" s="14" t="str">
        <f t="shared" si="3"/>
        <v>Deepak-Electronics</v>
      </c>
    </row>
    <row r="243" spans="1:12" ht="15" thickBot="1" x14ac:dyDescent="0.4">
      <c r="A243" s="5">
        <v>1342</v>
      </c>
      <c r="B243" s="5" t="s">
        <v>59</v>
      </c>
      <c r="C243" s="5" t="s">
        <v>31</v>
      </c>
      <c r="D243" s="5" t="s">
        <v>34</v>
      </c>
      <c r="E243" s="5" t="s">
        <v>35</v>
      </c>
      <c r="F243" s="5">
        <v>13</v>
      </c>
      <c r="G243" s="5">
        <v>47881</v>
      </c>
      <c r="H243" s="5">
        <v>15</v>
      </c>
      <c r="I243" s="6">
        <v>46132</v>
      </c>
      <c r="J243" s="6">
        <v>46139</v>
      </c>
      <c r="K243" s="10" t="s">
        <v>29</v>
      </c>
      <c r="L243" s="14" t="str">
        <f t="shared" si="3"/>
        <v>Anita-Electronics</v>
      </c>
    </row>
    <row r="244" spans="1:12" ht="15" thickBot="1" x14ac:dyDescent="0.4">
      <c r="A244" s="5">
        <v>1080</v>
      </c>
      <c r="B244" s="5" t="s">
        <v>21</v>
      </c>
      <c r="C244" s="5" t="s">
        <v>22</v>
      </c>
      <c r="D244" s="5" t="s">
        <v>34</v>
      </c>
      <c r="E244" s="5" t="s">
        <v>41</v>
      </c>
      <c r="F244" s="5">
        <v>12</v>
      </c>
      <c r="G244" s="5">
        <v>54161</v>
      </c>
      <c r="H244" s="5">
        <v>15</v>
      </c>
      <c r="I244" s="6">
        <v>46133</v>
      </c>
      <c r="J244" s="6">
        <v>46143</v>
      </c>
      <c r="K244" s="10" t="s">
        <v>24</v>
      </c>
      <c r="L244" s="14" t="str">
        <f t="shared" si="3"/>
        <v>Meera-Electronics</v>
      </c>
    </row>
    <row r="245" spans="1:12" ht="15" thickBot="1" x14ac:dyDescent="0.4">
      <c r="A245" s="5">
        <v>1111</v>
      </c>
      <c r="B245" s="5" t="s">
        <v>47</v>
      </c>
      <c r="C245" s="5" t="s">
        <v>17</v>
      </c>
      <c r="D245" s="5" t="s">
        <v>34</v>
      </c>
      <c r="E245" s="5" t="s">
        <v>35</v>
      </c>
      <c r="F245" s="5">
        <v>5</v>
      </c>
      <c r="G245" s="5">
        <v>49945</v>
      </c>
      <c r="H245" s="5">
        <v>12</v>
      </c>
      <c r="I245" s="6">
        <v>46133</v>
      </c>
      <c r="J245" s="6">
        <v>46141</v>
      </c>
      <c r="K245" s="10" t="s">
        <v>29</v>
      </c>
      <c r="L245" s="14" t="str">
        <f t="shared" si="3"/>
        <v>Yash-Electronics</v>
      </c>
    </row>
    <row r="246" spans="1:12" ht="15" thickBot="1" x14ac:dyDescent="0.4">
      <c r="A246" s="5">
        <v>1056</v>
      </c>
      <c r="B246" s="5" t="s">
        <v>11</v>
      </c>
      <c r="C246" s="5" t="s">
        <v>22</v>
      </c>
      <c r="D246" s="5" t="s">
        <v>18</v>
      </c>
      <c r="E246" s="5" t="s">
        <v>19</v>
      </c>
      <c r="F246" s="5">
        <v>3</v>
      </c>
      <c r="G246" s="5">
        <v>9771</v>
      </c>
      <c r="H246" s="5">
        <v>5</v>
      </c>
      <c r="I246" s="6">
        <v>46133</v>
      </c>
      <c r="J246" s="6">
        <v>46139</v>
      </c>
      <c r="K246" s="10" t="s">
        <v>24</v>
      </c>
      <c r="L246" s="14" t="str">
        <f t="shared" si="3"/>
        <v>Ritesh-Furniture</v>
      </c>
    </row>
    <row r="247" spans="1:12" ht="15" thickBot="1" x14ac:dyDescent="0.4">
      <c r="A247" s="5">
        <v>1357</v>
      </c>
      <c r="B247" s="5" t="s">
        <v>59</v>
      </c>
      <c r="C247" s="5" t="s">
        <v>25</v>
      </c>
      <c r="D247" s="5" t="s">
        <v>13</v>
      </c>
      <c r="E247" s="5" t="s">
        <v>37</v>
      </c>
      <c r="F247" s="5">
        <v>6</v>
      </c>
      <c r="G247" s="5">
        <v>365</v>
      </c>
      <c r="H247" s="5">
        <v>7</v>
      </c>
      <c r="I247" s="6">
        <v>46133</v>
      </c>
      <c r="J247" s="6">
        <v>46140</v>
      </c>
      <c r="K247" s="10" t="s">
        <v>51</v>
      </c>
      <c r="L247" s="14" t="str">
        <f t="shared" si="3"/>
        <v>Anita-Stationery</v>
      </c>
    </row>
    <row r="248" spans="1:12" ht="15" thickBot="1" x14ac:dyDescent="0.4">
      <c r="A248" s="5">
        <v>1125</v>
      </c>
      <c r="B248" s="5" t="s">
        <v>49</v>
      </c>
      <c r="C248" s="5" t="s">
        <v>33</v>
      </c>
      <c r="D248" s="5" t="s">
        <v>13</v>
      </c>
      <c r="E248" s="5" t="s">
        <v>14</v>
      </c>
      <c r="F248" s="5">
        <v>6</v>
      </c>
      <c r="G248" s="5">
        <v>30</v>
      </c>
      <c r="H248" s="5">
        <v>2</v>
      </c>
      <c r="I248" s="6">
        <v>46133</v>
      </c>
      <c r="J248" s="6">
        <v>46138</v>
      </c>
      <c r="K248" s="10" t="s">
        <v>24</v>
      </c>
      <c r="L248" s="14" t="str">
        <f t="shared" si="3"/>
        <v>Ajay-Stationery</v>
      </c>
    </row>
    <row r="249" spans="1:12" ht="15" thickBot="1" x14ac:dyDescent="0.4">
      <c r="A249" s="5">
        <v>1200</v>
      </c>
      <c r="B249" s="5" t="s">
        <v>29</v>
      </c>
      <c r="C249" s="5" t="s">
        <v>31</v>
      </c>
      <c r="D249" s="5" t="s">
        <v>34</v>
      </c>
      <c r="E249" s="5" t="s">
        <v>45</v>
      </c>
      <c r="F249" s="5">
        <v>13</v>
      </c>
      <c r="G249" s="5">
        <v>69422</v>
      </c>
      <c r="H249" s="5">
        <v>0</v>
      </c>
      <c r="I249" s="6">
        <v>46134</v>
      </c>
      <c r="J249" s="6">
        <v>46143</v>
      </c>
      <c r="K249" s="10" t="s">
        <v>29</v>
      </c>
      <c r="L249" s="14" t="str">
        <f t="shared" si="3"/>
        <v>Priya-Electronics</v>
      </c>
    </row>
    <row r="250" spans="1:12" ht="15" thickBot="1" x14ac:dyDescent="0.4">
      <c r="A250" s="5">
        <v>1270</v>
      </c>
      <c r="B250" s="5" t="s">
        <v>49</v>
      </c>
      <c r="C250" s="5" t="s">
        <v>43</v>
      </c>
      <c r="D250" s="5" t="s">
        <v>34</v>
      </c>
      <c r="E250" s="5" t="s">
        <v>35</v>
      </c>
      <c r="F250" s="5">
        <v>16</v>
      </c>
      <c r="G250" s="5">
        <v>62941</v>
      </c>
      <c r="H250" s="5">
        <v>7</v>
      </c>
      <c r="I250" s="6">
        <v>46135</v>
      </c>
      <c r="J250" s="6">
        <v>46141</v>
      </c>
      <c r="K250" s="10" t="s">
        <v>51</v>
      </c>
      <c r="L250" s="14" t="str">
        <f t="shared" si="3"/>
        <v>Ajay-Electronics</v>
      </c>
    </row>
    <row r="251" spans="1:12" ht="15" thickBot="1" x14ac:dyDescent="0.4">
      <c r="A251" s="5">
        <v>1216</v>
      </c>
      <c r="B251" s="5" t="s">
        <v>40</v>
      </c>
      <c r="C251" s="5" t="s">
        <v>22</v>
      </c>
      <c r="D251" s="5" t="s">
        <v>34</v>
      </c>
      <c r="E251" s="5" t="s">
        <v>45</v>
      </c>
      <c r="F251" s="5">
        <v>10</v>
      </c>
      <c r="G251" s="5">
        <v>56709</v>
      </c>
      <c r="H251" s="5">
        <v>15</v>
      </c>
      <c r="I251" s="6">
        <v>46135</v>
      </c>
      <c r="J251" s="6">
        <v>46139</v>
      </c>
      <c r="K251" s="10" t="s">
        <v>29</v>
      </c>
      <c r="L251" s="14" t="str">
        <f t="shared" si="3"/>
        <v>Deepak-Electronics</v>
      </c>
    </row>
    <row r="252" spans="1:12" ht="15" thickBot="1" x14ac:dyDescent="0.4">
      <c r="A252" s="5">
        <v>1091</v>
      </c>
      <c r="B252" s="5" t="s">
        <v>55</v>
      </c>
      <c r="C252" s="5" t="s">
        <v>17</v>
      </c>
      <c r="D252" s="5" t="s">
        <v>13</v>
      </c>
      <c r="E252" s="5" t="s">
        <v>53</v>
      </c>
      <c r="F252" s="5">
        <v>2</v>
      </c>
      <c r="G252" s="5">
        <v>305</v>
      </c>
      <c r="H252" s="5">
        <v>0</v>
      </c>
      <c r="I252" s="6">
        <v>46136</v>
      </c>
      <c r="J252" s="6">
        <v>46144</v>
      </c>
      <c r="K252" s="10" t="s">
        <v>15</v>
      </c>
      <c r="L252" s="14" t="str">
        <f t="shared" si="3"/>
        <v>Sneha-Stationery</v>
      </c>
    </row>
    <row r="253" spans="1:12" ht="15" thickBot="1" x14ac:dyDescent="0.4">
      <c r="A253" s="5">
        <v>1016</v>
      </c>
      <c r="B253" s="5" t="s">
        <v>32</v>
      </c>
      <c r="C253" s="5" t="s">
        <v>33</v>
      </c>
      <c r="D253" s="5" t="s">
        <v>34</v>
      </c>
      <c r="E253" s="5" t="s">
        <v>45</v>
      </c>
      <c r="F253" s="5">
        <v>16</v>
      </c>
      <c r="G253" s="5">
        <v>30234</v>
      </c>
      <c r="H253" s="5">
        <v>15</v>
      </c>
      <c r="I253" s="6">
        <v>46137</v>
      </c>
      <c r="J253" s="6">
        <v>46140</v>
      </c>
      <c r="K253" s="10" t="s">
        <v>24</v>
      </c>
      <c r="L253" s="14" t="str">
        <f t="shared" si="3"/>
        <v>Asha-Electronics</v>
      </c>
    </row>
    <row r="254" spans="1:12" ht="15" thickBot="1" x14ac:dyDescent="0.4">
      <c r="A254" s="5">
        <v>1237</v>
      </c>
      <c r="B254" s="5" t="s">
        <v>46</v>
      </c>
      <c r="C254" s="5" t="s">
        <v>38</v>
      </c>
      <c r="D254" s="5" t="s">
        <v>18</v>
      </c>
      <c r="E254" s="5" t="s">
        <v>56</v>
      </c>
      <c r="F254" s="5">
        <v>8</v>
      </c>
      <c r="G254" s="5">
        <v>12123</v>
      </c>
      <c r="H254" s="5">
        <v>2</v>
      </c>
      <c r="I254" s="6">
        <v>46137</v>
      </c>
      <c r="J254" s="6">
        <v>46145</v>
      </c>
      <c r="K254" s="10" t="s">
        <v>15</v>
      </c>
      <c r="L254" s="14" t="str">
        <f t="shared" si="3"/>
        <v>Kiran-Furniture</v>
      </c>
    </row>
    <row r="255" spans="1:12" ht="15" thickBot="1" x14ac:dyDescent="0.4">
      <c r="A255" s="5">
        <v>1258</v>
      </c>
      <c r="B255" s="5" t="s">
        <v>32</v>
      </c>
      <c r="C255" s="5" t="s">
        <v>31</v>
      </c>
      <c r="D255" s="5" t="s">
        <v>34</v>
      </c>
      <c r="E255" s="5" t="s">
        <v>60</v>
      </c>
      <c r="F255" s="5">
        <v>1</v>
      </c>
      <c r="G255" s="5">
        <v>10600</v>
      </c>
      <c r="H255" s="5">
        <v>5</v>
      </c>
      <c r="I255" s="6">
        <v>46137</v>
      </c>
      <c r="J255" s="6">
        <v>46138</v>
      </c>
      <c r="K255" s="10" t="s">
        <v>29</v>
      </c>
      <c r="L255" s="14" t="str">
        <f t="shared" si="3"/>
        <v>Asha-Electronics</v>
      </c>
    </row>
    <row r="256" spans="1:12" ht="15" thickBot="1" x14ac:dyDescent="0.4">
      <c r="A256" s="5">
        <v>1188</v>
      </c>
      <c r="B256" s="5" t="s">
        <v>29</v>
      </c>
      <c r="C256" s="5" t="s">
        <v>22</v>
      </c>
      <c r="D256" s="5" t="s">
        <v>18</v>
      </c>
      <c r="E256" s="5" t="s">
        <v>56</v>
      </c>
      <c r="F256" s="5">
        <v>6</v>
      </c>
      <c r="G256" s="5">
        <v>10368</v>
      </c>
      <c r="H256" s="5">
        <v>7</v>
      </c>
      <c r="I256" s="6">
        <v>46137</v>
      </c>
      <c r="J256" s="6">
        <v>46142</v>
      </c>
      <c r="K256" s="10" t="s">
        <v>15</v>
      </c>
      <c r="L256" s="14" t="str">
        <f t="shared" si="3"/>
        <v>Priya-Furniture</v>
      </c>
    </row>
    <row r="257" spans="1:12" ht="15" thickBot="1" x14ac:dyDescent="0.4">
      <c r="A257" s="5">
        <v>1291</v>
      </c>
      <c r="B257" s="5" t="s">
        <v>21</v>
      </c>
      <c r="C257" s="5" t="s">
        <v>17</v>
      </c>
      <c r="D257" s="5" t="s">
        <v>13</v>
      </c>
      <c r="E257" s="5" t="s">
        <v>36</v>
      </c>
      <c r="F257" s="5">
        <v>17</v>
      </c>
      <c r="G257" s="5">
        <v>415</v>
      </c>
      <c r="H257" s="5">
        <v>5</v>
      </c>
      <c r="I257" s="6">
        <v>46137</v>
      </c>
      <c r="J257" s="6">
        <v>46141</v>
      </c>
      <c r="K257" s="10" t="s">
        <v>20</v>
      </c>
      <c r="L257" s="14" t="str">
        <f t="shared" si="3"/>
        <v>Meera-Stationery</v>
      </c>
    </row>
    <row r="258" spans="1:12" ht="15" thickBot="1" x14ac:dyDescent="0.4">
      <c r="A258" s="5">
        <v>1144</v>
      </c>
      <c r="B258" s="5" t="s">
        <v>42</v>
      </c>
      <c r="C258" s="5" t="s">
        <v>25</v>
      </c>
      <c r="D258" s="5" t="s">
        <v>13</v>
      </c>
      <c r="E258" s="5" t="s">
        <v>14</v>
      </c>
      <c r="F258" s="5">
        <v>16</v>
      </c>
      <c r="G258" s="5">
        <v>219</v>
      </c>
      <c r="H258" s="5">
        <v>7</v>
      </c>
      <c r="I258" s="6">
        <v>46138</v>
      </c>
      <c r="J258" s="6">
        <v>46140</v>
      </c>
      <c r="K258" s="10" t="s">
        <v>20</v>
      </c>
      <c r="L258" s="14" t="str">
        <f t="shared" si="3"/>
        <v>Nisha-Stationery</v>
      </c>
    </row>
    <row r="259" spans="1:12" ht="15" thickBot="1" x14ac:dyDescent="0.4">
      <c r="A259" s="5">
        <v>1214</v>
      </c>
      <c r="B259" s="5" t="s">
        <v>42</v>
      </c>
      <c r="C259" s="5" t="s">
        <v>25</v>
      </c>
      <c r="D259" s="5" t="s">
        <v>18</v>
      </c>
      <c r="E259" s="5" t="s">
        <v>28</v>
      </c>
      <c r="F259" s="5">
        <v>19</v>
      </c>
      <c r="G259" s="5">
        <v>13832</v>
      </c>
      <c r="H259" s="5">
        <v>0</v>
      </c>
      <c r="I259" s="6">
        <v>46140</v>
      </c>
      <c r="J259" s="6">
        <v>46145</v>
      </c>
      <c r="K259" s="10" t="s">
        <v>51</v>
      </c>
      <c r="L259" s="14" t="str">
        <f t="shared" ref="L259:L322" si="4">_xlfn.CONCAT(B259,"-",D259)</f>
        <v>Nisha-Furniture</v>
      </c>
    </row>
    <row r="260" spans="1:12" ht="15" thickBot="1" x14ac:dyDescent="0.4">
      <c r="A260" s="5">
        <v>1346</v>
      </c>
      <c r="B260" s="5" t="s">
        <v>32</v>
      </c>
      <c r="C260" s="5" t="s">
        <v>22</v>
      </c>
      <c r="D260" s="5" t="s">
        <v>18</v>
      </c>
      <c r="E260" s="5" t="s">
        <v>19</v>
      </c>
      <c r="F260" s="5">
        <v>16</v>
      </c>
      <c r="G260" s="5">
        <v>6910</v>
      </c>
      <c r="H260" s="5">
        <v>15</v>
      </c>
      <c r="I260" s="6">
        <v>46140</v>
      </c>
      <c r="J260" s="6">
        <v>46142</v>
      </c>
      <c r="K260" s="10" t="s">
        <v>29</v>
      </c>
      <c r="L260" s="14" t="str">
        <f t="shared" si="4"/>
        <v>Asha-Furniture</v>
      </c>
    </row>
    <row r="261" spans="1:12" ht="15" thickBot="1" x14ac:dyDescent="0.4">
      <c r="A261" s="5">
        <v>1101</v>
      </c>
      <c r="B261" s="5" t="s">
        <v>27</v>
      </c>
      <c r="C261" s="5" t="s">
        <v>22</v>
      </c>
      <c r="D261" s="5" t="s">
        <v>34</v>
      </c>
      <c r="E261" s="5" t="s">
        <v>61</v>
      </c>
      <c r="F261" s="5">
        <v>9</v>
      </c>
      <c r="G261" s="5">
        <v>37361</v>
      </c>
      <c r="H261" s="5">
        <v>10</v>
      </c>
      <c r="I261" s="6">
        <v>46141</v>
      </c>
      <c r="J261" s="6">
        <v>46142</v>
      </c>
      <c r="K261" s="10" t="s">
        <v>24</v>
      </c>
      <c r="L261" s="14" t="str">
        <f t="shared" si="4"/>
        <v>Arjun-Electronics</v>
      </c>
    </row>
    <row r="262" spans="1:12" ht="15" thickBot="1" x14ac:dyDescent="0.4">
      <c r="A262" s="5">
        <v>1322</v>
      </c>
      <c r="B262" s="5" t="s">
        <v>27</v>
      </c>
      <c r="C262" s="5" t="s">
        <v>12</v>
      </c>
      <c r="D262" s="5" t="s">
        <v>18</v>
      </c>
      <c r="E262" s="5" t="s">
        <v>23</v>
      </c>
      <c r="F262" s="5">
        <v>14</v>
      </c>
      <c r="G262" s="5">
        <v>9081</v>
      </c>
      <c r="H262" s="5">
        <v>15</v>
      </c>
      <c r="I262" s="6">
        <v>46141</v>
      </c>
      <c r="J262" s="6">
        <v>46146</v>
      </c>
      <c r="K262" s="10" t="s">
        <v>15</v>
      </c>
      <c r="L262" s="14" t="str">
        <f t="shared" si="4"/>
        <v>Arjun-Furniture</v>
      </c>
    </row>
    <row r="263" spans="1:12" ht="15" thickBot="1" x14ac:dyDescent="0.4">
      <c r="A263" s="5">
        <v>1361</v>
      </c>
      <c r="B263" s="5" t="s">
        <v>42</v>
      </c>
      <c r="C263" s="5" t="s">
        <v>17</v>
      </c>
      <c r="D263" s="5" t="s">
        <v>18</v>
      </c>
      <c r="E263" s="5" t="s">
        <v>23</v>
      </c>
      <c r="F263" s="5">
        <v>2</v>
      </c>
      <c r="G263" s="5">
        <v>1822</v>
      </c>
      <c r="H263" s="5">
        <v>5</v>
      </c>
      <c r="I263" s="6">
        <v>46141</v>
      </c>
      <c r="J263" s="6">
        <v>46145</v>
      </c>
      <c r="K263" s="10" t="s">
        <v>20</v>
      </c>
      <c r="L263" s="14" t="str">
        <f t="shared" si="4"/>
        <v>Nisha-Furniture</v>
      </c>
    </row>
    <row r="264" spans="1:12" ht="15" thickBot="1" x14ac:dyDescent="0.4">
      <c r="A264" s="5">
        <v>1254</v>
      </c>
      <c r="B264" s="5" t="s">
        <v>52</v>
      </c>
      <c r="C264" s="5" t="s">
        <v>22</v>
      </c>
      <c r="D264" s="5" t="s">
        <v>13</v>
      </c>
      <c r="E264" s="5" t="s">
        <v>50</v>
      </c>
      <c r="F264" s="5">
        <v>18</v>
      </c>
      <c r="G264" s="5">
        <v>447</v>
      </c>
      <c r="H264" s="5">
        <v>15</v>
      </c>
      <c r="I264" s="6">
        <v>46141</v>
      </c>
      <c r="J264" s="6">
        <v>46149</v>
      </c>
      <c r="K264" s="10" t="s">
        <v>24</v>
      </c>
      <c r="L264" s="14" t="str">
        <f t="shared" si="4"/>
        <v>Komal-Stationery</v>
      </c>
    </row>
    <row r="265" spans="1:12" ht="15" thickBot="1" x14ac:dyDescent="0.4">
      <c r="A265" s="5">
        <v>1160</v>
      </c>
      <c r="B265" s="5" t="s">
        <v>59</v>
      </c>
      <c r="C265" s="5" t="s">
        <v>22</v>
      </c>
      <c r="D265" s="5" t="s">
        <v>34</v>
      </c>
      <c r="E265" s="5" t="s">
        <v>39</v>
      </c>
      <c r="F265" s="5">
        <v>7</v>
      </c>
      <c r="G265" s="5">
        <v>53986</v>
      </c>
      <c r="H265" s="5">
        <v>10</v>
      </c>
      <c r="I265" s="6">
        <v>46142</v>
      </c>
      <c r="J265" s="6">
        <v>46147</v>
      </c>
      <c r="K265" s="10" t="s">
        <v>51</v>
      </c>
      <c r="L265" s="14" t="str">
        <f t="shared" si="4"/>
        <v>Anita-Electronics</v>
      </c>
    </row>
    <row r="266" spans="1:12" ht="15" thickBot="1" x14ac:dyDescent="0.4">
      <c r="A266" s="5">
        <v>1240</v>
      </c>
      <c r="B266" s="5" t="s">
        <v>55</v>
      </c>
      <c r="C266" s="5" t="s">
        <v>33</v>
      </c>
      <c r="D266" s="5" t="s">
        <v>18</v>
      </c>
      <c r="E266" s="5" t="s">
        <v>23</v>
      </c>
      <c r="F266" s="5">
        <v>2</v>
      </c>
      <c r="G266" s="5">
        <v>5475</v>
      </c>
      <c r="H266" s="5">
        <v>2</v>
      </c>
      <c r="I266" s="6">
        <v>46142</v>
      </c>
      <c r="J266" s="6">
        <v>46146</v>
      </c>
      <c r="K266" s="10" t="s">
        <v>29</v>
      </c>
      <c r="L266" s="14" t="str">
        <f t="shared" si="4"/>
        <v>Sneha-Furniture</v>
      </c>
    </row>
    <row r="267" spans="1:12" ht="15" thickBot="1" x14ac:dyDescent="0.4">
      <c r="A267" s="5">
        <v>1339</v>
      </c>
      <c r="B267" s="5" t="s">
        <v>32</v>
      </c>
      <c r="C267" s="5" t="s">
        <v>25</v>
      </c>
      <c r="D267" s="5" t="s">
        <v>13</v>
      </c>
      <c r="E267" s="5" t="s">
        <v>14</v>
      </c>
      <c r="F267" s="5">
        <v>6</v>
      </c>
      <c r="G267" s="5">
        <v>302</v>
      </c>
      <c r="H267" s="5">
        <v>5</v>
      </c>
      <c r="I267" s="6">
        <v>46142</v>
      </c>
      <c r="J267" s="6">
        <v>46148</v>
      </c>
      <c r="K267" s="10" t="s">
        <v>20</v>
      </c>
      <c r="L267" s="14" t="str">
        <f t="shared" si="4"/>
        <v>Asha-Stationery</v>
      </c>
    </row>
    <row r="268" spans="1:12" ht="15" thickBot="1" x14ac:dyDescent="0.4">
      <c r="A268" s="5">
        <v>1150</v>
      </c>
      <c r="B268" s="5" t="s">
        <v>42</v>
      </c>
      <c r="C268" s="5" t="s">
        <v>12</v>
      </c>
      <c r="D268" s="5" t="s">
        <v>18</v>
      </c>
      <c r="E268" s="5" t="s">
        <v>56</v>
      </c>
      <c r="F268" s="5">
        <v>10</v>
      </c>
      <c r="G268" s="5">
        <v>5323</v>
      </c>
      <c r="H268" s="5">
        <v>7</v>
      </c>
      <c r="I268" s="6">
        <v>46143</v>
      </c>
      <c r="J268" s="6">
        <v>46153</v>
      </c>
      <c r="K268" s="10" t="s">
        <v>24</v>
      </c>
      <c r="L268" s="14" t="str">
        <f t="shared" si="4"/>
        <v>Nisha-Furniture</v>
      </c>
    </row>
    <row r="269" spans="1:12" ht="15" thickBot="1" x14ac:dyDescent="0.4">
      <c r="A269" s="5">
        <v>1218</v>
      </c>
      <c r="B269" s="5" t="s">
        <v>55</v>
      </c>
      <c r="C269" s="5" t="s">
        <v>38</v>
      </c>
      <c r="D269" s="5" t="s">
        <v>13</v>
      </c>
      <c r="E269" s="5" t="s">
        <v>14</v>
      </c>
      <c r="F269" s="5">
        <v>1</v>
      </c>
      <c r="G269" s="5">
        <v>134</v>
      </c>
      <c r="H269" s="5">
        <v>10</v>
      </c>
      <c r="I269" s="6">
        <v>46143</v>
      </c>
      <c r="J269" s="6">
        <v>46151</v>
      </c>
      <c r="K269" s="10" t="s">
        <v>51</v>
      </c>
      <c r="L269" s="14" t="str">
        <f t="shared" si="4"/>
        <v>Sneha-Stationery</v>
      </c>
    </row>
    <row r="270" spans="1:12" ht="15" thickBot="1" x14ac:dyDescent="0.4">
      <c r="A270" s="5">
        <v>1021</v>
      </c>
      <c r="B270" s="5" t="s">
        <v>48</v>
      </c>
      <c r="C270" s="5" t="s">
        <v>43</v>
      </c>
      <c r="D270" s="5" t="s">
        <v>13</v>
      </c>
      <c r="E270" s="5" t="s">
        <v>14</v>
      </c>
      <c r="F270" s="5">
        <v>3</v>
      </c>
      <c r="G270" s="5">
        <v>484</v>
      </c>
      <c r="H270" s="5">
        <v>2</v>
      </c>
      <c r="I270" s="6">
        <v>46144</v>
      </c>
      <c r="J270" s="6">
        <v>46148</v>
      </c>
      <c r="K270" s="10" t="s">
        <v>24</v>
      </c>
      <c r="L270" s="14" t="str">
        <f t="shared" si="4"/>
        <v>Nitin-Stationery</v>
      </c>
    </row>
    <row r="271" spans="1:12" ht="15" thickBot="1" x14ac:dyDescent="0.4">
      <c r="A271" s="5">
        <v>1184</v>
      </c>
      <c r="B271" s="5" t="s">
        <v>40</v>
      </c>
      <c r="C271" s="5" t="s">
        <v>31</v>
      </c>
      <c r="D271" s="5" t="s">
        <v>34</v>
      </c>
      <c r="E271" s="5" t="s">
        <v>39</v>
      </c>
      <c r="F271" s="5">
        <v>12</v>
      </c>
      <c r="G271" s="5">
        <v>50517</v>
      </c>
      <c r="H271" s="5">
        <v>15</v>
      </c>
      <c r="I271" s="6">
        <v>46145</v>
      </c>
      <c r="J271" s="6">
        <v>46153</v>
      </c>
      <c r="K271" s="10" t="s">
        <v>29</v>
      </c>
      <c r="L271" s="14" t="str">
        <f t="shared" si="4"/>
        <v>Deepak-Electronics</v>
      </c>
    </row>
    <row r="272" spans="1:12" ht="15" thickBot="1" x14ac:dyDescent="0.4">
      <c r="A272" s="5">
        <v>1333</v>
      </c>
      <c r="B272" s="5" t="s">
        <v>29</v>
      </c>
      <c r="C272" s="5" t="s">
        <v>38</v>
      </c>
      <c r="D272" s="5" t="s">
        <v>13</v>
      </c>
      <c r="E272" s="5" t="s">
        <v>53</v>
      </c>
      <c r="F272" s="5">
        <v>20</v>
      </c>
      <c r="G272" s="5">
        <v>416</v>
      </c>
      <c r="H272" s="5">
        <v>12</v>
      </c>
      <c r="I272" s="6">
        <v>46145</v>
      </c>
      <c r="J272" s="6">
        <v>46146</v>
      </c>
      <c r="K272" s="10" t="s">
        <v>51</v>
      </c>
      <c r="L272" s="14" t="str">
        <f t="shared" si="4"/>
        <v>Priya-Stationery</v>
      </c>
    </row>
    <row r="273" spans="1:12" ht="15" thickBot="1" x14ac:dyDescent="0.4">
      <c r="A273" s="5">
        <v>1085</v>
      </c>
      <c r="B273" s="5" t="s">
        <v>32</v>
      </c>
      <c r="C273" s="5" t="s">
        <v>38</v>
      </c>
      <c r="D273" s="5" t="s">
        <v>34</v>
      </c>
      <c r="E273" s="5" t="s">
        <v>60</v>
      </c>
      <c r="F273" s="5">
        <v>19</v>
      </c>
      <c r="G273" s="5">
        <v>45307</v>
      </c>
      <c r="H273" s="5">
        <v>12</v>
      </c>
      <c r="I273" s="6">
        <v>46146</v>
      </c>
      <c r="J273" s="6">
        <v>46150</v>
      </c>
      <c r="K273" s="10" t="s">
        <v>24</v>
      </c>
      <c r="L273" s="14" t="str">
        <f t="shared" si="4"/>
        <v>Asha-Electronics</v>
      </c>
    </row>
    <row r="274" spans="1:12" ht="15" thickBot="1" x14ac:dyDescent="0.4">
      <c r="A274" s="5">
        <v>1305</v>
      </c>
      <c r="B274" s="5" t="s">
        <v>58</v>
      </c>
      <c r="C274" s="5" t="s">
        <v>31</v>
      </c>
      <c r="D274" s="5" t="s">
        <v>34</v>
      </c>
      <c r="E274" s="5" t="s">
        <v>60</v>
      </c>
      <c r="F274" s="5">
        <v>20</v>
      </c>
      <c r="G274" s="5">
        <v>31406</v>
      </c>
      <c r="H274" s="5">
        <v>15</v>
      </c>
      <c r="I274" s="6">
        <v>46146</v>
      </c>
      <c r="J274" s="6">
        <v>46154</v>
      </c>
      <c r="K274" s="10" t="s">
        <v>51</v>
      </c>
      <c r="L274" s="14" t="str">
        <f t="shared" si="4"/>
        <v>Rohan-Electronics</v>
      </c>
    </row>
    <row r="275" spans="1:12" ht="15" thickBot="1" x14ac:dyDescent="0.4">
      <c r="A275" s="5">
        <v>1360</v>
      </c>
      <c r="B275" s="5" t="s">
        <v>11</v>
      </c>
      <c r="C275" s="5" t="s">
        <v>43</v>
      </c>
      <c r="D275" s="5" t="s">
        <v>18</v>
      </c>
      <c r="E275" s="5" t="s">
        <v>23</v>
      </c>
      <c r="F275" s="5">
        <v>19</v>
      </c>
      <c r="G275" s="5">
        <v>6681</v>
      </c>
      <c r="H275" s="5">
        <v>2</v>
      </c>
      <c r="I275" s="6">
        <v>46146</v>
      </c>
      <c r="J275" s="6">
        <v>46150</v>
      </c>
      <c r="K275" s="10" t="s">
        <v>15</v>
      </c>
      <c r="L275" s="14" t="str">
        <f t="shared" si="4"/>
        <v>Ritesh-Furniture</v>
      </c>
    </row>
    <row r="276" spans="1:12" ht="15" thickBot="1" x14ac:dyDescent="0.4">
      <c r="A276" s="5">
        <v>1117</v>
      </c>
      <c r="B276" s="5" t="s">
        <v>55</v>
      </c>
      <c r="C276" s="5" t="s">
        <v>43</v>
      </c>
      <c r="D276" s="5" t="s">
        <v>34</v>
      </c>
      <c r="E276" s="5" t="s">
        <v>39</v>
      </c>
      <c r="F276" s="5">
        <v>16</v>
      </c>
      <c r="G276" s="5">
        <v>33162</v>
      </c>
      <c r="H276" s="5">
        <v>7</v>
      </c>
      <c r="I276" s="6">
        <v>46147</v>
      </c>
      <c r="J276" s="6">
        <v>46155</v>
      </c>
      <c r="K276" s="10" t="s">
        <v>29</v>
      </c>
      <c r="L276" s="14" t="str">
        <f t="shared" si="4"/>
        <v>Sneha-Electronics</v>
      </c>
    </row>
    <row r="277" spans="1:12" ht="15" thickBot="1" x14ac:dyDescent="0.4">
      <c r="A277" s="5">
        <v>1063</v>
      </c>
      <c r="B277" s="5" t="s">
        <v>54</v>
      </c>
      <c r="C277" s="5" t="s">
        <v>22</v>
      </c>
      <c r="D277" s="5" t="s">
        <v>34</v>
      </c>
      <c r="E277" s="5" t="s">
        <v>45</v>
      </c>
      <c r="F277" s="5">
        <v>7</v>
      </c>
      <c r="G277" s="5">
        <v>66744</v>
      </c>
      <c r="H277" s="5">
        <v>7</v>
      </c>
      <c r="I277" s="6">
        <v>46148</v>
      </c>
      <c r="J277" s="6">
        <v>46155</v>
      </c>
      <c r="K277" s="10" t="s">
        <v>15</v>
      </c>
      <c r="L277" s="14" t="str">
        <f t="shared" si="4"/>
        <v>Manoj-Electronics</v>
      </c>
    </row>
    <row r="278" spans="1:12" ht="15" thickBot="1" x14ac:dyDescent="0.4">
      <c r="A278" s="5">
        <v>1134</v>
      </c>
      <c r="B278" s="5" t="s">
        <v>57</v>
      </c>
      <c r="C278" s="5" t="s">
        <v>31</v>
      </c>
      <c r="D278" s="5" t="s">
        <v>34</v>
      </c>
      <c r="E278" s="5" t="s">
        <v>61</v>
      </c>
      <c r="F278" s="5">
        <v>10</v>
      </c>
      <c r="G278" s="5">
        <v>29217</v>
      </c>
      <c r="H278" s="5">
        <v>15</v>
      </c>
      <c r="I278" s="6">
        <v>46148</v>
      </c>
      <c r="J278" s="6">
        <v>46150</v>
      </c>
      <c r="K278" s="10" t="s">
        <v>24</v>
      </c>
      <c r="L278" s="14" t="str">
        <f t="shared" si="4"/>
        <v>Sara-Electronics</v>
      </c>
    </row>
    <row r="279" spans="1:12" ht="15" thickBot="1" x14ac:dyDescent="0.4">
      <c r="A279" s="5">
        <v>1312</v>
      </c>
      <c r="B279" s="5" t="s">
        <v>57</v>
      </c>
      <c r="C279" s="5" t="s">
        <v>22</v>
      </c>
      <c r="D279" s="5" t="s">
        <v>18</v>
      </c>
      <c r="E279" s="5" t="s">
        <v>56</v>
      </c>
      <c r="F279" s="5">
        <v>20</v>
      </c>
      <c r="G279" s="5">
        <v>3274</v>
      </c>
      <c r="H279" s="5">
        <v>2</v>
      </c>
      <c r="I279" s="6">
        <v>46148</v>
      </c>
      <c r="J279" s="6">
        <v>46156</v>
      </c>
      <c r="K279" s="10" t="s">
        <v>24</v>
      </c>
      <c r="L279" s="14" t="str">
        <f t="shared" si="4"/>
        <v>Sara-Furniture</v>
      </c>
    </row>
    <row r="280" spans="1:12" ht="15" thickBot="1" x14ac:dyDescent="0.4">
      <c r="A280" s="5">
        <v>1191</v>
      </c>
      <c r="B280" s="5" t="s">
        <v>52</v>
      </c>
      <c r="C280" s="5" t="s">
        <v>33</v>
      </c>
      <c r="D280" s="5" t="s">
        <v>18</v>
      </c>
      <c r="E280" s="5" t="s">
        <v>56</v>
      </c>
      <c r="F280" s="5">
        <v>9</v>
      </c>
      <c r="G280" s="5">
        <v>8631</v>
      </c>
      <c r="H280" s="5">
        <v>10</v>
      </c>
      <c r="I280" s="6">
        <v>46149</v>
      </c>
      <c r="J280" s="6">
        <v>46156</v>
      </c>
      <c r="K280" s="10" t="s">
        <v>20</v>
      </c>
      <c r="L280" s="14" t="str">
        <f t="shared" si="4"/>
        <v>Komal-Furniture</v>
      </c>
    </row>
    <row r="281" spans="1:12" ht="15" thickBot="1" x14ac:dyDescent="0.4">
      <c r="A281" s="5">
        <v>1115</v>
      </c>
      <c r="B281" s="5" t="s">
        <v>59</v>
      </c>
      <c r="C281" s="5" t="s">
        <v>43</v>
      </c>
      <c r="D281" s="5" t="s">
        <v>13</v>
      </c>
      <c r="E281" s="5" t="s">
        <v>50</v>
      </c>
      <c r="F281" s="5">
        <v>9</v>
      </c>
      <c r="G281" s="5">
        <v>303</v>
      </c>
      <c r="H281" s="5">
        <v>10</v>
      </c>
      <c r="I281" s="6">
        <v>46149</v>
      </c>
      <c r="J281" s="6">
        <v>46157</v>
      </c>
      <c r="K281" s="10" t="s">
        <v>29</v>
      </c>
      <c r="L281" s="14" t="str">
        <f t="shared" si="4"/>
        <v>Anita-Stationery</v>
      </c>
    </row>
    <row r="282" spans="1:12" ht="15" thickBot="1" x14ac:dyDescent="0.4">
      <c r="A282" s="5">
        <v>1327</v>
      </c>
      <c r="B282" s="5" t="s">
        <v>48</v>
      </c>
      <c r="C282" s="5" t="s">
        <v>12</v>
      </c>
      <c r="D282" s="5" t="s">
        <v>13</v>
      </c>
      <c r="E282" s="5" t="s">
        <v>53</v>
      </c>
      <c r="F282" s="5">
        <v>15</v>
      </c>
      <c r="G282" s="5">
        <v>449</v>
      </c>
      <c r="H282" s="5">
        <v>5</v>
      </c>
      <c r="I282" s="6">
        <v>46152</v>
      </c>
      <c r="J282" s="6">
        <v>46153</v>
      </c>
      <c r="K282" s="10" t="s">
        <v>15</v>
      </c>
      <c r="L282" s="14" t="str">
        <f t="shared" si="4"/>
        <v>Nitin-Stationery</v>
      </c>
    </row>
    <row r="283" spans="1:12" ht="15" thickBot="1" x14ac:dyDescent="0.4">
      <c r="A283" s="5">
        <v>1046</v>
      </c>
      <c r="B283" s="5" t="s">
        <v>57</v>
      </c>
      <c r="C283" s="5" t="s">
        <v>38</v>
      </c>
      <c r="D283" s="5" t="s">
        <v>34</v>
      </c>
      <c r="E283" s="5" t="s">
        <v>45</v>
      </c>
      <c r="F283" s="5">
        <v>3</v>
      </c>
      <c r="G283" s="5">
        <v>19443</v>
      </c>
      <c r="H283" s="5">
        <v>10</v>
      </c>
      <c r="I283" s="6">
        <v>46153</v>
      </c>
      <c r="J283" s="6">
        <v>46158</v>
      </c>
      <c r="K283" s="10" t="s">
        <v>29</v>
      </c>
      <c r="L283" s="14" t="str">
        <f t="shared" si="4"/>
        <v>Sara-Electronics</v>
      </c>
    </row>
    <row r="284" spans="1:12" ht="15" thickBot="1" x14ac:dyDescent="0.4">
      <c r="A284" s="5">
        <v>1185</v>
      </c>
      <c r="B284" s="5" t="s">
        <v>58</v>
      </c>
      <c r="C284" s="5" t="s">
        <v>22</v>
      </c>
      <c r="D284" s="5" t="s">
        <v>34</v>
      </c>
      <c r="E284" s="5" t="s">
        <v>60</v>
      </c>
      <c r="F284" s="5">
        <v>16</v>
      </c>
      <c r="G284" s="5">
        <v>15536</v>
      </c>
      <c r="H284" s="5">
        <v>2</v>
      </c>
      <c r="I284" s="6">
        <v>46153</v>
      </c>
      <c r="J284" s="6">
        <v>46156</v>
      </c>
      <c r="K284" s="10" t="s">
        <v>15</v>
      </c>
      <c r="L284" s="14" t="str">
        <f t="shared" si="4"/>
        <v>Rohan-Electronics</v>
      </c>
    </row>
    <row r="285" spans="1:12" ht="15" thickBot="1" x14ac:dyDescent="0.4">
      <c r="A285" s="5">
        <v>1147</v>
      </c>
      <c r="B285" s="5" t="s">
        <v>11</v>
      </c>
      <c r="C285" s="5" t="s">
        <v>22</v>
      </c>
      <c r="D285" s="5" t="s">
        <v>18</v>
      </c>
      <c r="E285" s="5" t="s">
        <v>28</v>
      </c>
      <c r="F285" s="5">
        <v>7</v>
      </c>
      <c r="G285" s="5">
        <v>9581</v>
      </c>
      <c r="H285" s="5">
        <v>5</v>
      </c>
      <c r="I285" s="6">
        <v>46154</v>
      </c>
      <c r="J285" s="6">
        <v>46155</v>
      </c>
      <c r="K285" s="10" t="s">
        <v>20</v>
      </c>
      <c r="L285" s="14" t="str">
        <f t="shared" si="4"/>
        <v>Ritesh-Furniture</v>
      </c>
    </row>
    <row r="286" spans="1:12" ht="15" thickBot="1" x14ac:dyDescent="0.4">
      <c r="A286" s="5">
        <v>1222</v>
      </c>
      <c r="B286" s="5" t="s">
        <v>30</v>
      </c>
      <c r="C286" s="5" t="s">
        <v>33</v>
      </c>
      <c r="D286" s="5" t="s">
        <v>18</v>
      </c>
      <c r="E286" s="5" t="s">
        <v>23</v>
      </c>
      <c r="F286" s="5">
        <v>9</v>
      </c>
      <c r="G286" s="5">
        <v>2712</v>
      </c>
      <c r="H286" s="5">
        <v>12</v>
      </c>
      <c r="I286" s="6">
        <v>46154</v>
      </c>
      <c r="J286" s="6">
        <v>46163</v>
      </c>
      <c r="K286" s="10" t="s">
        <v>15</v>
      </c>
      <c r="L286" s="14" t="str">
        <f t="shared" si="4"/>
        <v>Neha-Furniture</v>
      </c>
    </row>
    <row r="287" spans="1:12" ht="15" thickBot="1" x14ac:dyDescent="0.4">
      <c r="A287" s="5">
        <v>1332</v>
      </c>
      <c r="B287" s="5" t="s">
        <v>29</v>
      </c>
      <c r="C287" s="5" t="s">
        <v>43</v>
      </c>
      <c r="D287" s="5" t="s">
        <v>13</v>
      </c>
      <c r="E287" s="5" t="s">
        <v>50</v>
      </c>
      <c r="F287" s="5">
        <v>7</v>
      </c>
      <c r="G287" s="5">
        <v>439</v>
      </c>
      <c r="H287" s="5">
        <v>2</v>
      </c>
      <c r="I287" s="6">
        <v>46154</v>
      </c>
      <c r="J287" s="6">
        <v>46157</v>
      </c>
      <c r="K287" s="10" t="s">
        <v>15</v>
      </c>
      <c r="L287" s="14" t="str">
        <f t="shared" si="4"/>
        <v>Priya-Stationery</v>
      </c>
    </row>
    <row r="288" spans="1:12" ht="15" thickBot="1" x14ac:dyDescent="0.4">
      <c r="A288" s="5">
        <v>1179</v>
      </c>
      <c r="B288" s="5" t="s">
        <v>47</v>
      </c>
      <c r="C288" s="5" t="s">
        <v>17</v>
      </c>
      <c r="D288" s="5" t="s">
        <v>34</v>
      </c>
      <c r="E288" s="5" t="s">
        <v>39</v>
      </c>
      <c r="F288" s="5">
        <v>6</v>
      </c>
      <c r="G288" s="5">
        <v>10400</v>
      </c>
      <c r="H288" s="5">
        <v>2</v>
      </c>
      <c r="I288" s="6">
        <v>46155</v>
      </c>
      <c r="J288" s="6">
        <v>46158</v>
      </c>
      <c r="K288" s="10" t="s">
        <v>15</v>
      </c>
      <c r="L288" s="14" t="str">
        <f t="shared" si="4"/>
        <v>Yash-Electronics</v>
      </c>
    </row>
    <row r="289" spans="1:12" ht="15" thickBot="1" x14ac:dyDescent="0.4">
      <c r="A289" s="5">
        <v>1196</v>
      </c>
      <c r="B289" s="5" t="s">
        <v>48</v>
      </c>
      <c r="C289" s="5" t="s">
        <v>22</v>
      </c>
      <c r="D289" s="5" t="s">
        <v>34</v>
      </c>
      <c r="E289" s="5" t="s">
        <v>35</v>
      </c>
      <c r="F289" s="5">
        <v>20</v>
      </c>
      <c r="G289" s="5">
        <v>3172</v>
      </c>
      <c r="H289" s="5">
        <v>5</v>
      </c>
      <c r="I289" s="6">
        <v>46155</v>
      </c>
      <c r="J289" s="6">
        <v>46159</v>
      </c>
      <c r="K289" s="10" t="s">
        <v>20</v>
      </c>
      <c r="L289" s="14" t="str">
        <f t="shared" si="4"/>
        <v>Nitin-Electronics</v>
      </c>
    </row>
    <row r="290" spans="1:12" ht="15" thickBot="1" x14ac:dyDescent="0.4">
      <c r="A290" s="5">
        <v>1027</v>
      </c>
      <c r="B290" s="5" t="s">
        <v>29</v>
      </c>
      <c r="C290" s="5" t="s">
        <v>43</v>
      </c>
      <c r="D290" s="5" t="s">
        <v>13</v>
      </c>
      <c r="E290" s="5" t="s">
        <v>50</v>
      </c>
      <c r="F290" s="5">
        <v>4</v>
      </c>
      <c r="G290" s="5">
        <v>264</v>
      </c>
      <c r="H290" s="5">
        <v>0</v>
      </c>
      <c r="I290" s="6">
        <v>46155</v>
      </c>
      <c r="J290" s="6">
        <v>46161</v>
      </c>
      <c r="K290" s="10" t="s">
        <v>51</v>
      </c>
      <c r="L290" s="14" t="str">
        <f t="shared" si="4"/>
        <v>Priya-Stationery</v>
      </c>
    </row>
    <row r="291" spans="1:12" ht="15" thickBot="1" x14ac:dyDescent="0.4">
      <c r="A291" s="5">
        <v>1344</v>
      </c>
      <c r="B291" s="5" t="s">
        <v>30</v>
      </c>
      <c r="C291" s="5" t="s">
        <v>17</v>
      </c>
      <c r="D291" s="5" t="s">
        <v>13</v>
      </c>
      <c r="E291" s="5" t="s">
        <v>53</v>
      </c>
      <c r="F291" s="5">
        <v>18</v>
      </c>
      <c r="G291" s="5">
        <v>240</v>
      </c>
      <c r="H291" s="5">
        <v>10</v>
      </c>
      <c r="I291" s="6">
        <v>46155</v>
      </c>
      <c r="J291" s="6">
        <v>46156</v>
      </c>
      <c r="K291" s="10" t="s">
        <v>24</v>
      </c>
      <c r="L291" s="14" t="str">
        <f t="shared" si="4"/>
        <v>Neha-Stationery</v>
      </c>
    </row>
    <row r="292" spans="1:12" ht="15" thickBot="1" x14ac:dyDescent="0.4">
      <c r="A292" s="5">
        <v>1171</v>
      </c>
      <c r="B292" s="5" t="s">
        <v>57</v>
      </c>
      <c r="C292" s="5" t="s">
        <v>25</v>
      </c>
      <c r="D292" s="5" t="s">
        <v>13</v>
      </c>
      <c r="E292" s="5" t="s">
        <v>50</v>
      </c>
      <c r="F292" s="5">
        <v>17</v>
      </c>
      <c r="G292" s="5">
        <v>147</v>
      </c>
      <c r="H292" s="5">
        <v>12</v>
      </c>
      <c r="I292" s="6">
        <v>46155</v>
      </c>
      <c r="J292" s="6">
        <v>46160</v>
      </c>
      <c r="K292" s="10" t="s">
        <v>20</v>
      </c>
      <c r="L292" s="14" t="str">
        <f t="shared" si="4"/>
        <v>Sara-Stationery</v>
      </c>
    </row>
    <row r="293" spans="1:12" ht="15" thickBot="1" x14ac:dyDescent="0.4">
      <c r="A293" s="5">
        <v>1295</v>
      </c>
      <c r="B293" s="5" t="s">
        <v>52</v>
      </c>
      <c r="C293" s="5" t="s">
        <v>38</v>
      </c>
      <c r="D293" s="5" t="s">
        <v>18</v>
      </c>
      <c r="E293" s="5" t="s">
        <v>28</v>
      </c>
      <c r="F293" s="5">
        <v>16</v>
      </c>
      <c r="G293" s="5">
        <v>11935</v>
      </c>
      <c r="H293" s="5">
        <v>12</v>
      </c>
      <c r="I293" s="6">
        <v>46157</v>
      </c>
      <c r="J293" s="6">
        <v>46162</v>
      </c>
      <c r="K293" s="10" t="s">
        <v>15</v>
      </c>
      <c r="L293" s="14" t="str">
        <f t="shared" si="4"/>
        <v>Komal-Furniture</v>
      </c>
    </row>
    <row r="294" spans="1:12" ht="15" thickBot="1" x14ac:dyDescent="0.4">
      <c r="A294" s="5">
        <v>1367</v>
      </c>
      <c r="B294" s="5" t="s">
        <v>54</v>
      </c>
      <c r="C294" s="5" t="s">
        <v>25</v>
      </c>
      <c r="D294" s="5" t="s">
        <v>13</v>
      </c>
      <c r="E294" s="5" t="s">
        <v>53</v>
      </c>
      <c r="F294" s="5">
        <v>1</v>
      </c>
      <c r="G294" s="5">
        <v>371</v>
      </c>
      <c r="H294" s="5">
        <v>5</v>
      </c>
      <c r="I294" s="6">
        <v>46158</v>
      </c>
      <c r="J294" s="6">
        <v>46168</v>
      </c>
      <c r="K294" s="10" t="s">
        <v>29</v>
      </c>
      <c r="L294" s="14" t="str">
        <f t="shared" si="4"/>
        <v>Manoj-Stationery</v>
      </c>
    </row>
    <row r="295" spans="1:12" ht="15" thickBot="1" x14ac:dyDescent="0.4">
      <c r="A295" s="5">
        <v>1317</v>
      </c>
      <c r="B295" s="5" t="s">
        <v>59</v>
      </c>
      <c r="C295" s="5" t="s">
        <v>33</v>
      </c>
      <c r="D295" s="5" t="s">
        <v>34</v>
      </c>
      <c r="E295" s="5" t="s">
        <v>41</v>
      </c>
      <c r="F295" s="5">
        <v>7</v>
      </c>
      <c r="G295" s="5">
        <v>67339</v>
      </c>
      <c r="H295" s="5">
        <v>5</v>
      </c>
      <c r="I295" s="6">
        <v>46159</v>
      </c>
      <c r="J295" s="6">
        <v>46169</v>
      </c>
      <c r="K295" s="10" t="s">
        <v>51</v>
      </c>
      <c r="L295" s="14" t="str">
        <f t="shared" si="4"/>
        <v>Anita-Electronics</v>
      </c>
    </row>
    <row r="296" spans="1:12" ht="15" thickBot="1" x14ac:dyDescent="0.4">
      <c r="A296" s="5">
        <v>1052</v>
      </c>
      <c r="B296" s="5" t="s">
        <v>55</v>
      </c>
      <c r="C296" s="5" t="s">
        <v>12</v>
      </c>
      <c r="D296" s="5" t="s">
        <v>13</v>
      </c>
      <c r="E296" s="5" t="s">
        <v>14</v>
      </c>
      <c r="F296" s="5">
        <v>17</v>
      </c>
      <c r="G296" s="5">
        <v>172</v>
      </c>
      <c r="H296" s="5">
        <v>10</v>
      </c>
      <c r="I296" s="6">
        <v>46159</v>
      </c>
      <c r="J296" s="6">
        <v>46165</v>
      </c>
      <c r="K296" s="10" t="s">
        <v>20</v>
      </c>
      <c r="L296" s="14" t="str">
        <f t="shared" si="4"/>
        <v>Sneha-Stationery</v>
      </c>
    </row>
    <row r="297" spans="1:12" ht="15" thickBot="1" x14ac:dyDescent="0.4">
      <c r="A297" s="5">
        <v>1143</v>
      </c>
      <c r="B297" s="5" t="s">
        <v>29</v>
      </c>
      <c r="C297" s="5" t="s">
        <v>17</v>
      </c>
      <c r="D297" s="5" t="s">
        <v>13</v>
      </c>
      <c r="E297" s="5" t="s">
        <v>37</v>
      </c>
      <c r="F297" s="5">
        <v>13</v>
      </c>
      <c r="G297" s="5">
        <v>456</v>
      </c>
      <c r="H297" s="5">
        <v>2</v>
      </c>
      <c r="I297" s="6">
        <v>46160</v>
      </c>
      <c r="J297" s="6">
        <v>46167</v>
      </c>
      <c r="K297" s="10" t="s">
        <v>24</v>
      </c>
      <c r="L297" s="14" t="str">
        <f t="shared" si="4"/>
        <v>Priya-Stationery</v>
      </c>
    </row>
    <row r="298" spans="1:12" ht="15" thickBot="1" x14ac:dyDescent="0.4">
      <c r="A298" s="5">
        <v>1167</v>
      </c>
      <c r="B298" s="5" t="s">
        <v>48</v>
      </c>
      <c r="C298" s="5" t="s">
        <v>17</v>
      </c>
      <c r="D298" s="5" t="s">
        <v>13</v>
      </c>
      <c r="E298" s="5" t="s">
        <v>37</v>
      </c>
      <c r="F298" s="5">
        <v>20</v>
      </c>
      <c r="G298" s="5">
        <v>251</v>
      </c>
      <c r="H298" s="5">
        <v>5</v>
      </c>
      <c r="I298" s="6">
        <v>46160</v>
      </c>
      <c r="J298" s="6">
        <v>46170</v>
      </c>
      <c r="K298" s="10" t="s">
        <v>29</v>
      </c>
      <c r="L298" s="14" t="str">
        <f t="shared" si="4"/>
        <v>Nitin-Stationery</v>
      </c>
    </row>
    <row r="299" spans="1:12" ht="15" thickBot="1" x14ac:dyDescent="0.4">
      <c r="A299" s="5">
        <v>1129</v>
      </c>
      <c r="B299" s="5" t="s">
        <v>58</v>
      </c>
      <c r="C299" s="5" t="s">
        <v>17</v>
      </c>
      <c r="D299" s="5" t="s">
        <v>13</v>
      </c>
      <c r="E299" s="5" t="s">
        <v>50</v>
      </c>
      <c r="F299" s="5">
        <v>15</v>
      </c>
      <c r="G299" s="5">
        <v>75</v>
      </c>
      <c r="H299" s="5">
        <v>7</v>
      </c>
      <c r="I299" s="6">
        <v>46160</v>
      </c>
      <c r="J299" s="6">
        <v>46164</v>
      </c>
      <c r="K299" s="10" t="s">
        <v>29</v>
      </c>
      <c r="L299" s="14" t="str">
        <f t="shared" si="4"/>
        <v>Rohan-Stationery</v>
      </c>
    </row>
    <row r="300" spans="1:12" ht="15" thickBot="1" x14ac:dyDescent="0.4">
      <c r="A300" s="5">
        <v>1257</v>
      </c>
      <c r="B300" s="5" t="s">
        <v>54</v>
      </c>
      <c r="C300" s="5" t="s">
        <v>25</v>
      </c>
      <c r="D300" s="5" t="s">
        <v>34</v>
      </c>
      <c r="E300" s="5" t="s">
        <v>61</v>
      </c>
      <c r="F300" s="5">
        <v>7</v>
      </c>
      <c r="G300" s="5">
        <v>53243</v>
      </c>
      <c r="H300" s="5">
        <v>12</v>
      </c>
      <c r="I300" s="6">
        <v>46161</v>
      </c>
      <c r="J300" s="6">
        <v>46171</v>
      </c>
      <c r="K300" s="10" t="s">
        <v>15</v>
      </c>
      <c r="L300" s="14" t="str">
        <f t="shared" si="4"/>
        <v>Manoj-Electronics</v>
      </c>
    </row>
    <row r="301" spans="1:12" ht="15" thickBot="1" x14ac:dyDescent="0.4">
      <c r="A301" s="5">
        <v>1372</v>
      </c>
      <c r="B301" s="5" t="s">
        <v>48</v>
      </c>
      <c r="C301" s="5" t="s">
        <v>17</v>
      </c>
      <c r="D301" s="5" t="s">
        <v>34</v>
      </c>
      <c r="E301" s="5" t="s">
        <v>39</v>
      </c>
      <c r="F301" s="5">
        <v>9</v>
      </c>
      <c r="G301" s="5">
        <v>9551</v>
      </c>
      <c r="H301" s="5">
        <v>10</v>
      </c>
      <c r="I301" s="6">
        <v>46161</v>
      </c>
      <c r="J301" s="6">
        <v>46168</v>
      </c>
      <c r="K301" s="10" t="s">
        <v>15</v>
      </c>
      <c r="L301" s="14" t="str">
        <f t="shared" si="4"/>
        <v>Nitin-Electronics</v>
      </c>
    </row>
    <row r="302" spans="1:12" ht="15" thickBot="1" x14ac:dyDescent="0.4">
      <c r="A302" s="5">
        <v>1024</v>
      </c>
      <c r="B302" s="5" t="s">
        <v>32</v>
      </c>
      <c r="C302" s="5" t="s">
        <v>38</v>
      </c>
      <c r="D302" s="5" t="s">
        <v>34</v>
      </c>
      <c r="E302" s="5" t="s">
        <v>41</v>
      </c>
      <c r="F302" s="5">
        <v>12</v>
      </c>
      <c r="G302" s="5">
        <v>1682</v>
      </c>
      <c r="H302" s="5">
        <v>5</v>
      </c>
      <c r="I302" s="6">
        <v>46161</v>
      </c>
      <c r="J302" s="6">
        <v>46165</v>
      </c>
      <c r="K302" s="10" t="s">
        <v>15</v>
      </c>
      <c r="L302" s="14" t="str">
        <f t="shared" si="4"/>
        <v>Asha-Electronics</v>
      </c>
    </row>
    <row r="303" spans="1:12" ht="15" thickBot="1" x14ac:dyDescent="0.4">
      <c r="A303" s="5">
        <v>1248</v>
      </c>
      <c r="B303" s="5" t="s">
        <v>27</v>
      </c>
      <c r="C303" s="5" t="s">
        <v>43</v>
      </c>
      <c r="D303" s="5" t="s">
        <v>13</v>
      </c>
      <c r="E303" s="5" t="s">
        <v>37</v>
      </c>
      <c r="F303" s="5">
        <v>5</v>
      </c>
      <c r="G303" s="5">
        <v>398</v>
      </c>
      <c r="H303" s="5">
        <v>7</v>
      </c>
      <c r="I303" s="6">
        <v>46161</v>
      </c>
      <c r="J303" s="6">
        <v>46171</v>
      </c>
      <c r="K303" s="10" t="s">
        <v>29</v>
      </c>
      <c r="L303" s="14" t="str">
        <f t="shared" si="4"/>
        <v>Arjun-Stationery</v>
      </c>
    </row>
    <row r="304" spans="1:12" ht="15" thickBot="1" x14ac:dyDescent="0.4">
      <c r="A304" s="5">
        <v>1011</v>
      </c>
      <c r="B304" s="5" t="s">
        <v>11</v>
      </c>
      <c r="C304" s="5" t="s">
        <v>17</v>
      </c>
      <c r="D304" s="5" t="s">
        <v>13</v>
      </c>
      <c r="E304" s="5" t="s">
        <v>37</v>
      </c>
      <c r="F304" s="5">
        <v>14</v>
      </c>
      <c r="G304" s="5">
        <v>88</v>
      </c>
      <c r="H304" s="5">
        <v>12</v>
      </c>
      <c r="I304" s="6">
        <v>46161</v>
      </c>
      <c r="J304" s="6">
        <v>46163</v>
      </c>
      <c r="K304" s="10" t="s">
        <v>15</v>
      </c>
      <c r="L304" s="14" t="str">
        <f t="shared" si="4"/>
        <v>Ritesh-Stationery</v>
      </c>
    </row>
    <row r="305" spans="1:12" ht="15" thickBot="1" x14ac:dyDescent="0.4">
      <c r="A305" s="5">
        <v>1386</v>
      </c>
      <c r="B305" s="5" t="s">
        <v>27</v>
      </c>
      <c r="C305" s="5" t="s">
        <v>31</v>
      </c>
      <c r="D305" s="5" t="s">
        <v>18</v>
      </c>
      <c r="E305" s="5" t="s">
        <v>28</v>
      </c>
      <c r="F305" s="5">
        <v>9</v>
      </c>
      <c r="G305" s="5">
        <v>7509</v>
      </c>
      <c r="H305" s="5">
        <v>5</v>
      </c>
      <c r="I305" s="6">
        <v>46162</v>
      </c>
      <c r="J305" s="6">
        <v>46171</v>
      </c>
      <c r="K305" s="10" t="s">
        <v>51</v>
      </c>
      <c r="L305" s="14" t="str">
        <f t="shared" si="4"/>
        <v>Arjun-Furniture</v>
      </c>
    </row>
    <row r="306" spans="1:12" ht="15" thickBot="1" x14ac:dyDescent="0.4">
      <c r="A306" s="5">
        <v>1007</v>
      </c>
      <c r="B306" s="5" t="s">
        <v>21</v>
      </c>
      <c r="C306" s="5" t="s">
        <v>22</v>
      </c>
      <c r="D306" s="5" t="s">
        <v>13</v>
      </c>
      <c r="E306" s="5" t="s">
        <v>14</v>
      </c>
      <c r="F306" s="5">
        <v>19</v>
      </c>
      <c r="G306" s="5">
        <v>149</v>
      </c>
      <c r="H306" s="5">
        <v>7</v>
      </c>
      <c r="I306" s="6">
        <v>46162</v>
      </c>
      <c r="J306" s="6">
        <v>46168</v>
      </c>
      <c r="K306" s="10" t="s">
        <v>24</v>
      </c>
      <c r="L306" s="14" t="str">
        <f t="shared" si="4"/>
        <v>Meera-Stationery</v>
      </c>
    </row>
    <row r="307" spans="1:12" ht="15" thickBot="1" x14ac:dyDescent="0.4">
      <c r="A307" s="5">
        <v>1032</v>
      </c>
      <c r="B307" s="5" t="s">
        <v>54</v>
      </c>
      <c r="C307" s="5" t="s">
        <v>43</v>
      </c>
      <c r="D307" s="5" t="s">
        <v>34</v>
      </c>
      <c r="E307" s="5" t="s">
        <v>39</v>
      </c>
      <c r="F307" s="5">
        <v>20</v>
      </c>
      <c r="G307" s="5">
        <v>11305</v>
      </c>
      <c r="H307" s="5">
        <v>2</v>
      </c>
      <c r="I307" s="6">
        <v>46163</v>
      </c>
      <c r="J307" s="6">
        <v>46165</v>
      </c>
      <c r="K307" s="10" t="s">
        <v>29</v>
      </c>
      <c r="L307" s="14" t="str">
        <f t="shared" si="4"/>
        <v>Manoj-Electronics</v>
      </c>
    </row>
    <row r="308" spans="1:12" ht="15" thickBot="1" x14ac:dyDescent="0.4">
      <c r="A308" s="5">
        <v>1302</v>
      </c>
      <c r="B308" s="5" t="s">
        <v>57</v>
      </c>
      <c r="C308" s="5" t="s">
        <v>12</v>
      </c>
      <c r="D308" s="5" t="s">
        <v>34</v>
      </c>
      <c r="E308" s="5" t="s">
        <v>35</v>
      </c>
      <c r="F308" s="5">
        <v>9</v>
      </c>
      <c r="G308" s="5">
        <v>8500</v>
      </c>
      <c r="H308" s="5">
        <v>15</v>
      </c>
      <c r="I308" s="6">
        <v>46163</v>
      </c>
      <c r="J308" s="6">
        <v>46172</v>
      </c>
      <c r="K308" s="10" t="s">
        <v>24</v>
      </c>
      <c r="L308" s="14" t="str">
        <f t="shared" si="4"/>
        <v>Sara-Electronics</v>
      </c>
    </row>
    <row r="309" spans="1:12" ht="15" thickBot="1" x14ac:dyDescent="0.4">
      <c r="A309" s="5">
        <v>1249</v>
      </c>
      <c r="B309" s="5" t="s">
        <v>16</v>
      </c>
      <c r="C309" s="5" t="s">
        <v>25</v>
      </c>
      <c r="D309" s="5" t="s">
        <v>34</v>
      </c>
      <c r="E309" s="5" t="s">
        <v>41</v>
      </c>
      <c r="F309" s="5">
        <v>18</v>
      </c>
      <c r="G309" s="5">
        <v>6360</v>
      </c>
      <c r="H309" s="5">
        <v>12</v>
      </c>
      <c r="I309" s="6">
        <v>46163</v>
      </c>
      <c r="J309" s="6">
        <v>46165</v>
      </c>
      <c r="K309" s="10" t="s">
        <v>20</v>
      </c>
      <c r="L309" s="14" t="str">
        <f t="shared" si="4"/>
        <v>Pooja-Electronics</v>
      </c>
    </row>
    <row r="310" spans="1:12" ht="15" thickBot="1" x14ac:dyDescent="0.4">
      <c r="A310" s="5">
        <v>1207</v>
      </c>
      <c r="B310" s="5" t="s">
        <v>55</v>
      </c>
      <c r="C310" s="5" t="s">
        <v>25</v>
      </c>
      <c r="D310" s="5" t="s">
        <v>13</v>
      </c>
      <c r="E310" s="5" t="s">
        <v>53</v>
      </c>
      <c r="F310" s="5">
        <v>7</v>
      </c>
      <c r="G310" s="5">
        <v>244</v>
      </c>
      <c r="H310" s="5">
        <v>2</v>
      </c>
      <c r="I310" s="6">
        <v>46164</v>
      </c>
      <c r="J310" s="6">
        <v>46173</v>
      </c>
      <c r="K310" s="10" t="s">
        <v>24</v>
      </c>
      <c r="L310" s="14" t="str">
        <f t="shared" si="4"/>
        <v>Sneha-Stationery</v>
      </c>
    </row>
    <row r="311" spans="1:12" ht="15" thickBot="1" x14ac:dyDescent="0.4">
      <c r="A311" s="5">
        <v>1236</v>
      </c>
      <c r="B311" s="5" t="s">
        <v>54</v>
      </c>
      <c r="C311" s="5" t="s">
        <v>43</v>
      </c>
      <c r="D311" s="5" t="s">
        <v>13</v>
      </c>
      <c r="E311" s="5" t="s">
        <v>37</v>
      </c>
      <c r="F311" s="5">
        <v>12</v>
      </c>
      <c r="G311" s="5">
        <v>189</v>
      </c>
      <c r="H311" s="5">
        <v>7</v>
      </c>
      <c r="I311" s="6">
        <v>46164</v>
      </c>
      <c r="J311" s="6">
        <v>46169</v>
      </c>
      <c r="K311" s="10" t="s">
        <v>29</v>
      </c>
      <c r="L311" s="14" t="str">
        <f t="shared" si="4"/>
        <v>Manoj-Stationery</v>
      </c>
    </row>
    <row r="312" spans="1:12" ht="15" thickBot="1" x14ac:dyDescent="0.4">
      <c r="A312" s="5">
        <v>1326</v>
      </c>
      <c r="B312" s="5" t="s">
        <v>26</v>
      </c>
      <c r="C312" s="5" t="s">
        <v>17</v>
      </c>
      <c r="D312" s="5" t="s">
        <v>18</v>
      </c>
      <c r="E312" s="5" t="s">
        <v>44</v>
      </c>
      <c r="F312" s="5">
        <v>18</v>
      </c>
      <c r="G312" s="5">
        <v>1830</v>
      </c>
      <c r="H312" s="5">
        <v>10</v>
      </c>
      <c r="I312" s="6">
        <v>46165</v>
      </c>
      <c r="J312" s="6">
        <v>46172</v>
      </c>
      <c r="K312" s="10" t="s">
        <v>15</v>
      </c>
      <c r="L312" s="14" t="str">
        <f t="shared" si="4"/>
        <v>Vikram-Furniture</v>
      </c>
    </row>
    <row r="313" spans="1:12" ht="15" thickBot="1" x14ac:dyDescent="0.4">
      <c r="A313" s="5">
        <v>1252</v>
      </c>
      <c r="B313" s="5" t="s">
        <v>47</v>
      </c>
      <c r="C313" s="5" t="s">
        <v>25</v>
      </c>
      <c r="D313" s="5" t="s">
        <v>13</v>
      </c>
      <c r="E313" s="5" t="s">
        <v>36</v>
      </c>
      <c r="F313" s="5">
        <v>15</v>
      </c>
      <c r="G313" s="5">
        <v>257</v>
      </c>
      <c r="H313" s="5">
        <v>5</v>
      </c>
      <c r="I313" s="6">
        <v>46166</v>
      </c>
      <c r="J313" s="6">
        <v>46173</v>
      </c>
      <c r="K313" s="10" t="s">
        <v>20</v>
      </c>
      <c r="L313" s="14" t="str">
        <f t="shared" si="4"/>
        <v>Yash-Stationery</v>
      </c>
    </row>
    <row r="314" spans="1:12" ht="15" thickBot="1" x14ac:dyDescent="0.4">
      <c r="A314" s="5">
        <v>1206</v>
      </c>
      <c r="B314" s="5" t="s">
        <v>55</v>
      </c>
      <c r="C314" s="5" t="s">
        <v>33</v>
      </c>
      <c r="D314" s="5" t="s">
        <v>13</v>
      </c>
      <c r="E314" s="5" t="s">
        <v>14</v>
      </c>
      <c r="F314" s="5">
        <v>9</v>
      </c>
      <c r="G314" s="5">
        <v>60</v>
      </c>
      <c r="H314" s="5">
        <v>0</v>
      </c>
      <c r="I314" s="6">
        <v>46166</v>
      </c>
      <c r="J314" s="6">
        <v>46174</v>
      </c>
      <c r="K314" s="10" t="s">
        <v>15</v>
      </c>
      <c r="L314" s="14" t="str">
        <f t="shared" si="4"/>
        <v>Sneha-Stationery</v>
      </c>
    </row>
    <row r="315" spans="1:12" ht="15" thickBot="1" x14ac:dyDescent="0.4">
      <c r="A315" s="5">
        <v>1095</v>
      </c>
      <c r="B315" s="5" t="s">
        <v>47</v>
      </c>
      <c r="C315" s="5" t="s">
        <v>25</v>
      </c>
      <c r="D315" s="5" t="s">
        <v>34</v>
      </c>
      <c r="E315" s="5" t="s">
        <v>41</v>
      </c>
      <c r="F315" s="5">
        <v>18</v>
      </c>
      <c r="G315" s="5">
        <v>587</v>
      </c>
      <c r="H315" s="5">
        <v>2</v>
      </c>
      <c r="I315" s="6">
        <v>46167</v>
      </c>
      <c r="J315" s="6">
        <v>46171</v>
      </c>
      <c r="K315" s="10" t="s">
        <v>20</v>
      </c>
      <c r="L315" s="14" t="str">
        <f t="shared" si="4"/>
        <v>Yash-Electronics</v>
      </c>
    </row>
    <row r="316" spans="1:12" ht="15" thickBot="1" x14ac:dyDescent="0.4">
      <c r="A316" s="5">
        <v>1131</v>
      </c>
      <c r="B316" s="5" t="s">
        <v>21</v>
      </c>
      <c r="C316" s="5" t="s">
        <v>31</v>
      </c>
      <c r="D316" s="5" t="s">
        <v>18</v>
      </c>
      <c r="E316" s="5" t="s">
        <v>23</v>
      </c>
      <c r="F316" s="5">
        <v>13</v>
      </c>
      <c r="G316" s="5">
        <v>3083</v>
      </c>
      <c r="H316" s="5">
        <v>7</v>
      </c>
      <c r="I316" s="6">
        <v>46168</v>
      </c>
      <c r="J316" s="6">
        <v>46173</v>
      </c>
      <c r="K316" s="10" t="s">
        <v>51</v>
      </c>
      <c r="L316" s="14" t="str">
        <f t="shared" si="4"/>
        <v>Meera-Furniture</v>
      </c>
    </row>
    <row r="317" spans="1:12" ht="15" thickBot="1" x14ac:dyDescent="0.4">
      <c r="A317" s="5">
        <v>1335</v>
      </c>
      <c r="B317" s="5" t="s">
        <v>47</v>
      </c>
      <c r="C317" s="5" t="s">
        <v>17</v>
      </c>
      <c r="D317" s="5" t="s">
        <v>18</v>
      </c>
      <c r="E317" s="5" t="s">
        <v>19</v>
      </c>
      <c r="F317" s="5">
        <v>9</v>
      </c>
      <c r="G317" s="5">
        <v>1495</v>
      </c>
      <c r="H317" s="5">
        <v>12</v>
      </c>
      <c r="I317" s="6">
        <v>46168</v>
      </c>
      <c r="J317" s="6">
        <v>46173</v>
      </c>
      <c r="K317" s="10" t="s">
        <v>15</v>
      </c>
      <c r="L317" s="14" t="str">
        <f t="shared" si="4"/>
        <v>Yash-Furniture</v>
      </c>
    </row>
    <row r="318" spans="1:12" ht="15" thickBot="1" x14ac:dyDescent="0.4">
      <c r="A318" s="5">
        <v>1286</v>
      </c>
      <c r="B318" s="5" t="s">
        <v>46</v>
      </c>
      <c r="C318" s="5" t="s">
        <v>17</v>
      </c>
      <c r="D318" s="5" t="s">
        <v>18</v>
      </c>
      <c r="E318" s="5" t="s">
        <v>56</v>
      </c>
      <c r="F318" s="5">
        <v>9</v>
      </c>
      <c r="G318" s="5">
        <v>1340</v>
      </c>
      <c r="H318" s="5">
        <v>2</v>
      </c>
      <c r="I318" s="6">
        <v>46168</v>
      </c>
      <c r="J318" s="6">
        <v>46173</v>
      </c>
      <c r="K318" s="10" t="s">
        <v>15</v>
      </c>
      <c r="L318" s="14" t="str">
        <f t="shared" si="4"/>
        <v>Kiran-Furniture</v>
      </c>
    </row>
    <row r="319" spans="1:12" ht="15" thickBot="1" x14ac:dyDescent="0.4">
      <c r="A319" s="5">
        <v>1177</v>
      </c>
      <c r="B319" s="5" t="s">
        <v>29</v>
      </c>
      <c r="C319" s="5" t="s">
        <v>22</v>
      </c>
      <c r="D319" s="5" t="s">
        <v>18</v>
      </c>
      <c r="E319" s="5" t="s">
        <v>19</v>
      </c>
      <c r="F319" s="5">
        <v>14</v>
      </c>
      <c r="G319" s="5">
        <v>7501</v>
      </c>
      <c r="H319" s="5">
        <v>7</v>
      </c>
      <c r="I319" s="6">
        <v>46169</v>
      </c>
      <c r="J319" s="6">
        <v>46179</v>
      </c>
      <c r="K319" s="10" t="s">
        <v>20</v>
      </c>
      <c r="L319" s="14" t="str">
        <f t="shared" si="4"/>
        <v>Priya-Furniture</v>
      </c>
    </row>
    <row r="320" spans="1:12" ht="15" thickBot="1" x14ac:dyDescent="0.4">
      <c r="A320" s="5">
        <v>1318</v>
      </c>
      <c r="B320" s="5" t="s">
        <v>11</v>
      </c>
      <c r="C320" s="5" t="s">
        <v>43</v>
      </c>
      <c r="D320" s="5" t="s">
        <v>13</v>
      </c>
      <c r="E320" s="5" t="s">
        <v>50</v>
      </c>
      <c r="F320" s="5">
        <v>4</v>
      </c>
      <c r="G320" s="5">
        <v>38</v>
      </c>
      <c r="H320" s="5">
        <v>12</v>
      </c>
      <c r="I320" s="6">
        <v>46169</v>
      </c>
      <c r="J320" s="6">
        <v>46175</v>
      </c>
      <c r="K320" s="10" t="s">
        <v>29</v>
      </c>
      <c r="L320" s="14" t="str">
        <f t="shared" si="4"/>
        <v>Ritesh-Stationery</v>
      </c>
    </row>
    <row r="321" spans="1:12" ht="15" thickBot="1" x14ac:dyDescent="0.4">
      <c r="A321" s="5">
        <v>1079</v>
      </c>
      <c r="B321" s="5" t="s">
        <v>26</v>
      </c>
      <c r="C321" s="5" t="s">
        <v>38</v>
      </c>
      <c r="D321" s="5" t="s">
        <v>34</v>
      </c>
      <c r="E321" s="5" t="s">
        <v>41</v>
      </c>
      <c r="F321" s="5">
        <v>19</v>
      </c>
      <c r="G321" s="5">
        <v>48956</v>
      </c>
      <c r="H321" s="5">
        <v>12</v>
      </c>
      <c r="I321" s="6">
        <v>46170</v>
      </c>
      <c r="J321" s="6">
        <v>46177</v>
      </c>
      <c r="K321" s="10" t="s">
        <v>51</v>
      </c>
      <c r="L321" s="14" t="str">
        <f t="shared" si="4"/>
        <v>Vikram-Electronics</v>
      </c>
    </row>
    <row r="322" spans="1:12" ht="15" thickBot="1" x14ac:dyDescent="0.4">
      <c r="A322" s="5">
        <v>1127</v>
      </c>
      <c r="B322" s="5" t="s">
        <v>26</v>
      </c>
      <c r="C322" s="5" t="s">
        <v>33</v>
      </c>
      <c r="D322" s="5" t="s">
        <v>18</v>
      </c>
      <c r="E322" s="5" t="s">
        <v>28</v>
      </c>
      <c r="F322" s="5">
        <v>15</v>
      </c>
      <c r="G322" s="5">
        <v>11694</v>
      </c>
      <c r="H322" s="5">
        <v>12</v>
      </c>
      <c r="I322" s="6">
        <v>46170</v>
      </c>
      <c r="J322" s="6">
        <v>46179</v>
      </c>
      <c r="K322" s="10" t="s">
        <v>29</v>
      </c>
      <c r="L322" s="14" t="str">
        <f t="shared" si="4"/>
        <v>Vikram-Furniture</v>
      </c>
    </row>
    <row r="323" spans="1:12" ht="15" thickBot="1" x14ac:dyDescent="0.4">
      <c r="A323" s="5">
        <v>1398</v>
      </c>
      <c r="B323" s="5" t="s">
        <v>58</v>
      </c>
      <c r="C323" s="5" t="s">
        <v>43</v>
      </c>
      <c r="D323" s="5" t="s">
        <v>34</v>
      </c>
      <c r="E323" s="5" t="s">
        <v>39</v>
      </c>
      <c r="F323" s="5">
        <v>12</v>
      </c>
      <c r="G323" s="5">
        <v>10668</v>
      </c>
      <c r="H323" s="5">
        <v>0</v>
      </c>
      <c r="I323" s="6">
        <v>46170</v>
      </c>
      <c r="J323" s="6">
        <v>46176</v>
      </c>
      <c r="K323" s="10" t="s">
        <v>15</v>
      </c>
      <c r="L323" s="14" t="str">
        <f t="shared" ref="L323:L386" si="5">_xlfn.CONCAT(B323,"-",D323)</f>
        <v>Rohan-Electronics</v>
      </c>
    </row>
    <row r="324" spans="1:12" ht="15" thickBot="1" x14ac:dyDescent="0.4">
      <c r="A324" s="5">
        <v>1220</v>
      </c>
      <c r="B324" s="5" t="s">
        <v>11</v>
      </c>
      <c r="C324" s="5" t="s">
        <v>25</v>
      </c>
      <c r="D324" s="5" t="s">
        <v>18</v>
      </c>
      <c r="E324" s="5" t="s">
        <v>56</v>
      </c>
      <c r="F324" s="5">
        <v>2</v>
      </c>
      <c r="G324" s="5">
        <v>8861</v>
      </c>
      <c r="H324" s="5">
        <v>2</v>
      </c>
      <c r="I324" s="6">
        <v>46170</v>
      </c>
      <c r="J324" s="6">
        <v>46174</v>
      </c>
      <c r="K324" s="10" t="s">
        <v>24</v>
      </c>
      <c r="L324" s="14" t="str">
        <f t="shared" si="5"/>
        <v>Ritesh-Furniture</v>
      </c>
    </row>
    <row r="325" spans="1:12" ht="15" thickBot="1" x14ac:dyDescent="0.4">
      <c r="A325" s="5">
        <v>1040</v>
      </c>
      <c r="B325" s="5" t="s">
        <v>49</v>
      </c>
      <c r="C325" s="5" t="s">
        <v>38</v>
      </c>
      <c r="D325" s="5" t="s">
        <v>18</v>
      </c>
      <c r="E325" s="5" t="s">
        <v>28</v>
      </c>
      <c r="F325" s="5">
        <v>10</v>
      </c>
      <c r="G325" s="5">
        <v>7531</v>
      </c>
      <c r="H325" s="5">
        <v>2</v>
      </c>
      <c r="I325" s="6">
        <v>46171</v>
      </c>
      <c r="J325" s="6">
        <v>46178</v>
      </c>
      <c r="K325" s="10" t="s">
        <v>24</v>
      </c>
      <c r="L325" s="14" t="str">
        <f t="shared" si="5"/>
        <v>Ajay-Furniture</v>
      </c>
    </row>
    <row r="326" spans="1:12" ht="15" thickBot="1" x14ac:dyDescent="0.4">
      <c r="A326" s="5">
        <v>1087</v>
      </c>
      <c r="B326" s="5" t="s">
        <v>11</v>
      </c>
      <c r="C326" s="5" t="s">
        <v>31</v>
      </c>
      <c r="D326" s="5" t="s">
        <v>13</v>
      </c>
      <c r="E326" s="5" t="s">
        <v>37</v>
      </c>
      <c r="F326" s="5">
        <v>13</v>
      </c>
      <c r="G326" s="5">
        <v>387</v>
      </c>
      <c r="H326" s="5">
        <v>7</v>
      </c>
      <c r="I326" s="6">
        <v>46171</v>
      </c>
      <c r="J326" s="6">
        <v>46176</v>
      </c>
      <c r="K326" s="10" t="s">
        <v>24</v>
      </c>
      <c r="L326" s="14" t="str">
        <f t="shared" si="5"/>
        <v>Ritesh-Stationery</v>
      </c>
    </row>
    <row r="327" spans="1:12" ht="15" thickBot="1" x14ac:dyDescent="0.4">
      <c r="A327" s="5">
        <v>1005</v>
      </c>
      <c r="B327" s="5" t="s">
        <v>26</v>
      </c>
      <c r="C327" s="5" t="s">
        <v>17</v>
      </c>
      <c r="D327" s="5" t="s">
        <v>13</v>
      </c>
      <c r="E327" s="5" t="s">
        <v>14</v>
      </c>
      <c r="F327" s="5">
        <v>18</v>
      </c>
      <c r="G327" s="5">
        <v>70</v>
      </c>
      <c r="H327" s="5">
        <v>0</v>
      </c>
      <c r="I327" s="6">
        <v>46171</v>
      </c>
      <c r="J327" s="6">
        <v>46179</v>
      </c>
      <c r="K327" s="10" t="s">
        <v>24</v>
      </c>
      <c r="L327" s="14" t="str">
        <f t="shared" si="5"/>
        <v>Vikram-Stationery</v>
      </c>
    </row>
    <row r="328" spans="1:12" ht="15" thickBot="1" x14ac:dyDescent="0.4">
      <c r="A328" s="5">
        <v>1217</v>
      </c>
      <c r="B328" s="5" t="s">
        <v>30</v>
      </c>
      <c r="C328" s="5" t="s">
        <v>22</v>
      </c>
      <c r="D328" s="5" t="s">
        <v>13</v>
      </c>
      <c r="E328" s="5" t="s">
        <v>50</v>
      </c>
      <c r="F328" s="5">
        <v>18</v>
      </c>
      <c r="G328" s="5">
        <v>60</v>
      </c>
      <c r="H328" s="5">
        <v>0</v>
      </c>
      <c r="I328" s="6">
        <v>46171</v>
      </c>
      <c r="J328" s="6">
        <v>46172</v>
      </c>
      <c r="K328" s="10" t="s">
        <v>29</v>
      </c>
      <c r="L328" s="14" t="str">
        <f t="shared" si="5"/>
        <v>Neha-Stationery</v>
      </c>
    </row>
    <row r="329" spans="1:12" ht="15" thickBot="1" x14ac:dyDescent="0.4">
      <c r="A329" s="5">
        <v>1259</v>
      </c>
      <c r="B329" s="5" t="s">
        <v>42</v>
      </c>
      <c r="C329" s="5" t="s">
        <v>22</v>
      </c>
      <c r="D329" s="5" t="s">
        <v>34</v>
      </c>
      <c r="E329" s="5" t="s">
        <v>45</v>
      </c>
      <c r="F329" s="5">
        <v>10</v>
      </c>
      <c r="G329" s="5">
        <v>38771</v>
      </c>
      <c r="H329" s="5">
        <v>15</v>
      </c>
      <c r="I329" s="6">
        <v>46172</v>
      </c>
      <c r="J329" s="6">
        <v>46182</v>
      </c>
      <c r="K329" s="10" t="s">
        <v>15</v>
      </c>
      <c r="L329" s="14" t="str">
        <f t="shared" si="5"/>
        <v>Nisha-Electronics</v>
      </c>
    </row>
    <row r="330" spans="1:12" ht="15" thickBot="1" x14ac:dyDescent="0.4">
      <c r="A330" s="5">
        <v>1273</v>
      </c>
      <c r="B330" s="5" t="s">
        <v>46</v>
      </c>
      <c r="C330" s="5" t="s">
        <v>25</v>
      </c>
      <c r="D330" s="5" t="s">
        <v>34</v>
      </c>
      <c r="E330" s="5" t="s">
        <v>39</v>
      </c>
      <c r="F330" s="5">
        <v>12</v>
      </c>
      <c r="G330" s="5">
        <v>20618</v>
      </c>
      <c r="H330" s="5">
        <v>12</v>
      </c>
      <c r="I330" s="6">
        <v>46172</v>
      </c>
      <c r="J330" s="6">
        <v>46174</v>
      </c>
      <c r="K330" s="10" t="s">
        <v>20</v>
      </c>
      <c r="L330" s="14" t="str">
        <f t="shared" si="5"/>
        <v>Kiran-Electronics</v>
      </c>
    </row>
    <row r="331" spans="1:12" ht="15" thickBot="1" x14ac:dyDescent="0.4">
      <c r="A331" s="5">
        <v>1235</v>
      </c>
      <c r="B331" s="5" t="s">
        <v>57</v>
      </c>
      <c r="C331" s="5" t="s">
        <v>25</v>
      </c>
      <c r="D331" s="5" t="s">
        <v>13</v>
      </c>
      <c r="E331" s="5" t="s">
        <v>50</v>
      </c>
      <c r="F331" s="5">
        <v>15</v>
      </c>
      <c r="G331" s="5">
        <v>267</v>
      </c>
      <c r="H331" s="5">
        <v>15</v>
      </c>
      <c r="I331" s="6">
        <v>46172</v>
      </c>
      <c r="J331" s="6">
        <v>46177</v>
      </c>
      <c r="K331" s="10" t="s">
        <v>29</v>
      </c>
      <c r="L331" s="14" t="str">
        <f t="shared" si="5"/>
        <v>Sara-Stationery</v>
      </c>
    </row>
    <row r="332" spans="1:12" ht="15" thickBot="1" x14ac:dyDescent="0.4">
      <c r="A332" s="5">
        <v>1044</v>
      </c>
      <c r="B332" s="5" t="s">
        <v>48</v>
      </c>
      <c r="C332" s="5" t="s">
        <v>38</v>
      </c>
      <c r="D332" s="5" t="s">
        <v>18</v>
      </c>
      <c r="E332" s="5" t="s">
        <v>19</v>
      </c>
      <c r="F332" s="5">
        <v>4</v>
      </c>
      <c r="G332" s="5">
        <v>14731</v>
      </c>
      <c r="H332" s="5">
        <v>2</v>
      </c>
      <c r="I332" s="6">
        <v>46173</v>
      </c>
      <c r="J332" s="6">
        <v>46176</v>
      </c>
      <c r="K332" s="10" t="s">
        <v>20</v>
      </c>
      <c r="L332" s="14" t="str">
        <f t="shared" si="5"/>
        <v>Nitin-Furniture</v>
      </c>
    </row>
    <row r="333" spans="1:12" ht="15" thickBot="1" x14ac:dyDescent="0.4">
      <c r="A333" s="5">
        <v>1247</v>
      </c>
      <c r="B333" s="5" t="s">
        <v>26</v>
      </c>
      <c r="C333" s="5" t="s">
        <v>12</v>
      </c>
      <c r="D333" s="5" t="s">
        <v>13</v>
      </c>
      <c r="E333" s="5" t="s">
        <v>50</v>
      </c>
      <c r="F333" s="5">
        <v>10</v>
      </c>
      <c r="G333" s="5">
        <v>336</v>
      </c>
      <c r="H333" s="5">
        <v>7</v>
      </c>
      <c r="I333" s="6">
        <v>46173</v>
      </c>
      <c r="J333" s="6">
        <v>46175</v>
      </c>
      <c r="K333" s="10" t="s">
        <v>20</v>
      </c>
      <c r="L333" s="14" t="str">
        <f t="shared" si="5"/>
        <v>Vikram-Stationery</v>
      </c>
    </row>
    <row r="334" spans="1:12" ht="15" thickBot="1" x14ac:dyDescent="0.4">
      <c r="A334" s="5">
        <v>1311</v>
      </c>
      <c r="B334" s="5" t="s">
        <v>55</v>
      </c>
      <c r="C334" s="5" t="s">
        <v>12</v>
      </c>
      <c r="D334" s="5" t="s">
        <v>13</v>
      </c>
      <c r="E334" s="5" t="s">
        <v>14</v>
      </c>
      <c r="F334" s="5">
        <v>2</v>
      </c>
      <c r="G334" s="5">
        <v>209</v>
      </c>
      <c r="H334" s="5">
        <v>0</v>
      </c>
      <c r="I334" s="6">
        <v>46173</v>
      </c>
      <c r="J334" s="6">
        <v>46176</v>
      </c>
      <c r="K334" s="10" t="s">
        <v>20</v>
      </c>
      <c r="L334" s="14" t="str">
        <f t="shared" si="5"/>
        <v>Sneha-Stationery</v>
      </c>
    </row>
    <row r="335" spans="1:12" ht="15" thickBot="1" x14ac:dyDescent="0.4">
      <c r="A335" s="5">
        <v>1343</v>
      </c>
      <c r="B335" s="5" t="s">
        <v>59</v>
      </c>
      <c r="C335" s="5" t="s">
        <v>31</v>
      </c>
      <c r="D335" s="5" t="s">
        <v>34</v>
      </c>
      <c r="E335" s="5" t="s">
        <v>39</v>
      </c>
      <c r="F335" s="5">
        <v>14</v>
      </c>
      <c r="G335" s="5">
        <v>32719</v>
      </c>
      <c r="H335" s="5">
        <v>15</v>
      </c>
      <c r="I335" s="6">
        <v>46174</v>
      </c>
      <c r="J335" s="6">
        <v>46179</v>
      </c>
      <c r="K335" s="10" t="s">
        <v>15</v>
      </c>
      <c r="L335" s="14" t="str">
        <f t="shared" si="5"/>
        <v>Anita-Electronics</v>
      </c>
    </row>
    <row r="336" spans="1:12" ht="15" thickBot="1" x14ac:dyDescent="0.4">
      <c r="A336" s="5">
        <v>1002</v>
      </c>
      <c r="B336" s="5" t="s">
        <v>16</v>
      </c>
      <c r="C336" s="5" t="s">
        <v>17</v>
      </c>
      <c r="D336" s="5" t="s">
        <v>18</v>
      </c>
      <c r="E336" s="5" t="s">
        <v>19</v>
      </c>
      <c r="F336" s="5">
        <v>7</v>
      </c>
      <c r="G336" s="5">
        <v>8448</v>
      </c>
      <c r="H336" s="5">
        <v>12</v>
      </c>
      <c r="I336" s="6">
        <v>46174</v>
      </c>
      <c r="J336" s="6">
        <v>46179</v>
      </c>
      <c r="K336" s="10" t="s">
        <v>20</v>
      </c>
      <c r="L336" s="14" t="str">
        <f t="shared" si="5"/>
        <v>Pooja-Furniture</v>
      </c>
    </row>
    <row r="337" spans="1:12" ht="15" thickBot="1" x14ac:dyDescent="0.4">
      <c r="A337" s="5">
        <v>1262</v>
      </c>
      <c r="B337" s="5" t="s">
        <v>16</v>
      </c>
      <c r="C337" s="5" t="s">
        <v>22</v>
      </c>
      <c r="D337" s="5" t="s">
        <v>18</v>
      </c>
      <c r="E337" s="5" t="s">
        <v>28</v>
      </c>
      <c r="F337" s="5">
        <v>9</v>
      </c>
      <c r="G337" s="5">
        <v>2231</v>
      </c>
      <c r="H337" s="5">
        <v>15</v>
      </c>
      <c r="I337" s="6">
        <v>46174</v>
      </c>
      <c r="J337" s="6">
        <v>46183</v>
      </c>
      <c r="K337" s="10" t="s">
        <v>15</v>
      </c>
      <c r="L337" s="14" t="str">
        <f t="shared" si="5"/>
        <v>Pooja-Furniture</v>
      </c>
    </row>
    <row r="338" spans="1:12" ht="15" thickBot="1" x14ac:dyDescent="0.4">
      <c r="A338" s="5">
        <v>1015</v>
      </c>
      <c r="B338" s="5" t="s">
        <v>42</v>
      </c>
      <c r="C338" s="5" t="s">
        <v>43</v>
      </c>
      <c r="D338" s="5" t="s">
        <v>18</v>
      </c>
      <c r="E338" s="5" t="s">
        <v>44</v>
      </c>
      <c r="F338" s="5">
        <v>11</v>
      </c>
      <c r="G338" s="5">
        <v>14511</v>
      </c>
      <c r="H338" s="5">
        <v>2</v>
      </c>
      <c r="I338" s="6">
        <v>46175</v>
      </c>
      <c r="J338" s="6">
        <v>46185</v>
      </c>
      <c r="K338" s="10" t="s">
        <v>20</v>
      </c>
      <c r="L338" s="14" t="str">
        <f t="shared" si="5"/>
        <v>Nisha-Furniture</v>
      </c>
    </row>
    <row r="339" spans="1:12" ht="15" thickBot="1" x14ac:dyDescent="0.4">
      <c r="A339" s="5">
        <v>1093</v>
      </c>
      <c r="B339" s="5" t="s">
        <v>47</v>
      </c>
      <c r="C339" s="5" t="s">
        <v>25</v>
      </c>
      <c r="D339" s="5" t="s">
        <v>18</v>
      </c>
      <c r="E339" s="5" t="s">
        <v>23</v>
      </c>
      <c r="F339" s="5">
        <v>6</v>
      </c>
      <c r="G339" s="5">
        <v>8224</v>
      </c>
      <c r="H339" s="5">
        <v>15</v>
      </c>
      <c r="I339" s="6">
        <v>46175</v>
      </c>
      <c r="J339" s="6">
        <v>46185</v>
      </c>
      <c r="K339" s="10" t="s">
        <v>51</v>
      </c>
      <c r="L339" s="14" t="str">
        <f t="shared" si="5"/>
        <v>Yash-Furniture</v>
      </c>
    </row>
    <row r="340" spans="1:12" ht="15" thickBot="1" x14ac:dyDescent="0.4">
      <c r="A340" s="5">
        <v>1025</v>
      </c>
      <c r="B340" s="5" t="s">
        <v>21</v>
      </c>
      <c r="C340" s="5" t="s">
        <v>12</v>
      </c>
      <c r="D340" s="5" t="s">
        <v>18</v>
      </c>
      <c r="E340" s="5" t="s">
        <v>19</v>
      </c>
      <c r="F340" s="5">
        <v>18</v>
      </c>
      <c r="G340" s="5">
        <v>7924</v>
      </c>
      <c r="H340" s="5">
        <v>0</v>
      </c>
      <c r="I340" s="6">
        <v>46175</v>
      </c>
      <c r="J340" s="6">
        <v>46181</v>
      </c>
      <c r="K340" s="10" t="s">
        <v>15</v>
      </c>
      <c r="L340" s="14" t="str">
        <f t="shared" si="5"/>
        <v>Meera-Furniture</v>
      </c>
    </row>
    <row r="341" spans="1:12" ht="15" thickBot="1" x14ac:dyDescent="0.4">
      <c r="A341" s="5">
        <v>1211</v>
      </c>
      <c r="B341" s="5" t="s">
        <v>48</v>
      </c>
      <c r="C341" s="5" t="s">
        <v>17</v>
      </c>
      <c r="D341" s="5" t="s">
        <v>34</v>
      </c>
      <c r="E341" s="5" t="s">
        <v>35</v>
      </c>
      <c r="F341" s="5">
        <v>3</v>
      </c>
      <c r="G341" s="5">
        <v>5962</v>
      </c>
      <c r="H341" s="5">
        <v>7</v>
      </c>
      <c r="I341" s="6">
        <v>46175</v>
      </c>
      <c r="J341" s="6">
        <v>46183</v>
      </c>
      <c r="K341" s="10" t="s">
        <v>15</v>
      </c>
      <c r="L341" s="14" t="str">
        <f t="shared" si="5"/>
        <v>Nitin-Electronics</v>
      </c>
    </row>
    <row r="342" spans="1:12" ht="15" thickBot="1" x14ac:dyDescent="0.4">
      <c r="A342" s="5">
        <v>1245</v>
      </c>
      <c r="B342" s="5" t="s">
        <v>55</v>
      </c>
      <c r="C342" s="5" t="s">
        <v>43</v>
      </c>
      <c r="D342" s="5" t="s">
        <v>34</v>
      </c>
      <c r="E342" s="5" t="s">
        <v>41</v>
      </c>
      <c r="F342" s="5">
        <v>19</v>
      </c>
      <c r="G342" s="5">
        <v>69029</v>
      </c>
      <c r="H342" s="5">
        <v>7</v>
      </c>
      <c r="I342" s="6">
        <v>46176</v>
      </c>
      <c r="J342" s="6">
        <v>46179</v>
      </c>
      <c r="K342" s="10" t="s">
        <v>29</v>
      </c>
      <c r="L342" s="14" t="str">
        <f t="shared" si="5"/>
        <v>Sneha-Electronics</v>
      </c>
    </row>
    <row r="343" spans="1:12" ht="15" thickBot="1" x14ac:dyDescent="0.4">
      <c r="A343" s="5">
        <v>1282</v>
      </c>
      <c r="B343" s="5" t="s">
        <v>57</v>
      </c>
      <c r="C343" s="5" t="s">
        <v>43</v>
      </c>
      <c r="D343" s="5" t="s">
        <v>18</v>
      </c>
      <c r="E343" s="5" t="s">
        <v>44</v>
      </c>
      <c r="F343" s="5">
        <v>12</v>
      </c>
      <c r="G343" s="5">
        <v>3178</v>
      </c>
      <c r="H343" s="5">
        <v>10</v>
      </c>
      <c r="I343" s="6">
        <v>46176</v>
      </c>
      <c r="J343" s="6">
        <v>46177</v>
      </c>
      <c r="K343" s="10" t="s">
        <v>29</v>
      </c>
      <c r="L343" s="14" t="str">
        <f t="shared" si="5"/>
        <v>Sara-Furniture</v>
      </c>
    </row>
    <row r="344" spans="1:12" ht="15" thickBot="1" x14ac:dyDescent="0.4">
      <c r="A344" s="5">
        <v>1338</v>
      </c>
      <c r="B344" s="5" t="s">
        <v>59</v>
      </c>
      <c r="C344" s="5" t="s">
        <v>25</v>
      </c>
      <c r="D344" s="5" t="s">
        <v>34</v>
      </c>
      <c r="E344" s="5" t="s">
        <v>60</v>
      </c>
      <c r="F344" s="5">
        <v>10</v>
      </c>
      <c r="G344" s="5">
        <v>16719</v>
      </c>
      <c r="H344" s="5">
        <v>5</v>
      </c>
      <c r="I344" s="6">
        <v>46177</v>
      </c>
      <c r="J344" s="6">
        <v>46179</v>
      </c>
      <c r="K344" s="10" t="s">
        <v>15</v>
      </c>
      <c r="L344" s="14" t="str">
        <f t="shared" si="5"/>
        <v>Anita-Electronics</v>
      </c>
    </row>
    <row r="345" spans="1:12" ht="15" thickBot="1" x14ac:dyDescent="0.4">
      <c r="A345" s="5">
        <v>1187</v>
      </c>
      <c r="B345" s="5" t="s">
        <v>54</v>
      </c>
      <c r="C345" s="5" t="s">
        <v>22</v>
      </c>
      <c r="D345" s="5" t="s">
        <v>34</v>
      </c>
      <c r="E345" s="5" t="s">
        <v>45</v>
      </c>
      <c r="F345" s="5">
        <v>18</v>
      </c>
      <c r="G345" s="5">
        <v>68527</v>
      </c>
      <c r="H345" s="5">
        <v>12</v>
      </c>
      <c r="I345" s="6">
        <v>46178</v>
      </c>
      <c r="J345" s="6">
        <v>46184</v>
      </c>
      <c r="K345" s="10" t="s">
        <v>51</v>
      </c>
      <c r="L345" s="14" t="str">
        <f t="shared" si="5"/>
        <v>Manoj-Electronics</v>
      </c>
    </row>
    <row r="346" spans="1:12" ht="15" thickBot="1" x14ac:dyDescent="0.4">
      <c r="A346" s="5">
        <v>1297</v>
      </c>
      <c r="B346" s="5" t="s">
        <v>54</v>
      </c>
      <c r="C346" s="5" t="s">
        <v>25</v>
      </c>
      <c r="D346" s="5" t="s">
        <v>34</v>
      </c>
      <c r="E346" s="5" t="s">
        <v>35</v>
      </c>
      <c r="F346" s="5">
        <v>14</v>
      </c>
      <c r="G346" s="5">
        <v>24524</v>
      </c>
      <c r="H346" s="5">
        <v>10</v>
      </c>
      <c r="I346" s="6">
        <v>46178</v>
      </c>
      <c r="J346" s="6">
        <v>46187</v>
      </c>
      <c r="K346" s="10" t="s">
        <v>29</v>
      </c>
      <c r="L346" s="14" t="str">
        <f t="shared" si="5"/>
        <v>Manoj-Electronics</v>
      </c>
    </row>
    <row r="347" spans="1:12" ht="15" thickBot="1" x14ac:dyDescent="0.4">
      <c r="A347" s="5">
        <v>1231</v>
      </c>
      <c r="B347" s="5" t="s">
        <v>48</v>
      </c>
      <c r="C347" s="5" t="s">
        <v>38</v>
      </c>
      <c r="D347" s="5" t="s">
        <v>18</v>
      </c>
      <c r="E347" s="5" t="s">
        <v>19</v>
      </c>
      <c r="F347" s="5">
        <v>13</v>
      </c>
      <c r="G347" s="5">
        <v>10297</v>
      </c>
      <c r="H347" s="5">
        <v>12</v>
      </c>
      <c r="I347" s="6">
        <v>46178</v>
      </c>
      <c r="J347" s="6">
        <v>46186</v>
      </c>
      <c r="K347" s="10" t="s">
        <v>20</v>
      </c>
      <c r="L347" s="14" t="str">
        <f t="shared" si="5"/>
        <v>Nitin-Furniture</v>
      </c>
    </row>
    <row r="348" spans="1:12" ht="15" thickBot="1" x14ac:dyDescent="0.4">
      <c r="A348" s="5">
        <v>1118</v>
      </c>
      <c r="B348" s="5" t="s">
        <v>21</v>
      </c>
      <c r="C348" s="5" t="s">
        <v>22</v>
      </c>
      <c r="D348" s="5" t="s">
        <v>18</v>
      </c>
      <c r="E348" s="5" t="s">
        <v>23</v>
      </c>
      <c r="F348" s="5">
        <v>18</v>
      </c>
      <c r="G348" s="5">
        <v>9118</v>
      </c>
      <c r="H348" s="5">
        <v>5</v>
      </c>
      <c r="I348" s="6">
        <v>46178</v>
      </c>
      <c r="J348" s="6">
        <v>46187</v>
      </c>
      <c r="K348" s="10" t="s">
        <v>29</v>
      </c>
      <c r="L348" s="14" t="str">
        <f t="shared" si="5"/>
        <v>Meera-Furniture</v>
      </c>
    </row>
    <row r="349" spans="1:12" ht="15" thickBot="1" x14ac:dyDescent="0.4">
      <c r="A349" s="5">
        <v>1154</v>
      </c>
      <c r="B349" s="5" t="s">
        <v>32</v>
      </c>
      <c r="C349" s="5" t="s">
        <v>17</v>
      </c>
      <c r="D349" s="5" t="s">
        <v>18</v>
      </c>
      <c r="E349" s="5" t="s">
        <v>56</v>
      </c>
      <c r="F349" s="5">
        <v>15</v>
      </c>
      <c r="G349" s="5">
        <v>6101</v>
      </c>
      <c r="H349" s="5">
        <v>0</v>
      </c>
      <c r="I349" s="6">
        <v>46178</v>
      </c>
      <c r="J349" s="6">
        <v>46183</v>
      </c>
      <c r="K349" s="10" t="s">
        <v>51</v>
      </c>
      <c r="L349" s="14" t="str">
        <f t="shared" si="5"/>
        <v>Asha-Furniture</v>
      </c>
    </row>
    <row r="350" spans="1:12" ht="15" thickBot="1" x14ac:dyDescent="0.4">
      <c r="A350" s="5">
        <v>1199</v>
      </c>
      <c r="B350" s="5" t="s">
        <v>11</v>
      </c>
      <c r="C350" s="5" t="s">
        <v>25</v>
      </c>
      <c r="D350" s="5" t="s">
        <v>34</v>
      </c>
      <c r="E350" s="5" t="s">
        <v>45</v>
      </c>
      <c r="F350" s="5">
        <v>2</v>
      </c>
      <c r="G350" s="5">
        <v>4375</v>
      </c>
      <c r="H350" s="5">
        <v>7</v>
      </c>
      <c r="I350" s="6">
        <v>46178</v>
      </c>
      <c r="J350" s="6">
        <v>46180</v>
      </c>
      <c r="K350" s="10" t="s">
        <v>24</v>
      </c>
      <c r="L350" s="14" t="str">
        <f t="shared" si="5"/>
        <v>Ritesh-Electronics</v>
      </c>
    </row>
    <row r="351" spans="1:12" ht="15" thickBot="1" x14ac:dyDescent="0.4">
      <c r="A351" s="5">
        <v>1376</v>
      </c>
      <c r="B351" s="5" t="s">
        <v>52</v>
      </c>
      <c r="C351" s="5" t="s">
        <v>31</v>
      </c>
      <c r="D351" s="5" t="s">
        <v>13</v>
      </c>
      <c r="E351" s="5" t="s">
        <v>50</v>
      </c>
      <c r="F351" s="5">
        <v>20</v>
      </c>
      <c r="G351" s="5">
        <v>429</v>
      </c>
      <c r="H351" s="5">
        <v>5</v>
      </c>
      <c r="I351" s="6">
        <v>46178</v>
      </c>
      <c r="J351" s="6">
        <v>46184</v>
      </c>
      <c r="K351" s="10" t="s">
        <v>20</v>
      </c>
      <c r="L351" s="14" t="str">
        <f t="shared" si="5"/>
        <v>Komal-Stationery</v>
      </c>
    </row>
    <row r="352" spans="1:12" ht="15" thickBot="1" x14ac:dyDescent="0.4">
      <c r="A352" s="5">
        <v>1274</v>
      </c>
      <c r="B352" s="5" t="s">
        <v>26</v>
      </c>
      <c r="C352" s="5" t="s">
        <v>25</v>
      </c>
      <c r="D352" s="5" t="s">
        <v>34</v>
      </c>
      <c r="E352" s="5" t="s">
        <v>41</v>
      </c>
      <c r="F352" s="5">
        <v>13</v>
      </c>
      <c r="G352" s="5">
        <v>36652</v>
      </c>
      <c r="H352" s="5">
        <v>12</v>
      </c>
      <c r="I352" s="6">
        <v>46179</v>
      </c>
      <c r="J352" s="6">
        <v>46186</v>
      </c>
      <c r="K352" s="10" t="s">
        <v>20</v>
      </c>
      <c r="L352" s="14" t="str">
        <f t="shared" si="5"/>
        <v>Vikram-Electronics</v>
      </c>
    </row>
    <row r="353" spans="1:12" ht="15" thickBot="1" x14ac:dyDescent="0.4">
      <c r="A353" s="5">
        <v>1288</v>
      </c>
      <c r="B353" s="5" t="s">
        <v>54</v>
      </c>
      <c r="C353" s="5" t="s">
        <v>22</v>
      </c>
      <c r="D353" s="5" t="s">
        <v>34</v>
      </c>
      <c r="E353" s="5" t="s">
        <v>60</v>
      </c>
      <c r="F353" s="5">
        <v>14</v>
      </c>
      <c r="G353" s="5">
        <v>35601</v>
      </c>
      <c r="H353" s="5">
        <v>10</v>
      </c>
      <c r="I353" s="6">
        <v>46179</v>
      </c>
      <c r="J353" s="6">
        <v>46187</v>
      </c>
      <c r="K353" s="10" t="s">
        <v>29</v>
      </c>
      <c r="L353" s="14" t="str">
        <f t="shared" si="5"/>
        <v>Manoj-Electronics</v>
      </c>
    </row>
    <row r="354" spans="1:12" ht="15" thickBot="1" x14ac:dyDescent="0.4">
      <c r="A354" s="5">
        <v>1278</v>
      </c>
      <c r="B354" s="5" t="s">
        <v>47</v>
      </c>
      <c r="C354" s="5" t="s">
        <v>22</v>
      </c>
      <c r="D354" s="5" t="s">
        <v>34</v>
      </c>
      <c r="E354" s="5" t="s">
        <v>61</v>
      </c>
      <c r="F354" s="5">
        <v>4</v>
      </c>
      <c r="G354" s="5">
        <v>20639</v>
      </c>
      <c r="H354" s="5">
        <v>7</v>
      </c>
      <c r="I354" s="6">
        <v>46180</v>
      </c>
      <c r="J354" s="6">
        <v>46186</v>
      </c>
      <c r="K354" s="10" t="s">
        <v>20</v>
      </c>
      <c r="L354" s="14" t="str">
        <f t="shared" si="5"/>
        <v>Yash-Electronics</v>
      </c>
    </row>
    <row r="355" spans="1:12" ht="15" thickBot="1" x14ac:dyDescent="0.4">
      <c r="A355" s="5">
        <v>1048</v>
      </c>
      <c r="B355" s="5" t="s">
        <v>59</v>
      </c>
      <c r="C355" s="5" t="s">
        <v>25</v>
      </c>
      <c r="D355" s="5" t="s">
        <v>34</v>
      </c>
      <c r="E355" s="5" t="s">
        <v>60</v>
      </c>
      <c r="F355" s="5">
        <v>14</v>
      </c>
      <c r="G355" s="5">
        <v>11762</v>
      </c>
      <c r="H355" s="5">
        <v>7</v>
      </c>
      <c r="I355" s="6">
        <v>46180</v>
      </c>
      <c r="J355" s="6">
        <v>46186</v>
      </c>
      <c r="K355" s="10" t="s">
        <v>24</v>
      </c>
      <c r="L355" s="14" t="str">
        <f t="shared" si="5"/>
        <v>Anita-Electronics</v>
      </c>
    </row>
    <row r="356" spans="1:12" ht="15" thickBot="1" x14ac:dyDescent="0.4">
      <c r="A356" s="5">
        <v>1294</v>
      </c>
      <c r="B356" s="5" t="s">
        <v>21</v>
      </c>
      <c r="C356" s="5" t="s">
        <v>12</v>
      </c>
      <c r="D356" s="5" t="s">
        <v>18</v>
      </c>
      <c r="E356" s="5" t="s">
        <v>19</v>
      </c>
      <c r="F356" s="5">
        <v>8</v>
      </c>
      <c r="G356" s="5">
        <v>14448</v>
      </c>
      <c r="H356" s="5">
        <v>10</v>
      </c>
      <c r="I356" s="6">
        <v>46181</v>
      </c>
      <c r="J356" s="6">
        <v>46189</v>
      </c>
      <c r="K356" s="10" t="s">
        <v>15</v>
      </c>
      <c r="L356" s="14" t="str">
        <f t="shared" si="5"/>
        <v>Meera-Furniture</v>
      </c>
    </row>
    <row r="357" spans="1:12" ht="15" thickBot="1" x14ac:dyDescent="0.4">
      <c r="A357" s="5">
        <v>1310</v>
      </c>
      <c r="B357" s="5" t="s">
        <v>49</v>
      </c>
      <c r="C357" s="5" t="s">
        <v>17</v>
      </c>
      <c r="D357" s="5" t="s">
        <v>18</v>
      </c>
      <c r="E357" s="5" t="s">
        <v>56</v>
      </c>
      <c r="F357" s="5">
        <v>19</v>
      </c>
      <c r="G357" s="5">
        <v>12691</v>
      </c>
      <c r="H357" s="5">
        <v>0</v>
      </c>
      <c r="I357" s="6">
        <v>46181</v>
      </c>
      <c r="J357" s="6">
        <v>46189</v>
      </c>
      <c r="K357" s="10" t="s">
        <v>29</v>
      </c>
      <c r="L357" s="14" t="str">
        <f t="shared" si="5"/>
        <v>Ajay-Furniture</v>
      </c>
    </row>
    <row r="358" spans="1:12" ht="15" thickBot="1" x14ac:dyDescent="0.4">
      <c r="A358" s="5">
        <v>1124</v>
      </c>
      <c r="B358" s="5" t="s">
        <v>27</v>
      </c>
      <c r="C358" s="5" t="s">
        <v>38</v>
      </c>
      <c r="D358" s="5" t="s">
        <v>18</v>
      </c>
      <c r="E358" s="5" t="s">
        <v>56</v>
      </c>
      <c r="F358" s="5">
        <v>4</v>
      </c>
      <c r="G358" s="5">
        <v>14195</v>
      </c>
      <c r="H358" s="5">
        <v>15</v>
      </c>
      <c r="I358" s="6">
        <v>46182</v>
      </c>
      <c r="J358" s="6">
        <v>46189</v>
      </c>
      <c r="K358" s="10" t="s">
        <v>51</v>
      </c>
      <c r="L358" s="14" t="str">
        <f t="shared" si="5"/>
        <v>Arjun-Furniture</v>
      </c>
    </row>
    <row r="359" spans="1:12" ht="15" thickBot="1" x14ac:dyDescent="0.4">
      <c r="A359" s="5">
        <v>1009</v>
      </c>
      <c r="B359" s="5" t="s">
        <v>32</v>
      </c>
      <c r="C359" s="5" t="s">
        <v>33</v>
      </c>
      <c r="D359" s="5" t="s">
        <v>34</v>
      </c>
      <c r="E359" s="5" t="s">
        <v>35</v>
      </c>
      <c r="F359" s="5">
        <v>10</v>
      </c>
      <c r="G359" s="5">
        <v>40671</v>
      </c>
      <c r="H359" s="5">
        <v>12</v>
      </c>
      <c r="I359" s="6">
        <v>46183</v>
      </c>
      <c r="J359" s="6">
        <v>46193</v>
      </c>
      <c r="K359" s="10" t="s">
        <v>24</v>
      </c>
      <c r="L359" s="14" t="str">
        <f t="shared" si="5"/>
        <v>Asha-Electronics</v>
      </c>
    </row>
    <row r="360" spans="1:12" ht="15" thickBot="1" x14ac:dyDescent="0.4">
      <c r="A360" s="5">
        <v>1003</v>
      </c>
      <c r="B360" s="5" t="s">
        <v>21</v>
      </c>
      <c r="C360" s="5" t="s">
        <v>22</v>
      </c>
      <c r="D360" s="5" t="s">
        <v>18</v>
      </c>
      <c r="E360" s="5" t="s">
        <v>23</v>
      </c>
      <c r="F360" s="5">
        <v>20</v>
      </c>
      <c r="G360" s="5">
        <v>2123</v>
      </c>
      <c r="H360" s="5">
        <v>15</v>
      </c>
      <c r="I360" s="6">
        <v>46183</v>
      </c>
      <c r="J360" s="6">
        <v>46192</v>
      </c>
      <c r="K360" s="10" t="s">
        <v>24</v>
      </c>
      <c r="L360" s="14" t="str">
        <f t="shared" si="5"/>
        <v>Meera-Furniture</v>
      </c>
    </row>
    <row r="361" spans="1:12" ht="15" thickBot="1" x14ac:dyDescent="0.4">
      <c r="A361" s="5">
        <v>1320</v>
      </c>
      <c r="B361" s="5" t="s">
        <v>47</v>
      </c>
      <c r="C361" s="5" t="s">
        <v>38</v>
      </c>
      <c r="D361" s="5" t="s">
        <v>13</v>
      </c>
      <c r="E361" s="5" t="s">
        <v>36</v>
      </c>
      <c r="F361" s="5">
        <v>20</v>
      </c>
      <c r="G361" s="5">
        <v>55</v>
      </c>
      <c r="H361" s="5">
        <v>7</v>
      </c>
      <c r="I361" s="6">
        <v>46183</v>
      </c>
      <c r="J361" s="6">
        <v>46186</v>
      </c>
      <c r="K361" s="10" t="s">
        <v>20</v>
      </c>
      <c r="L361" s="14" t="str">
        <f t="shared" si="5"/>
        <v>Yash-Stationery</v>
      </c>
    </row>
    <row r="362" spans="1:12" ht="15" thickBot="1" x14ac:dyDescent="0.4">
      <c r="A362" s="5">
        <v>1159</v>
      </c>
      <c r="B362" s="5" t="s">
        <v>32</v>
      </c>
      <c r="C362" s="5" t="s">
        <v>43</v>
      </c>
      <c r="D362" s="5" t="s">
        <v>18</v>
      </c>
      <c r="E362" s="5" t="s">
        <v>28</v>
      </c>
      <c r="F362" s="5">
        <v>20</v>
      </c>
      <c r="G362" s="5">
        <v>14000</v>
      </c>
      <c r="H362" s="5">
        <v>15</v>
      </c>
      <c r="I362" s="6">
        <v>46184</v>
      </c>
      <c r="J362" s="6">
        <v>46187</v>
      </c>
      <c r="K362" s="10" t="s">
        <v>15</v>
      </c>
      <c r="L362" s="14" t="str">
        <f t="shared" si="5"/>
        <v>Asha-Furniture</v>
      </c>
    </row>
    <row r="363" spans="1:12" ht="15" thickBot="1" x14ac:dyDescent="0.4">
      <c r="A363" s="5">
        <v>1189</v>
      </c>
      <c r="B363" s="5" t="s">
        <v>49</v>
      </c>
      <c r="C363" s="5" t="s">
        <v>31</v>
      </c>
      <c r="D363" s="5" t="s">
        <v>18</v>
      </c>
      <c r="E363" s="5" t="s">
        <v>56</v>
      </c>
      <c r="F363" s="5">
        <v>12</v>
      </c>
      <c r="G363" s="5">
        <v>8327</v>
      </c>
      <c r="H363" s="5">
        <v>10</v>
      </c>
      <c r="I363" s="6">
        <v>46184</v>
      </c>
      <c r="J363" s="6">
        <v>46185</v>
      </c>
      <c r="K363" s="10" t="s">
        <v>29</v>
      </c>
      <c r="L363" s="14" t="str">
        <f t="shared" si="5"/>
        <v>Ajay-Furniture</v>
      </c>
    </row>
    <row r="364" spans="1:12" ht="15" thickBot="1" x14ac:dyDescent="0.4">
      <c r="A364" s="5">
        <v>1119</v>
      </c>
      <c r="B364" s="5" t="s">
        <v>30</v>
      </c>
      <c r="C364" s="5" t="s">
        <v>43</v>
      </c>
      <c r="D364" s="5" t="s">
        <v>18</v>
      </c>
      <c r="E364" s="5" t="s">
        <v>28</v>
      </c>
      <c r="F364" s="5">
        <v>2</v>
      </c>
      <c r="G364" s="5">
        <v>3706</v>
      </c>
      <c r="H364" s="5">
        <v>5</v>
      </c>
      <c r="I364" s="6">
        <v>46184</v>
      </c>
      <c r="J364" s="6">
        <v>46192</v>
      </c>
      <c r="K364" s="10" t="s">
        <v>51</v>
      </c>
      <c r="L364" s="14" t="str">
        <f t="shared" si="5"/>
        <v>Neha-Furniture</v>
      </c>
    </row>
    <row r="365" spans="1:12" ht="15" thickBot="1" x14ac:dyDescent="0.4">
      <c r="A365" s="5">
        <v>1370</v>
      </c>
      <c r="B365" s="5" t="s">
        <v>59</v>
      </c>
      <c r="C365" s="5" t="s">
        <v>38</v>
      </c>
      <c r="D365" s="5" t="s">
        <v>13</v>
      </c>
      <c r="E365" s="5" t="s">
        <v>53</v>
      </c>
      <c r="F365" s="5">
        <v>13</v>
      </c>
      <c r="G365" s="5">
        <v>337</v>
      </c>
      <c r="H365" s="5">
        <v>7</v>
      </c>
      <c r="I365" s="6">
        <v>46184</v>
      </c>
      <c r="J365" s="6">
        <v>46188</v>
      </c>
      <c r="K365" s="10" t="s">
        <v>15</v>
      </c>
      <c r="L365" s="14" t="str">
        <f t="shared" si="5"/>
        <v>Anita-Stationery</v>
      </c>
    </row>
    <row r="366" spans="1:12" ht="15" thickBot="1" x14ac:dyDescent="0.4">
      <c r="A366" s="5">
        <v>1137</v>
      </c>
      <c r="B366" s="5" t="s">
        <v>52</v>
      </c>
      <c r="C366" s="5" t="s">
        <v>12</v>
      </c>
      <c r="D366" s="5" t="s">
        <v>13</v>
      </c>
      <c r="E366" s="5" t="s">
        <v>37</v>
      </c>
      <c r="F366" s="5">
        <v>16</v>
      </c>
      <c r="G366" s="5">
        <v>270</v>
      </c>
      <c r="H366" s="5">
        <v>10</v>
      </c>
      <c r="I366" s="6">
        <v>46184</v>
      </c>
      <c r="J366" s="6">
        <v>46190</v>
      </c>
      <c r="K366" s="10" t="s">
        <v>29</v>
      </c>
      <c r="L366" s="14" t="str">
        <f t="shared" si="5"/>
        <v>Komal-Stationery</v>
      </c>
    </row>
    <row r="367" spans="1:12" ht="15" thickBot="1" x14ac:dyDescent="0.4">
      <c r="A367" s="5">
        <v>1075</v>
      </c>
      <c r="B367" s="5" t="s">
        <v>42</v>
      </c>
      <c r="C367" s="5" t="s">
        <v>43</v>
      </c>
      <c r="D367" s="5" t="s">
        <v>34</v>
      </c>
      <c r="E367" s="5" t="s">
        <v>61</v>
      </c>
      <c r="F367" s="5">
        <v>4</v>
      </c>
      <c r="G367" s="5">
        <v>64773</v>
      </c>
      <c r="H367" s="5">
        <v>10</v>
      </c>
      <c r="I367" s="6">
        <v>46185</v>
      </c>
      <c r="J367" s="6">
        <v>46186</v>
      </c>
      <c r="K367" s="10" t="s">
        <v>51</v>
      </c>
      <c r="L367" s="14" t="str">
        <f t="shared" si="5"/>
        <v>Nisha-Electronics</v>
      </c>
    </row>
    <row r="368" spans="1:12" ht="15" thickBot="1" x14ac:dyDescent="0.4">
      <c r="A368" s="5">
        <v>1350</v>
      </c>
      <c r="B368" s="5" t="s">
        <v>26</v>
      </c>
      <c r="C368" s="5" t="s">
        <v>43</v>
      </c>
      <c r="D368" s="5" t="s">
        <v>18</v>
      </c>
      <c r="E368" s="5" t="s">
        <v>28</v>
      </c>
      <c r="F368" s="5">
        <v>16</v>
      </c>
      <c r="G368" s="5">
        <v>11790</v>
      </c>
      <c r="H368" s="5">
        <v>12</v>
      </c>
      <c r="I368" s="6">
        <v>46185</v>
      </c>
      <c r="J368" s="6">
        <v>46190</v>
      </c>
      <c r="K368" s="10" t="s">
        <v>29</v>
      </c>
      <c r="L368" s="14" t="str">
        <f t="shared" si="5"/>
        <v>Vikram-Furniture</v>
      </c>
    </row>
    <row r="369" spans="1:12" ht="15" thickBot="1" x14ac:dyDescent="0.4">
      <c r="A369" s="5">
        <v>1083</v>
      </c>
      <c r="B369" s="5" t="s">
        <v>55</v>
      </c>
      <c r="C369" s="5" t="s">
        <v>33</v>
      </c>
      <c r="D369" s="5" t="s">
        <v>13</v>
      </c>
      <c r="E369" s="5" t="s">
        <v>53</v>
      </c>
      <c r="F369" s="5">
        <v>4</v>
      </c>
      <c r="G369" s="5">
        <v>397</v>
      </c>
      <c r="H369" s="5">
        <v>7</v>
      </c>
      <c r="I369" s="6">
        <v>46185</v>
      </c>
      <c r="J369" s="6">
        <v>46193</v>
      </c>
      <c r="K369" s="10" t="s">
        <v>15</v>
      </c>
      <c r="L369" s="14" t="str">
        <f t="shared" si="5"/>
        <v>Sneha-Stationery</v>
      </c>
    </row>
    <row r="370" spans="1:12" ht="15" thickBot="1" x14ac:dyDescent="0.4">
      <c r="A370" s="5">
        <v>1064</v>
      </c>
      <c r="B370" s="5" t="s">
        <v>26</v>
      </c>
      <c r="C370" s="5" t="s">
        <v>17</v>
      </c>
      <c r="D370" s="5" t="s">
        <v>13</v>
      </c>
      <c r="E370" s="5" t="s">
        <v>50</v>
      </c>
      <c r="F370" s="5">
        <v>20</v>
      </c>
      <c r="G370" s="5">
        <v>191</v>
      </c>
      <c r="H370" s="5">
        <v>7</v>
      </c>
      <c r="I370" s="6">
        <v>46185</v>
      </c>
      <c r="J370" s="6">
        <v>46195</v>
      </c>
      <c r="K370" s="10" t="s">
        <v>29</v>
      </c>
      <c r="L370" s="14" t="str">
        <f t="shared" si="5"/>
        <v>Vikram-Stationery</v>
      </c>
    </row>
    <row r="371" spans="1:12" ht="15" thickBot="1" x14ac:dyDescent="0.4">
      <c r="A371" s="5">
        <v>1041</v>
      </c>
      <c r="B371" s="5" t="s">
        <v>54</v>
      </c>
      <c r="C371" s="5" t="s">
        <v>38</v>
      </c>
      <c r="D371" s="5" t="s">
        <v>13</v>
      </c>
      <c r="E371" s="5" t="s">
        <v>50</v>
      </c>
      <c r="F371" s="5">
        <v>9</v>
      </c>
      <c r="G371" s="5">
        <v>71</v>
      </c>
      <c r="H371" s="5">
        <v>7</v>
      </c>
      <c r="I371" s="6">
        <v>46185</v>
      </c>
      <c r="J371" s="6">
        <v>46188</v>
      </c>
      <c r="K371" s="10" t="s">
        <v>15</v>
      </c>
      <c r="L371" s="14" t="str">
        <f t="shared" si="5"/>
        <v>Manoj-Stationery</v>
      </c>
    </row>
    <row r="372" spans="1:12" ht="15" thickBot="1" x14ac:dyDescent="0.4">
      <c r="A372" s="5">
        <v>1315</v>
      </c>
      <c r="B372" s="5" t="s">
        <v>49</v>
      </c>
      <c r="C372" s="5" t="s">
        <v>31</v>
      </c>
      <c r="D372" s="5" t="s">
        <v>34</v>
      </c>
      <c r="E372" s="5" t="s">
        <v>41</v>
      </c>
      <c r="F372" s="5">
        <v>14</v>
      </c>
      <c r="G372" s="5">
        <v>57670</v>
      </c>
      <c r="H372" s="5">
        <v>2</v>
      </c>
      <c r="I372" s="6">
        <v>46186</v>
      </c>
      <c r="J372" s="6">
        <v>46196</v>
      </c>
      <c r="K372" s="10" t="s">
        <v>15</v>
      </c>
      <c r="L372" s="14" t="str">
        <f t="shared" si="5"/>
        <v>Ajay-Electronics</v>
      </c>
    </row>
    <row r="373" spans="1:12" ht="15" thickBot="1" x14ac:dyDescent="0.4">
      <c r="A373" s="5">
        <v>1292</v>
      </c>
      <c r="B373" s="5" t="s">
        <v>54</v>
      </c>
      <c r="C373" s="5" t="s">
        <v>33</v>
      </c>
      <c r="D373" s="5" t="s">
        <v>34</v>
      </c>
      <c r="E373" s="5" t="s">
        <v>61</v>
      </c>
      <c r="F373" s="5">
        <v>11</v>
      </c>
      <c r="G373" s="5">
        <v>25158</v>
      </c>
      <c r="H373" s="5">
        <v>5</v>
      </c>
      <c r="I373" s="6">
        <v>46186</v>
      </c>
      <c r="J373" s="6">
        <v>46193</v>
      </c>
      <c r="K373" s="10" t="s">
        <v>20</v>
      </c>
      <c r="L373" s="14" t="str">
        <f t="shared" si="5"/>
        <v>Manoj-Electronics</v>
      </c>
    </row>
    <row r="374" spans="1:12" ht="15" thickBot="1" x14ac:dyDescent="0.4">
      <c r="A374" s="5">
        <v>1186</v>
      </c>
      <c r="B374" s="5" t="s">
        <v>16</v>
      </c>
      <c r="C374" s="5" t="s">
        <v>25</v>
      </c>
      <c r="D374" s="5" t="s">
        <v>18</v>
      </c>
      <c r="E374" s="5" t="s">
        <v>44</v>
      </c>
      <c r="F374" s="5">
        <v>10</v>
      </c>
      <c r="G374" s="5">
        <v>14951</v>
      </c>
      <c r="H374" s="5">
        <v>2</v>
      </c>
      <c r="I374" s="6">
        <v>46188</v>
      </c>
      <c r="J374" s="6">
        <v>46196</v>
      </c>
      <c r="K374" s="10" t="s">
        <v>24</v>
      </c>
      <c r="L374" s="14" t="str">
        <f t="shared" si="5"/>
        <v>Pooja-Furniture</v>
      </c>
    </row>
    <row r="375" spans="1:12" ht="15" thickBot="1" x14ac:dyDescent="0.4">
      <c r="A375" s="5">
        <v>1146</v>
      </c>
      <c r="B375" s="5" t="s">
        <v>16</v>
      </c>
      <c r="C375" s="5" t="s">
        <v>43</v>
      </c>
      <c r="D375" s="5" t="s">
        <v>34</v>
      </c>
      <c r="E375" s="5" t="s">
        <v>45</v>
      </c>
      <c r="F375" s="5">
        <v>7</v>
      </c>
      <c r="G375" s="5">
        <v>68217</v>
      </c>
      <c r="H375" s="5">
        <v>0</v>
      </c>
      <c r="I375" s="6">
        <v>46190</v>
      </c>
      <c r="J375" s="6">
        <v>46197</v>
      </c>
      <c r="K375" s="10" t="s">
        <v>29</v>
      </c>
      <c r="L375" s="14" t="str">
        <f t="shared" si="5"/>
        <v>Pooja-Electronics</v>
      </c>
    </row>
    <row r="376" spans="1:12" ht="15" thickBot="1" x14ac:dyDescent="0.4">
      <c r="A376" s="5">
        <v>1331</v>
      </c>
      <c r="B376" s="5" t="s">
        <v>21</v>
      </c>
      <c r="C376" s="5" t="s">
        <v>25</v>
      </c>
      <c r="D376" s="5" t="s">
        <v>34</v>
      </c>
      <c r="E376" s="5" t="s">
        <v>61</v>
      </c>
      <c r="F376" s="5">
        <v>2</v>
      </c>
      <c r="G376" s="5">
        <v>43557</v>
      </c>
      <c r="H376" s="5">
        <v>2</v>
      </c>
      <c r="I376" s="6">
        <v>46190</v>
      </c>
      <c r="J376" s="6">
        <v>46200</v>
      </c>
      <c r="K376" s="10" t="s">
        <v>15</v>
      </c>
      <c r="L376" s="14" t="str">
        <f t="shared" si="5"/>
        <v>Meera-Electronics</v>
      </c>
    </row>
    <row r="377" spans="1:12" ht="15" thickBot="1" x14ac:dyDescent="0.4">
      <c r="A377" s="5">
        <v>1062</v>
      </c>
      <c r="B377" s="5" t="s">
        <v>40</v>
      </c>
      <c r="C377" s="5" t="s">
        <v>43</v>
      </c>
      <c r="D377" s="5" t="s">
        <v>18</v>
      </c>
      <c r="E377" s="5" t="s">
        <v>23</v>
      </c>
      <c r="F377" s="5">
        <v>8</v>
      </c>
      <c r="G377" s="5">
        <v>8360</v>
      </c>
      <c r="H377" s="5">
        <v>2</v>
      </c>
      <c r="I377" s="6">
        <v>46190</v>
      </c>
      <c r="J377" s="6">
        <v>46200</v>
      </c>
      <c r="K377" s="10" t="s">
        <v>51</v>
      </c>
      <c r="L377" s="14" t="str">
        <f t="shared" si="5"/>
        <v>Deepak-Furniture</v>
      </c>
    </row>
    <row r="378" spans="1:12" ht="15" thickBot="1" x14ac:dyDescent="0.4">
      <c r="A378" s="5">
        <v>1373</v>
      </c>
      <c r="B378" s="5" t="s">
        <v>54</v>
      </c>
      <c r="C378" s="5" t="s">
        <v>25</v>
      </c>
      <c r="D378" s="5" t="s">
        <v>34</v>
      </c>
      <c r="E378" s="5" t="s">
        <v>60</v>
      </c>
      <c r="F378" s="5">
        <v>11</v>
      </c>
      <c r="G378" s="5">
        <v>47930</v>
      </c>
      <c r="H378" s="5">
        <v>12</v>
      </c>
      <c r="I378" s="6">
        <v>46191</v>
      </c>
      <c r="J378" s="6">
        <v>46201</v>
      </c>
      <c r="K378" s="10" t="s">
        <v>20</v>
      </c>
      <c r="L378" s="14" t="str">
        <f t="shared" si="5"/>
        <v>Manoj-Electronics</v>
      </c>
    </row>
    <row r="379" spans="1:12" ht="15" thickBot="1" x14ac:dyDescent="0.4">
      <c r="A379" s="5">
        <v>1306</v>
      </c>
      <c r="B379" s="5" t="s">
        <v>54</v>
      </c>
      <c r="C379" s="5" t="s">
        <v>43</v>
      </c>
      <c r="D379" s="5" t="s">
        <v>13</v>
      </c>
      <c r="E379" s="5" t="s">
        <v>36</v>
      </c>
      <c r="F379" s="5">
        <v>1</v>
      </c>
      <c r="G379" s="5">
        <v>332</v>
      </c>
      <c r="H379" s="5">
        <v>0</v>
      </c>
      <c r="I379" s="6">
        <v>46191</v>
      </c>
      <c r="J379" s="6">
        <v>46194</v>
      </c>
      <c r="K379" s="10" t="s">
        <v>20</v>
      </c>
      <c r="L379" s="14" t="str">
        <f t="shared" si="5"/>
        <v>Manoj-Stationery</v>
      </c>
    </row>
    <row r="380" spans="1:12" ht="15" thickBot="1" x14ac:dyDescent="0.4">
      <c r="A380" s="5">
        <v>1242</v>
      </c>
      <c r="B380" s="5" t="s">
        <v>54</v>
      </c>
      <c r="C380" s="5" t="s">
        <v>38</v>
      </c>
      <c r="D380" s="5" t="s">
        <v>13</v>
      </c>
      <c r="E380" s="5" t="s">
        <v>50</v>
      </c>
      <c r="F380" s="5">
        <v>7</v>
      </c>
      <c r="G380" s="5">
        <v>168</v>
      </c>
      <c r="H380" s="5">
        <v>10</v>
      </c>
      <c r="I380" s="6">
        <v>46191</v>
      </c>
      <c r="J380" s="6">
        <v>46196</v>
      </c>
      <c r="K380" s="10" t="s">
        <v>51</v>
      </c>
      <c r="L380" s="14" t="str">
        <f t="shared" si="5"/>
        <v>Manoj-Stationery</v>
      </c>
    </row>
    <row r="381" spans="1:12" ht="15" thickBot="1" x14ac:dyDescent="0.4">
      <c r="A381" s="5">
        <v>1065</v>
      </c>
      <c r="B381" s="5" t="s">
        <v>42</v>
      </c>
      <c r="C381" s="5" t="s">
        <v>43</v>
      </c>
      <c r="D381" s="5" t="s">
        <v>18</v>
      </c>
      <c r="E381" s="5" t="s">
        <v>44</v>
      </c>
      <c r="F381" s="5">
        <v>1</v>
      </c>
      <c r="G381" s="5">
        <v>7730</v>
      </c>
      <c r="H381" s="5">
        <v>5</v>
      </c>
      <c r="I381" s="6">
        <v>46192</v>
      </c>
      <c r="J381" s="6">
        <v>46195</v>
      </c>
      <c r="K381" s="10" t="s">
        <v>51</v>
      </c>
      <c r="L381" s="14" t="str">
        <f t="shared" si="5"/>
        <v>Nisha-Furniture</v>
      </c>
    </row>
    <row r="382" spans="1:12" ht="15" thickBot="1" x14ac:dyDescent="0.4">
      <c r="A382" s="5">
        <v>1023</v>
      </c>
      <c r="B382" s="5" t="s">
        <v>40</v>
      </c>
      <c r="C382" s="5" t="s">
        <v>12</v>
      </c>
      <c r="D382" s="5" t="s">
        <v>18</v>
      </c>
      <c r="E382" s="5" t="s">
        <v>44</v>
      </c>
      <c r="F382" s="5">
        <v>15</v>
      </c>
      <c r="G382" s="5">
        <v>3506</v>
      </c>
      <c r="H382" s="5">
        <v>2</v>
      </c>
      <c r="I382" s="6">
        <v>46193</v>
      </c>
      <c r="J382" s="6">
        <v>46194</v>
      </c>
      <c r="K382" s="10" t="s">
        <v>29</v>
      </c>
      <c r="L382" s="14" t="str">
        <f t="shared" si="5"/>
        <v>Deepak-Furniture</v>
      </c>
    </row>
    <row r="383" spans="1:12" ht="15" thickBot="1" x14ac:dyDescent="0.4">
      <c r="A383" s="5">
        <v>1212</v>
      </c>
      <c r="B383" s="5" t="s">
        <v>59</v>
      </c>
      <c r="C383" s="5" t="s">
        <v>25</v>
      </c>
      <c r="D383" s="5" t="s">
        <v>34</v>
      </c>
      <c r="E383" s="5" t="s">
        <v>60</v>
      </c>
      <c r="F383" s="5">
        <v>10</v>
      </c>
      <c r="G383" s="5">
        <v>34380</v>
      </c>
      <c r="H383" s="5">
        <v>7</v>
      </c>
      <c r="I383" s="6">
        <v>46194</v>
      </c>
      <c r="J383" s="6">
        <v>46195</v>
      </c>
      <c r="K383" s="10" t="s">
        <v>29</v>
      </c>
      <c r="L383" s="14" t="str">
        <f t="shared" si="5"/>
        <v>Anita-Electronics</v>
      </c>
    </row>
    <row r="384" spans="1:12" ht="15" thickBot="1" x14ac:dyDescent="0.4">
      <c r="A384" s="5">
        <v>1397</v>
      </c>
      <c r="B384" s="5" t="s">
        <v>21</v>
      </c>
      <c r="C384" s="5" t="s">
        <v>33</v>
      </c>
      <c r="D384" s="5" t="s">
        <v>18</v>
      </c>
      <c r="E384" s="5" t="s">
        <v>23</v>
      </c>
      <c r="F384" s="5">
        <v>1</v>
      </c>
      <c r="G384" s="5">
        <v>8948</v>
      </c>
      <c r="H384" s="5">
        <v>5</v>
      </c>
      <c r="I384" s="6">
        <v>46194</v>
      </c>
      <c r="J384" s="6">
        <v>46201</v>
      </c>
      <c r="K384" s="10" t="s">
        <v>51</v>
      </c>
      <c r="L384" s="14" t="str">
        <f t="shared" si="5"/>
        <v>Meera-Furniture</v>
      </c>
    </row>
    <row r="385" spans="1:12" ht="15" thickBot="1" x14ac:dyDescent="0.4">
      <c r="A385" s="5">
        <v>1353</v>
      </c>
      <c r="B385" s="5" t="s">
        <v>47</v>
      </c>
      <c r="C385" s="5" t="s">
        <v>43</v>
      </c>
      <c r="D385" s="5" t="s">
        <v>13</v>
      </c>
      <c r="E385" s="5" t="s">
        <v>14</v>
      </c>
      <c r="F385" s="5">
        <v>6</v>
      </c>
      <c r="G385" s="5">
        <v>495</v>
      </c>
      <c r="H385" s="5">
        <v>2</v>
      </c>
      <c r="I385" s="6">
        <v>46194</v>
      </c>
      <c r="J385" s="6">
        <v>46200</v>
      </c>
      <c r="K385" s="10" t="s">
        <v>24</v>
      </c>
      <c r="L385" s="14" t="str">
        <f t="shared" si="5"/>
        <v>Yash-Stationery</v>
      </c>
    </row>
    <row r="386" spans="1:12" ht="15" thickBot="1" x14ac:dyDescent="0.4">
      <c r="A386" s="5">
        <v>1164</v>
      </c>
      <c r="B386" s="5" t="s">
        <v>40</v>
      </c>
      <c r="C386" s="5" t="s">
        <v>43</v>
      </c>
      <c r="D386" s="5" t="s">
        <v>34</v>
      </c>
      <c r="E386" s="5" t="s">
        <v>61</v>
      </c>
      <c r="F386" s="5">
        <v>7</v>
      </c>
      <c r="G386" s="5">
        <v>24615</v>
      </c>
      <c r="H386" s="5">
        <v>12</v>
      </c>
      <c r="I386" s="6">
        <v>46196</v>
      </c>
      <c r="J386" s="6">
        <v>46203</v>
      </c>
      <c r="K386" s="10" t="s">
        <v>51</v>
      </c>
      <c r="L386" s="14" t="str">
        <f t="shared" si="5"/>
        <v>Deepak-Electronics</v>
      </c>
    </row>
    <row r="387" spans="1:12" ht="15" thickBot="1" x14ac:dyDescent="0.4">
      <c r="A387" s="5">
        <v>1068</v>
      </c>
      <c r="B387" s="5" t="s">
        <v>52</v>
      </c>
      <c r="C387" s="5" t="s">
        <v>43</v>
      </c>
      <c r="D387" s="5" t="s">
        <v>34</v>
      </c>
      <c r="E387" s="5" t="s">
        <v>60</v>
      </c>
      <c r="F387" s="5">
        <v>15</v>
      </c>
      <c r="G387" s="5">
        <v>14534</v>
      </c>
      <c r="H387" s="5">
        <v>5</v>
      </c>
      <c r="I387" s="6">
        <v>46196</v>
      </c>
      <c r="J387" s="6">
        <v>46199</v>
      </c>
      <c r="K387" s="10" t="s">
        <v>29</v>
      </c>
      <c r="L387" s="14" t="str">
        <f t="shared" ref="L387:L401" si="6">_xlfn.CONCAT(B387,"-",D387)</f>
        <v>Komal-Electronics</v>
      </c>
    </row>
    <row r="388" spans="1:12" ht="15" thickBot="1" x14ac:dyDescent="0.4">
      <c r="A388" s="5">
        <v>1314</v>
      </c>
      <c r="B388" s="5" t="s">
        <v>52</v>
      </c>
      <c r="C388" s="5" t="s">
        <v>33</v>
      </c>
      <c r="D388" s="5" t="s">
        <v>18</v>
      </c>
      <c r="E388" s="5" t="s">
        <v>19</v>
      </c>
      <c r="F388" s="5">
        <v>10</v>
      </c>
      <c r="G388" s="5">
        <v>6328</v>
      </c>
      <c r="H388" s="5">
        <v>2</v>
      </c>
      <c r="I388" s="6">
        <v>46196</v>
      </c>
      <c r="J388" s="6">
        <v>46197</v>
      </c>
      <c r="K388" s="10" t="s">
        <v>29</v>
      </c>
      <c r="L388" s="14" t="str">
        <f t="shared" si="6"/>
        <v>Komal-Furniture</v>
      </c>
    </row>
    <row r="389" spans="1:12" ht="15" thickBot="1" x14ac:dyDescent="0.4">
      <c r="A389" s="5">
        <v>1340</v>
      </c>
      <c r="B389" s="5" t="s">
        <v>48</v>
      </c>
      <c r="C389" s="5" t="s">
        <v>17</v>
      </c>
      <c r="D389" s="5" t="s">
        <v>18</v>
      </c>
      <c r="E389" s="5" t="s">
        <v>19</v>
      </c>
      <c r="F389" s="5">
        <v>12</v>
      </c>
      <c r="G389" s="5">
        <v>3857</v>
      </c>
      <c r="H389" s="5">
        <v>12</v>
      </c>
      <c r="I389" s="6">
        <v>46196</v>
      </c>
      <c r="J389" s="6">
        <v>46198</v>
      </c>
      <c r="K389" s="10" t="s">
        <v>51</v>
      </c>
      <c r="L389" s="14" t="str">
        <f t="shared" si="6"/>
        <v>Nitin-Furniture</v>
      </c>
    </row>
    <row r="390" spans="1:12" ht="15" thickBot="1" x14ac:dyDescent="0.4">
      <c r="A390" s="5">
        <v>1383</v>
      </c>
      <c r="B390" s="5" t="s">
        <v>32</v>
      </c>
      <c r="C390" s="5" t="s">
        <v>12</v>
      </c>
      <c r="D390" s="5" t="s">
        <v>13</v>
      </c>
      <c r="E390" s="5" t="s">
        <v>53</v>
      </c>
      <c r="F390" s="5">
        <v>14</v>
      </c>
      <c r="G390" s="5">
        <v>334</v>
      </c>
      <c r="H390" s="5">
        <v>10</v>
      </c>
      <c r="I390" s="6">
        <v>46196</v>
      </c>
      <c r="J390" s="6">
        <v>46203</v>
      </c>
      <c r="K390" s="10" t="s">
        <v>15</v>
      </c>
      <c r="L390" s="14" t="str">
        <f t="shared" si="6"/>
        <v>Asha-Stationery</v>
      </c>
    </row>
    <row r="391" spans="1:12" ht="15" thickBot="1" x14ac:dyDescent="0.4">
      <c r="A391" s="5">
        <v>1309</v>
      </c>
      <c r="B391" s="5" t="s">
        <v>29</v>
      </c>
      <c r="C391" s="5" t="s">
        <v>31</v>
      </c>
      <c r="D391" s="5" t="s">
        <v>13</v>
      </c>
      <c r="E391" s="5" t="s">
        <v>50</v>
      </c>
      <c r="F391" s="5">
        <v>2</v>
      </c>
      <c r="G391" s="5">
        <v>35</v>
      </c>
      <c r="H391" s="5">
        <v>5</v>
      </c>
      <c r="I391" s="6">
        <v>46197</v>
      </c>
      <c r="J391" s="6">
        <v>46198</v>
      </c>
      <c r="K391" s="10" t="s">
        <v>24</v>
      </c>
      <c r="L391" s="14" t="str">
        <f t="shared" si="6"/>
        <v>Priya-Stationery</v>
      </c>
    </row>
    <row r="392" spans="1:12" ht="15" thickBot="1" x14ac:dyDescent="0.4">
      <c r="A392" s="5">
        <v>1233</v>
      </c>
      <c r="B392" s="5" t="s">
        <v>58</v>
      </c>
      <c r="C392" s="5" t="s">
        <v>22</v>
      </c>
      <c r="D392" s="5" t="s">
        <v>18</v>
      </c>
      <c r="E392" s="5" t="s">
        <v>19</v>
      </c>
      <c r="F392" s="5">
        <v>20</v>
      </c>
      <c r="G392" s="5">
        <v>13941</v>
      </c>
      <c r="H392" s="5">
        <v>15</v>
      </c>
      <c r="I392" s="6">
        <v>46198</v>
      </c>
      <c r="J392" s="6">
        <v>46202</v>
      </c>
      <c r="K392" s="10" t="s">
        <v>24</v>
      </c>
      <c r="L392" s="14" t="str">
        <f t="shared" si="6"/>
        <v>Rohan-Furniture</v>
      </c>
    </row>
    <row r="393" spans="1:12" ht="15" thickBot="1" x14ac:dyDescent="0.4">
      <c r="A393" s="5">
        <v>1195</v>
      </c>
      <c r="B393" s="5" t="s">
        <v>59</v>
      </c>
      <c r="C393" s="5" t="s">
        <v>17</v>
      </c>
      <c r="D393" s="5" t="s">
        <v>13</v>
      </c>
      <c r="E393" s="5" t="s">
        <v>50</v>
      </c>
      <c r="F393" s="5">
        <v>19</v>
      </c>
      <c r="G393" s="5">
        <v>313</v>
      </c>
      <c r="H393" s="5">
        <v>2</v>
      </c>
      <c r="I393" s="6">
        <v>46198</v>
      </c>
      <c r="J393" s="6">
        <v>46206</v>
      </c>
      <c r="K393" s="10" t="s">
        <v>51</v>
      </c>
      <c r="L393" s="14" t="str">
        <f t="shared" si="6"/>
        <v>Anita-Stationery</v>
      </c>
    </row>
    <row r="394" spans="1:12" ht="15" thickBot="1" x14ac:dyDescent="0.4">
      <c r="A394" s="5">
        <v>1268</v>
      </c>
      <c r="B394" s="5" t="s">
        <v>42</v>
      </c>
      <c r="C394" s="5" t="s">
        <v>38</v>
      </c>
      <c r="D394" s="5" t="s">
        <v>34</v>
      </c>
      <c r="E394" s="5" t="s">
        <v>45</v>
      </c>
      <c r="F394" s="5">
        <v>10</v>
      </c>
      <c r="G394" s="5">
        <v>46291</v>
      </c>
      <c r="H394" s="5">
        <v>12</v>
      </c>
      <c r="I394" s="6">
        <v>46199</v>
      </c>
      <c r="J394" s="6">
        <v>46202</v>
      </c>
      <c r="K394" s="10" t="s">
        <v>20</v>
      </c>
      <c r="L394" s="14" t="str">
        <f t="shared" si="6"/>
        <v>Nisha-Electronics</v>
      </c>
    </row>
    <row r="395" spans="1:12" ht="15" thickBot="1" x14ac:dyDescent="0.4">
      <c r="A395" s="5">
        <v>1047</v>
      </c>
      <c r="B395" s="5" t="s">
        <v>58</v>
      </c>
      <c r="C395" s="5" t="s">
        <v>38</v>
      </c>
      <c r="D395" s="5" t="s">
        <v>18</v>
      </c>
      <c r="E395" s="5" t="s">
        <v>56</v>
      </c>
      <c r="F395" s="5">
        <v>11</v>
      </c>
      <c r="G395" s="5">
        <v>9976</v>
      </c>
      <c r="H395" s="5">
        <v>12</v>
      </c>
      <c r="I395" s="6">
        <v>46200</v>
      </c>
      <c r="J395" s="6">
        <v>46209</v>
      </c>
      <c r="K395" s="10" t="s">
        <v>15</v>
      </c>
      <c r="L395" s="14" t="str">
        <f t="shared" si="6"/>
        <v>Rohan-Furniture</v>
      </c>
    </row>
    <row r="396" spans="1:12" ht="15" thickBot="1" x14ac:dyDescent="0.4">
      <c r="A396" s="5">
        <v>1054</v>
      </c>
      <c r="B396" s="5" t="s">
        <v>26</v>
      </c>
      <c r="C396" s="5" t="s">
        <v>25</v>
      </c>
      <c r="D396" s="5" t="s">
        <v>18</v>
      </c>
      <c r="E396" s="5" t="s">
        <v>23</v>
      </c>
      <c r="F396" s="5">
        <v>8</v>
      </c>
      <c r="G396" s="5">
        <v>9798</v>
      </c>
      <c r="H396" s="5">
        <v>12</v>
      </c>
      <c r="I396" s="6">
        <v>46200</v>
      </c>
      <c r="J396" s="6">
        <v>46201</v>
      </c>
      <c r="K396" s="10" t="s">
        <v>51</v>
      </c>
      <c r="L396" s="14" t="str">
        <f t="shared" si="6"/>
        <v>Vikram-Furniture</v>
      </c>
    </row>
    <row r="397" spans="1:12" ht="15" thickBot="1" x14ac:dyDescent="0.4">
      <c r="A397" s="5">
        <v>1264</v>
      </c>
      <c r="B397" s="5" t="s">
        <v>11</v>
      </c>
      <c r="C397" s="5" t="s">
        <v>22</v>
      </c>
      <c r="D397" s="5" t="s">
        <v>18</v>
      </c>
      <c r="E397" s="5" t="s">
        <v>28</v>
      </c>
      <c r="F397" s="5">
        <v>15</v>
      </c>
      <c r="G397" s="5">
        <v>6365</v>
      </c>
      <c r="H397" s="5">
        <v>10</v>
      </c>
      <c r="I397" s="6">
        <v>46200</v>
      </c>
      <c r="J397" s="6">
        <v>46206</v>
      </c>
      <c r="K397" s="10" t="s">
        <v>20</v>
      </c>
      <c r="L397" s="14" t="str">
        <f t="shared" si="6"/>
        <v>Ritesh-Furniture</v>
      </c>
    </row>
    <row r="398" spans="1:12" ht="15" thickBot="1" x14ac:dyDescent="0.4">
      <c r="A398" s="5">
        <v>1244</v>
      </c>
      <c r="B398" s="5" t="s">
        <v>57</v>
      </c>
      <c r="C398" s="5" t="s">
        <v>38</v>
      </c>
      <c r="D398" s="5" t="s">
        <v>18</v>
      </c>
      <c r="E398" s="5" t="s">
        <v>28</v>
      </c>
      <c r="F398" s="5">
        <v>10</v>
      </c>
      <c r="G398" s="5">
        <v>6339</v>
      </c>
      <c r="H398" s="5">
        <v>12</v>
      </c>
      <c r="I398" s="6">
        <v>46200</v>
      </c>
      <c r="J398" s="6">
        <v>46205</v>
      </c>
      <c r="K398" s="10" t="s">
        <v>15</v>
      </c>
      <c r="L398" s="14" t="str">
        <f t="shared" si="6"/>
        <v>Sara-Furniture</v>
      </c>
    </row>
    <row r="399" spans="1:12" ht="15" thickBot="1" x14ac:dyDescent="0.4">
      <c r="A399" s="5">
        <v>1356</v>
      </c>
      <c r="B399" s="5" t="s">
        <v>26</v>
      </c>
      <c r="C399" s="5" t="s">
        <v>38</v>
      </c>
      <c r="D399" s="5" t="s">
        <v>34</v>
      </c>
      <c r="E399" s="5" t="s">
        <v>60</v>
      </c>
      <c r="F399" s="5">
        <v>16</v>
      </c>
      <c r="G399" s="5">
        <v>53457</v>
      </c>
      <c r="H399" s="5">
        <v>10</v>
      </c>
      <c r="I399" s="6">
        <v>46201</v>
      </c>
      <c r="J399" s="6">
        <v>46204</v>
      </c>
      <c r="K399" s="10" t="s">
        <v>15</v>
      </c>
      <c r="L399" s="14" t="str">
        <f t="shared" si="6"/>
        <v>Vikram-Electronics</v>
      </c>
    </row>
    <row r="400" spans="1:12" ht="15" thickBot="1" x14ac:dyDescent="0.4">
      <c r="A400" s="5">
        <v>1126</v>
      </c>
      <c r="B400" s="5" t="s">
        <v>46</v>
      </c>
      <c r="C400" s="5" t="s">
        <v>22</v>
      </c>
      <c r="D400" s="5" t="s">
        <v>34</v>
      </c>
      <c r="E400" s="5" t="s">
        <v>39</v>
      </c>
      <c r="F400" s="5">
        <v>17</v>
      </c>
      <c r="G400" s="5">
        <v>19390</v>
      </c>
      <c r="H400" s="5">
        <v>12</v>
      </c>
      <c r="I400" s="6">
        <v>46201</v>
      </c>
      <c r="J400" s="6">
        <v>46206</v>
      </c>
      <c r="K400" s="10" t="s">
        <v>29</v>
      </c>
      <c r="L400" s="14" t="str">
        <f t="shared" si="6"/>
        <v>Kiran-Electronics</v>
      </c>
    </row>
    <row r="401" spans="1:12" ht="15" thickBot="1" x14ac:dyDescent="0.4">
      <c r="A401" s="5">
        <v>1219</v>
      </c>
      <c r="B401" s="5" t="s">
        <v>46</v>
      </c>
      <c r="C401" s="5" t="s">
        <v>22</v>
      </c>
      <c r="D401" s="5" t="s">
        <v>13</v>
      </c>
      <c r="E401" s="5" t="s">
        <v>14</v>
      </c>
      <c r="F401" s="5">
        <v>4</v>
      </c>
      <c r="G401" s="5">
        <v>117</v>
      </c>
      <c r="H401" s="5">
        <v>15</v>
      </c>
      <c r="I401" s="6">
        <v>46202</v>
      </c>
      <c r="J401" s="6">
        <v>46206</v>
      </c>
      <c r="K401" s="10" t="s">
        <v>29</v>
      </c>
      <c r="L401" s="14" t="str">
        <f t="shared" si="6"/>
        <v>Kiran-Stationery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DD8F3E-D50B-4AF5-9A9C-FBDAA8C7E2BD}">
  <dimension ref="A1:N401"/>
  <sheetViews>
    <sheetView workbookViewId="0">
      <selection sqref="A1:N1"/>
    </sheetView>
  </sheetViews>
  <sheetFormatPr defaultRowHeight="14.5" x14ac:dyDescent="0.35"/>
  <cols>
    <col min="1" max="1" width="8.54296875" bestFit="1" customWidth="1"/>
    <col min="2" max="2" width="9" bestFit="1" customWidth="1"/>
    <col min="3" max="3" width="11" bestFit="1" customWidth="1"/>
    <col min="4" max="4" width="9.7265625" bestFit="1" customWidth="1"/>
    <col min="5" max="5" width="9" bestFit="1" customWidth="1"/>
    <col min="6" max="6" width="8.1796875" bestFit="1" customWidth="1"/>
    <col min="7" max="7" width="9.453125" bestFit="1" customWidth="1"/>
    <col min="8" max="8" width="10.6328125" bestFit="1" customWidth="1"/>
    <col min="9" max="9" width="10.7265625" bestFit="1" customWidth="1"/>
    <col min="10" max="10" width="12.54296875" bestFit="1" customWidth="1"/>
    <col min="11" max="11" width="10.81640625" bestFit="1" customWidth="1"/>
    <col min="12" max="12" width="15.6328125" customWidth="1"/>
    <col min="13" max="13" width="15.90625" customWidth="1"/>
    <col min="14" max="14" width="22.90625" customWidth="1"/>
  </cols>
  <sheetData>
    <row r="1" spans="1:14" ht="21" customHeight="1" thickBot="1" x14ac:dyDescent="0.4">
      <c r="A1" s="31" t="s">
        <v>0</v>
      </c>
      <c r="B1" s="31" t="s">
        <v>1</v>
      </c>
      <c r="C1" s="31" t="s">
        <v>2</v>
      </c>
      <c r="D1" s="31" t="s">
        <v>3</v>
      </c>
      <c r="E1" s="31" t="s">
        <v>4</v>
      </c>
      <c r="F1" s="31" t="s">
        <v>5</v>
      </c>
      <c r="G1" s="31" t="s">
        <v>6</v>
      </c>
      <c r="H1" s="31" t="s">
        <v>7</v>
      </c>
      <c r="I1" s="31" t="s">
        <v>8</v>
      </c>
      <c r="J1" s="31" t="s">
        <v>9</v>
      </c>
      <c r="K1" s="35" t="s">
        <v>10</v>
      </c>
      <c r="L1" s="36" t="s">
        <v>73</v>
      </c>
      <c r="M1" s="36" t="s">
        <v>74</v>
      </c>
      <c r="N1" s="36" t="s">
        <v>75</v>
      </c>
    </row>
    <row r="2" spans="1:14" ht="15" thickBot="1" x14ac:dyDescent="0.4">
      <c r="A2" s="5">
        <v>1019</v>
      </c>
      <c r="B2" s="5" t="s">
        <v>11</v>
      </c>
      <c r="C2" s="5" t="s">
        <v>43</v>
      </c>
      <c r="D2" s="5" t="s">
        <v>34</v>
      </c>
      <c r="E2" s="5" t="s">
        <v>41</v>
      </c>
      <c r="F2" s="5">
        <v>18</v>
      </c>
      <c r="G2" s="5">
        <v>45652</v>
      </c>
      <c r="H2" s="5">
        <v>10</v>
      </c>
      <c r="I2" s="6">
        <v>46023</v>
      </c>
      <c r="J2" s="6">
        <v>46030</v>
      </c>
      <c r="K2" s="10" t="s">
        <v>20</v>
      </c>
      <c r="L2" s="14" t="str">
        <f>LEFT(B2,3)&amp;A2</f>
        <v>Rit1019</v>
      </c>
      <c r="M2" s="15" t="str">
        <f>LEFT(E2,3)&amp;RIGHT(E2,2)</f>
        <v>Heaet</v>
      </c>
      <c r="N2" s="16" t="str">
        <f>MID(E2,2,4)</f>
        <v>eads</v>
      </c>
    </row>
    <row r="3" spans="1:14" ht="15" thickBot="1" x14ac:dyDescent="0.4">
      <c r="A3" s="5">
        <v>1355</v>
      </c>
      <c r="B3" s="5" t="s">
        <v>27</v>
      </c>
      <c r="C3" s="5" t="s">
        <v>12</v>
      </c>
      <c r="D3" s="5" t="s">
        <v>34</v>
      </c>
      <c r="E3" s="5" t="s">
        <v>60</v>
      </c>
      <c r="F3" s="5">
        <v>18</v>
      </c>
      <c r="G3" s="5">
        <v>35997</v>
      </c>
      <c r="H3" s="5">
        <v>2</v>
      </c>
      <c r="I3" s="6">
        <v>46024</v>
      </c>
      <c r="J3" s="6">
        <v>46031</v>
      </c>
      <c r="K3" s="10" t="s">
        <v>51</v>
      </c>
      <c r="L3" s="14" t="str">
        <f t="shared" ref="L3:L66" si="0">LEFT(B3,3)&amp;A3</f>
        <v>Arj1355</v>
      </c>
      <c r="M3" s="15" t="str">
        <f t="shared" ref="M3:M66" si="1">LEFT(E3,3)&amp;RIGHT(E3,2)</f>
        <v>Lapop</v>
      </c>
      <c r="N3" s="16" t="str">
        <f t="shared" ref="N3:N66" si="2">MID(E3,2,4)</f>
        <v>apto</v>
      </c>
    </row>
    <row r="4" spans="1:14" ht="15" thickBot="1" x14ac:dyDescent="0.4">
      <c r="A4" s="5">
        <v>1060</v>
      </c>
      <c r="B4" s="5" t="s">
        <v>49</v>
      </c>
      <c r="C4" s="5" t="s">
        <v>12</v>
      </c>
      <c r="D4" s="5" t="s">
        <v>18</v>
      </c>
      <c r="E4" s="5" t="s">
        <v>44</v>
      </c>
      <c r="F4" s="5">
        <v>9</v>
      </c>
      <c r="G4" s="5">
        <v>9727</v>
      </c>
      <c r="H4" s="5">
        <v>2</v>
      </c>
      <c r="I4" s="6">
        <v>46024</v>
      </c>
      <c r="J4" s="6">
        <v>46030</v>
      </c>
      <c r="K4" s="10" t="s">
        <v>20</v>
      </c>
      <c r="L4" s="14" t="str">
        <f t="shared" si="0"/>
        <v>Aja1060</v>
      </c>
      <c r="M4" s="15" t="str">
        <f t="shared" si="1"/>
        <v>Boolf</v>
      </c>
      <c r="N4" s="16" t="str">
        <f t="shared" si="2"/>
        <v>ooks</v>
      </c>
    </row>
    <row r="5" spans="1:14" ht="15" thickBot="1" x14ac:dyDescent="0.4">
      <c r="A5" s="5">
        <v>1151</v>
      </c>
      <c r="B5" s="5" t="s">
        <v>46</v>
      </c>
      <c r="C5" s="5" t="s">
        <v>43</v>
      </c>
      <c r="D5" s="5" t="s">
        <v>13</v>
      </c>
      <c r="E5" s="5" t="s">
        <v>50</v>
      </c>
      <c r="F5" s="5">
        <v>20</v>
      </c>
      <c r="G5" s="5">
        <v>272</v>
      </c>
      <c r="H5" s="5">
        <v>15</v>
      </c>
      <c r="I5" s="6">
        <v>46024</v>
      </c>
      <c r="J5" s="6">
        <v>46029</v>
      </c>
      <c r="K5" s="10" t="s">
        <v>51</v>
      </c>
      <c r="L5" s="14" t="str">
        <f t="shared" si="0"/>
        <v>Kir1151</v>
      </c>
      <c r="M5" s="15" t="str">
        <f t="shared" si="1"/>
        <v>Marer</v>
      </c>
      <c r="N5" s="16" t="str">
        <f t="shared" si="2"/>
        <v>arke</v>
      </c>
    </row>
    <row r="6" spans="1:14" ht="15" thickBot="1" x14ac:dyDescent="0.4">
      <c r="A6" s="5">
        <v>1132</v>
      </c>
      <c r="B6" s="5" t="s">
        <v>11</v>
      </c>
      <c r="C6" s="5" t="s">
        <v>31</v>
      </c>
      <c r="D6" s="5" t="s">
        <v>13</v>
      </c>
      <c r="E6" s="5" t="s">
        <v>50</v>
      </c>
      <c r="F6" s="5">
        <v>10</v>
      </c>
      <c r="G6" s="5">
        <v>270</v>
      </c>
      <c r="H6" s="5">
        <v>7</v>
      </c>
      <c r="I6" s="6">
        <v>46024</v>
      </c>
      <c r="J6" s="6">
        <v>46034</v>
      </c>
      <c r="K6" s="10" t="s">
        <v>24</v>
      </c>
      <c r="L6" s="14" t="str">
        <f t="shared" si="0"/>
        <v>Rit1132</v>
      </c>
      <c r="M6" s="15" t="str">
        <f t="shared" si="1"/>
        <v>Marer</v>
      </c>
      <c r="N6" s="16" t="str">
        <f t="shared" si="2"/>
        <v>arke</v>
      </c>
    </row>
    <row r="7" spans="1:14" ht="15" thickBot="1" x14ac:dyDescent="0.4">
      <c r="A7" s="5">
        <v>1352</v>
      </c>
      <c r="B7" s="5" t="s">
        <v>54</v>
      </c>
      <c r="C7" s="5" t="s">
        <v>22</v>
      </c>
      <c r="D7" s="5" t="s">
        <v>13</v>
      </c>
      <c r="E7" s="5" t="s">
        <v>14</v>
      </c>
      <c r="F7" s="5">
        <v>12</v>
      </c>
      <c r="G7" s="5">
        <v>203</v>
      </c>
      <c r="H7" s="5">
        <v>5</v>
      </c>
      <c r="I7" s="6">
        <v>46024</v>
      </c>
      <c r="J7" s="6">
        <v>46033</v>
      </c>
      <c r="K7" s="10" t="s">
        <v>15</v>
      </c>
      <c r="L7" s="14" t="str">
        <f t="shared" si="0"/>
        <v>Man1352</v>
      </c>
      <c r="M7" s="15" t="str">
        <f t="shared" si="1"/>
        <v>Notok</v>
      </c>
      <c r="N7" s="16" t="str">
        <f t="shared" si="2"/>
        <v>oteb</v>
      </c>
    </row>
    <row r="8" spans="1:14" ht="15" thickBot="1" x14ac:dyDescent="0.4">
      <c r="A8" s="5">
        <v>1156</v>
      </c>
      <c r="B8" s="5" t="s">
        <v>54</v>
      </c>
      <c r="C8" s="5" t="s">
        <v>38</v>
      </c>
      <c r="D8" s="5" t="s">
        <v>13</v>
      </c>
      <c r="E8" s="5" t="s">
        <v>36</v>
      </c>
      <c r="F8" s="5">
        <v>5</v>
      </c>
      <c r="G8" s="5">
        <v>466</v>
      </c>
      <c r="H8" s="5">
        <v>15</v>
      </c>
      <c r="I8" s="6">
        <v>46025</v>
      </c>
      <c r="J8" s="6">
        <v>46029</v>
      </c>
      <c r="K8" s="10" t="s">
        <v>15</v>
      </c>
      <c r="L8" s="14" t="str">
        <f t="shared" si="0"/>
        <v>Man1156</v>
      </c>
      <c r="M8" s="15" t="str">
        <f t="shared" si="1"/>
        <v>Staer</v>
      </c>
      <c r="N8" s="16" t="str">
        <f t="shared" si="2"/>
        <v>tapl</v>
      </c>
    </row>
    <row r="9" spans="1:14" ht="15" thickBot="1" x14ac:dyDescent="0.4">
      <c r="A9" s="5">
        <v>1341</v>
      </c>
      <c r="B9" s="5" t="s">
        <v>57</v>
      </c>
      <c r="C9" s="5" t="s">
        <v>38</v>
      </c>
      <c r="D9" s="5" t="s">
        <v>18</v>
      </c>
      <c r="E9" s="5" t="s">
        <v>19</v>
      </c>
      <c r="F9" s="5">
        <v>19</v>
      </c>
      <c r="G9" s="5">
        <v>6488</v>
      </c>
      <c r="H9" s="5">
        <v>15</v>
      </c>
      <c r="I9" s="6">
        <v>46026</v>
      </c>
      <c r="J9" s="6">
        <v>46030</v>
      </c>
      <c r="K9" s="10" t="s">
        <v>20</v>
      </c>
      <c r="L9" s="14" t="str">
        <f t="shared" si="0"/>
        <v>Sar1341</v>
      </c>
      <c r="M9" s="15" t="str">
        <f t="shared" si="1"/>
        <v>Dessk</v>
      </c>
      <c r="N9" s="16" t="str">
        <f t="shared" si="2"/>
        <v>esk</v>
      </c>
    </row>
    <row r="10" spans="1:14" ht="15" thickBot="1" x14ac:dyDescent="0.4">
      <c r="A10" s="5">
        <v>1351</v>
      </c>
      <c r="B10" s="5" t="s">
        <v>42</v>
      </c>
      <c r="C10" s="5" t="s">
        <v>33</v>
      </c>
      <c r="D10" s="5" t="s">
        <v>34</v>
      </c>
      <c r="E10" s="5" t="s">
        <v>45</v>
      </c>
      <c r="F10" s="5">
        <v>12</v>
      </c>
      <c r="G10" s="5">
        <v>1272</v>
      </c>
      <c r="H10" s="5">
        <v>0</v>
      </c>
      <c r="I10" s="6">
        <v>46026</v>
      </c>
      <c r="J10" s="6">
        <v>46029</v>
      </c>
      <c r="K10" s="10" t="s">
        <v>15</v>
      </c>
      <c r="L10" s="14" t="str">
        <f t="shared" si="0"/>
        <v>Nis1351</v>
      </c>
      <c r="M10" s="15" t="str">
        <f t="shared" si="1"/>
        <v>Monor</v>
      </c>
      <c r="N10" s="16" t="str">
        <f t="shared" si="2"/>
        <v>onit</v>
      </c>
    </row>
    <row r="11" spans="1:14" ht="15" thickBot="1" x14ac:dyDescent="0.4">
      <c r="A11" s="5">
        <v>1229</v>
      </c>
      <c r="B11" s="5" t="s">
        <v>57</v>
      </c>
      <c r="C11" s="5" t="s">
        <v>12</v>
      </c>
      <c r="D11" s="5" t="s">
        <v>18</v>
      </c>
      <c r="E11" s="5" t="s">
        <v>56</v>
      </c>
      <c r="F11" s="5">
        <v>14</v>
      </c>
      <c r="G11" s="5">
        <v>5859</v>
      </c>
      <c r="H11" s="5">
        <v>12</v>
      </c>
      <c r="I11" s="6">
        <v>46027</v>
      </c>
      <c r="J11" s="6">
        <v>46036</v>
      </c>
      <c r="K11" s="10" t="s">
        <v>20</v>
      </c>
      <c r="L11" s="14" t="str">
        <f t="shared" si="0"/>
        <v>Sar1229</v>
      </c>
      <c r="M11" s="15" t="str">
        <f t="shared" si="1"/>
        <v>Cabet</v>
      </c>
      <c r="N11" s="16" t="str">
        <f t="shared" si="2"/>
        <v>abin</v>
      </c>
    </row>
    <row r="12" spans="1:14" ht="15" thickBot="1" x14ac:dyDescent="0.4">
      <c r="A12" s="5">
        <v>1100</v>
      </c>
      <c r="B12" s="5" t="s">
        <v>11</v>
      </c>
      <c r="C12" s="5" t="s">
        <v>31</v>
      </c>
      <c r="D12" s="5" t="s">
        <v>13</v>
      </c>
      <c r="E12" s="5" t="s">
        <v>14</v>
      </c>
      <c r="F12" s="5">
        <v>11</v>
      </c>
      <c r="G12" s="5">
        <v>296</v>
      </c>
      <c r="H12" s="5">
        <v>10</v>
      </c>
      <c r="I12" s="6">
        <v>46027</v>
      </c>
      <c r="J12" s="6">
        <v>46031</v>
      </c>
      <c r="K12" s="10" t="s">
        <v>51</v>
      </c>
      <c r="L12" s="14" t="str">
        <f t="shared" si="0"/>
        <v>Rit1100</v>
      </c>
      <c r="M12" s="15" t="str">
        <f t="shared" si="1"/>
        <v>Notok</v>
      </c>
      <c r="N12" s="16" t="str">
        <f t="shared" si="2"/>
        <v>oteb</v>
      </c>
    </row>
    <row r="13" spans="1:14" ht="15" thickBot="1" x14ac:dyDescent="0.4">
      <c r="A13" s="5">
        <v>1301</v>
      </c>
      <c r="B13" s="5" t="s">
        <v>54</v>
      </c>
      <c r="C13" s="5" t="s">
        <v>17</v>
      </c>
      <c r="D13" s="5" t="s">
        <v>18</v>
      </c>
      <c r="E13" s="5" t="s">
        <v>28</v>
      </c>
      <c r="F13" s="5">
        <v>3</v>
      </c>
      <c r="G13" s="5">
        <v>7020</v>
      </c>
      <c r="H13" s="5">
        <v>10</v>
      </c>
      <c r="I13" s="6">
        <v>46028</v>
      </c>
      <c r="J13" s="6">
        <v>46038</v>
      </c>
      <c r="K13" s="10" t="s">
        <v>24</v>
      </c>
      <c r="L13" s="14" t="str">
        <f t="shared" si="0"/>
        <v>Man1301</v>
      </c>
      <c r="M13" s="15" t="str">
        <f t="shared" si="1"/>
        <v>Chair</v>
      </c>
      <c r="N13" s="16" t="str">
        <f t="shared" si="2"/>
        <v>hair</v>
      </c>
    </row>
    <row r="14" spans="1:14" ht="15" thickBot="1" x14ac:dyDescent="0.4">
      <c r="A14" s="5">
        <v>1148</v>
      </c>
      <c r="B14" s="5" t="s">
        <v>59</v>
      </c>
      <c r="C14" s="5" t="s">
        <v>33</v>
      </c>
      <c r="D14" s="5" t="s">
        <v>18</v>
      </c>
      <c r="E14" s="5" t="s">
        <v>28</v>
      </c>
      <c r="F14" s="5">
        <v>11</v>
      </c>
      <c r="G14" s="5">
        <v>3023</v>
      </c>
      <c r="H14" s="5">
        <v>7</v>
      </c>
      <c r="I14" s="6">
        <v>46030</v>
      </c>
      <c r="J14" s="6">
        <v>46032</v>
      </c>
      <c r="K14" s="10" t="s">
        <v>24</v>
      </c>
      <c r="L14" s="14" t="str">
        <f t="shared" si="0"/>
        <v>Ani1148</v>
      </c>
      <c r="M14" s="15" t="str">
        <f t="shared" si="1"/>
        <v>Chair</v>
      </c>
      <c r="N14" s="16" t="str">
        <f t="shared" si="2"/>
        <v>hair</v>
      </c>
    </row>
    <row r="15" spans="1:14" ht="15" thickBot="1" x14ac:dyDescent="0.4">
      <c r="A15" s="5">
        <v>1038</v>
      </c>
      <c r="B15" s="5" t="s">
        <v>55</v>
      </c>
      <c r="C15" s="5" t="s">
        <v>17</v>
      </c>
      <c r="D15" s="5" t="s">
        <v>13</v>
      </c>
      <c r="E15" s="5" t="s">
        <v>36</v>
      </c>
      <c r="F15" s="5">
        <v>17</v>
      </c>
      <c r="G15" s="5">
        <v>223</v>
      </c>
      <c r="H15" s="5">
        <v>7</v>
      </c>
      <c r="I15" s="6">
        <v>46030</v>
      </c>
      <c r="J15" s="6">
        <v>46031</v>
      </c>
      <c r="K15" s="10" t="s">
        <v>51</v>
      </c>
      <c r="L15" s="14" t="str">
        <f t="shared" si="0"/>
        <v>Sne1038</v>
      </c>
      <c r="M15" s="15" t="str">
        <f t="shared" si="1"/>
        <v>Staer</v>
      </c>
      <c r="N15" s="16" t="str">
        <f t="shared" si="2"/>
        <v>tapl</v>
      </c>
    </row>
    <row r="16" spans="1:14" ht="15" thickBot="1" x14ac:dyDescent="0.4">
      <c r="A16" s="5">
        <v>1035</v>
      </c>
      <c r="B16" s="5" t="s">
        <v>49</v>
      </c>
      <c r="C16" s="5" t="s">
        <v>43</v>
      </c>
      <c r="D16" s="5" t="s">
        <v>18</v>
      </c>
      <c r="E16" s="5" t="s">
        <v>56</v>
      </c>
      <c r="F16" s="5">
        <v>3</v>
      </c>
      <c r="G16" s="5">
        <v>9149</v>
      </c>
      <c r="H16" s="5">
        <v>0</v>
      </c>
      <c r="I16" s="6">
        <v>46031</v>
      </c>
      <c r="J16" s="6">
        <v>46034</v>
      </c>
      <c r="K16" s="10" t="s">
        <v>24</v>
      </c>
      <c r="L16" s="14" t="str">
        <f t="shared" si="0"/>
        <v>Aja1035</v>
      </c>
      <c r="M16" s="15" t="str">
        <f t="shared" si="1"/>
        <v>Cabet</v>
      </c>
      <c r="N16" s="16" t="str">
        <f t="shared" si="2"/>
        <v>abin</v>
      </c>
    </row>
    <row r="17" spans="1:14" ht="15" thickBot="1" x14ac:dyDescent="0.4">
      <c r="A17" s="5">
        <v>1364</v>
      </c>
      <c r="B17" s="5" t="s">
        <v>30</v>
      </c>
      <c r="C17" s="5" t="s">
        <v>22</v>
      </c>
      <c r="D17" s="5" t="s">
        <v>18</v>
      </c>
      <c r="E17" s="5" t="s">
        <v>56</v>
      </c>
      <c r="F17" s="5">
        <v>16</v>
      </c>
      <c r="G17" s="5">
        <v>1744</v>
      </c>
      <c r="H17" s="5">
        <v>15</v>
      </c>
      <c r="I17" s="6">
        <v>46031</v>
      </c>
      <c r="J17" s="6">
        <v>46033</v>
      </c>
      <c r="K17" s="10" t="s">
        <v>51</v>
      </c>
      <c r="L17" s="14" t="str">
        <f t="shared" si="0"/>
        <v>Neh1364</v>
      </c>
      <c r="M17" s="15" t="str">
        <f t="shared" si="1"/>
        <v>Cabet</v>
      </c>
      <c r="N17" s="16" t="str">
        <f t="shared" si="2"/>
        <v>abin</v>
      </c>
    </row>
    <row r="18" spans="1:14" ht="15" thickBot="1" x14ac:dyDescent="0.4">
      <c r="A18" s="5">
        <v>1396</v>
      </c>
      <c r="B18" s="5" t="s">
        <v>21</v>
      </c>
      <c r="C18" s="5" t="s">
        <v>38</v>
      </c>
      <c r="D18" s="5" t="s">
        <v>13</v>
      </c>
      <c r="E18" s="5" t="s">
        <v>53</v>
      </c>
      <c r="F18" s="5">
        <v>8</v>
      </c>
      <c r="G18" s="5">
        <v>54</v>
      </c>
      <c r="H18" s="5">
        <v>15</v>
      </c>
      <c r="I18" s="6">
        <v>46031</v>
      </c>
      <c r="J18" s="6">
        <v>46035</v>
      </c>
      <c r="K18" s="10" t="s">
        <v>15</v>
      </c>
      <c r="L18" s="14" t="str">
        <f t="shared" si="0"/>
        <v>Mee1396</v>
      </c>
      <c r="M18" s="15" t="str">
        <f t="shared" si="1"/>
        <v>Diary</v>
      </c>
      <c r="N18" s="16" t="str">
        <f t="shared" si="2"/>
        <v>iary</v>
      </c>
    </row>
    <row r="19" spans="1:14" ht="15" thickBot="1" x14ac:dyDescent="0.4">
      <c r="A19" s="5">
        <v>1330</v>
      </c>
      <c r="B19" s="5" t="s">
        <v>49</v>
      </c>
      <c r="C19" s="5" t="s">
        <v>17</v>
      </c>
      <c r="D19" s="5" t="s">
        <v>18</v>
      </c>
      <c r="E19" s="5" t="s">
        <v>19</v>
      </c>
      <c r="F19" s="5">
        <v>13</v>
      </c>
      <c r="G19" s="5">
        <v>12071</v>
      </c>
      <c r="H19" s="5">
        <v>0</v>
      </c>
      <c r="I19" s="6">
        <v>46032</v>
      </c>
      <c r="J19" s="6">
        <v>46036</v>
      </c>
      <c r="K19" s="10" t="s">
        <v>51</v>
      </c>
      <c r="L19" s="14" t="str">
        <f t="shared" si="0"/>
        <v>Aja1330</v>
      </c>
      <c r="M19" s="15" t="str">
        <f t="shared" si="1"/>
        <v>Dessk</v>
      </c>
      <c r="N19" s="16" t="str">
        <f t="shared" si="2"/>
        <v>esk</v>
      </c>
    </row>
    <row r="20" spans="1:14" ht="15" thickBot="1" x14ac:dyDescent="0.4">
      <c r="A20" s="5">
        <v>1037</v>
      </c>
      <c r="B20" s="5" t="s">
        <v>46</v>
      </c>
      <c r="C20" s="5" t="s">
        <v>43</v>
      </c>
      <c r="D20" s="5" t="s">
        <v>18</v>
      </c>
      <c r="E20" s="5" t="s">
        <v>56</v>
      </c>
      <c r="F20" s="5">
        <v>6</v>
      </c>
      <c r="G20" s="5">
        <v>14385</v>
      </c>
      <c r="H20" s="5">
        <v>12</v>
      </c>
      <c r="I20" s="6">
        <v>46033</v>
      </c>
      <c r="J20" s="6">
        <v>46043</v>
      </c>
      <c r="K20" s="10" t="s">
        <v>24</v>
      </c>
      <c r="L20" s="14" t="str">
        <f t="shared" si="0"/>
        <v>Kir1037</v>
      </c>
      <c r="M20" s="15" t="str">
        <f t="shared" si="1"/>
        <v>Cabet</v>
      </c>
      <c r="N20" s="16" t="str">
        <f t="shared" si="2"/>
        <v>abin</v>
      </c>
    </row>
    <row r="21" spans="1:14" ht="15" thickBot="1" x14ac:dyDescent="0.4">
      <c r="A21" s="5">
        <v>1109</v>
      </c>
      <c r="B21" s="5" t="s">
        <v>21</v>
      </c>
      <c r="C21" s="5" t="s">
        <v>31</v>
      </c>
      <c r="D21" s="5" t="s">
        <v>18</v>
      </c>
      <c r="E21" s="5" t="s">
        <v>44</v>
      </c>
      <c r="F21" s="5">
        <v>19</v>
      </c>
      <c r="G21" s="5">
        <v>6512</v>
      </c>
      <c r="H21" s="5">
        <v>10</v>
      </c>
      <c r="I21" s="6">
        <v>46033</v>
      </c>
      <c r="J21" s="6">
        <v>46037</v>
      </c>
      <c r="K21" s="10" t="s">
        <v>20</v>
      </c>
      <c r="L21" s="14" t="str">
        <f t="shared" si="0"/>
        <v>Mee1109</v>
      </c>
      <c r="M21" s="15" t="str">
        <f t="shared" si="1"/>
        <v>Boolf</v>
      </c>
      <c r="N21" s="16" t="str">
        <f t="shared" si="2"/>
        <v>ooks</v>
      </c>
    </row>
    <row r="22" spans="1:14" ht="15" thickBot="1" x14ac:dyDescent="0.4">
      <c r="A22" s="5">
        <v>1008</v>
      </c>
      <c r="B22" s="5" t="s">
        <v>30</v>
      </c>
      <c r="C22" s="5" t="s">
        <v>31</v>
      </c>
      <c r="D22" s="5" t="s">
        <v>18</v>
      </c>
      <c r="E22" s="5" t="s">
        <v>28</v>
      </c>
      <c r="F22" s="5">
        <v>1</v>
      </c>
      <c r="G22" s="5">
        <v>1134</v>
      </c>
      <c r="H22" s="5">
        <v>0</v>
      </c>
      <c r="I22" s="6">
        <v>46033</v>
      </c>
      <c r="J22" s="6">
        <v>46041</v>
      </c>
      <c r="K22" s="10" t="s">
        <v>24</v>
      </c>
      <c r="L22" s="14" t="str">
        <f t="shared" si="0"/>
        <v>Neh1008</v>
      </c>
      <c r="M22" s="15" t="str">
        <f t="shared" si="1"/>
        <v>Chair</v>
      </c>
      <c r="N22" s="16" t="str">
        <f t="shared" si="2"/>
        <v>hair</v>
      </c>
    </row>
    <row r="23" spans="1:14" ht="15" thickBot="1" x14ac:dyDescent="0.4">
      <c r="A23" s="5">
        <v>1181</v>
      </c>
      <c r="B23" s="5" t="s">
        <v>58</v>
      </c>
      <c r="C23" s="5" t="s">
        <v>33</v>
      </c>
      <c r="D23" s="5" t="s">
        <v>13</v>
      </c>
      <c r="E23" s="5" t="s">
        <v>36</v>
      </c>
      <c r="F23" s="5">
        <v>4</v>
      </c>
      <c r="G23" s="5">
        <v>357</v>
      </c>
      <c r="H23" s="5">
        <v>2</v>
      </c>
      <c r="I23" s="6">
        <v>46033</v>
      </c>
      <c r="J23" s="6">
        <v>46035</v>
      </c>
      <c r="K23" s="10" t="s">
        <v>15</v>
      </c>
      <c r="L23" s="14" t="str">
        <f t="shared" si="0"/>
        <v>Roh1181</v>
      </c>
      <c r="M23" s="15" t="str">
        <f t="shared" si="1"/>
        <v>Staer</v>
      </c>
      <c r="N23" s="16" t="str">
        <f t="shared" si="2"/>
        <v>tapl</v>
      </c>
    </row>
    <row r="24" spans="1:14" ht="15" thickBot="1" x14ac:dyDescent="0.4">
      <c r="A24" s="5">
        <v>1205</v>
      </c>
      <c r="B24" s="5" t="s">
        <v>21</v>
      </c>
      <c r="C24" s="5" t="s">
        <v>38</v>
      </c>
      <c r="D24" s="5" t="s">
        <v>13</v>
      </c>
      <c r="E24" s="5" t="s">
        <v>36</v>
      </c>
      <c r="F24" s="5">
        <v>1</v>
      </c>
      <c r="G24" s="5">
        <v>112</v>
      </c>
      <c r="H24" s="5">
        <v>7</v>
      </c>
      <c r="I24" s="6">
        <v>46033</v>
      </c>
      <c r="J24" s="6">
        <v>46040</v>
      </c>
      <c r="K24" s="10" t="s">
        <v>51</v>
      </c>
      <c r="L24" s="14" t="str">
        <f t="shared" si="0"/>
        <v>Mee1205</v>
      </c>
      <c r="M24" s="15" t="str">
        <f t="shared" si="1"/>
        <v>Staer</v>
      </c>
      <c r="N24" s="16" t="str">
        <f t="shared" si="2"/>
        <v>tapl</v>
      </c>
    </row>
    <row r="25" spans="1:14" ht="15" thickBot="1" x14ac:dyDescent="0.4">
      <c r="A25" s="5">
        <v>1004</v>
      </c>
      <c r="B25" s="5" t="s">
        <v>16</v>
      </c>
      <c r="C25" s="5" t="s">
        <v>25</v>
      </c>
      <c r="D25" s="5" t="s">
        <v>18</v>
      </c>
      <c r="E25" s="5" t="s">
        <v>23</v>
      </c>
      <c r="F25" s="5">
        <v>16</v>
      </c>
      <c r="G25" s="5">
        <v>11739</v>
      </c>
      <c r="H25" s="5">
        <v>12</v>
      </c>
      <c r="I25" s="6">
        <v>46034</v>
      </c>
      <c r="J25" s="6">
        <v>46040</v>
      </c>
      <c r="K25" s="10" t="s">
        <v>20</v>
      </c>
      <c r="L25" s="14" t="str">
        <f t="shared" si="0"/>
        <v>Poo1004</v>
      </c>
      <c r="M25" s="15" t="str">
        <f t="shared" si="1"/>
        <v>Table</v>
      </c>
      <c r="N25" s="16" t="str">
        <f t="shared" si="2"/>
        <v>able</v>
      </c>
    </row>
    <row r="26" spans="1:14" ht="15" thickBot="1" x14ac:dyDescent="0.4">
      <c r="A26" s="5">
        <v>1072</v>
      </c>
      <c r="B26" s="5" t="s">
        <v>16</v>
      </c>
      <c r="C26" s="5" t="s">
        <v>25</v>
      </c>
      <c r="D26" s="5" t="s">
        <v>34</v>
      </c>
      <c r="E26" s="5" t="s">
        <v>61</v>
      </c>
      <c r="F26" s="5">
        <v>20</v>
      </c>
      <c r="G26" s="5">
        <v>58779</v>
      </c>
      <c r="H26" s="5">
        <v>0</v>
      </c>
      <c r="I26" s="6">
        <v>46035</v>
      </c>
      <c r="J26" s="6">
        <v>46036</v>
      </c>
      <c r="K26" s="10" t="s">
        <v>24</v>
      </c>
      <c r="L26" s="14" t="str">
        <f t="shared" si="0"/>
        <v>Poo1072</v>
      </c>
      <c r="M26" s="15" t="str">
        <f t="shared" si="1"/>
        <v>Mouse</v>
      </c>
      <c r="N26" s="16" t="str">
        <f t="shared" si="2"/>
        <v>ouse</v>
      </c>
    </row>
    <row r="27" spans="1:14" ht="15" thickBot="1" x14ac:dyDescent="0.4">
      <c r="A27" s="5">
        <v>1368</v>
      </c>
      <c r="B27" s="5" t="s">
        <v>55</v>
      </c>
      <c r="C27" s="5" t="s">
        <v>38</v>
      </c>
      <c r="D27" s="5" t="s">
        <v>13</v>
      </c>
      <c r="E27" s="5" t="s">
        <v>36</v>
      </c>
      <c r="F27" s="5">
        <v>9</v>
      </c>
      <c r="G27" s="5">
        <v>115</v>
      </c>
      <c r="H27" s="5">
        <v>0</v>
      </c>
      <c r="I27" s="6">
        <v>46036</v>
      </c>
      <c r="J27" s="6">
        <v>46045</v>
      </c>
      <c r="K27" s="10" t="s">
        <v>24</v>
      </c>
      <c r="L27" s="14" t="str">
        <f t="shared" si="0"/>
        <v>Sne1368</v>
      </c>
      <c r="M27" s="15" t="str">
        <f t="shared" si="1"/>
        <v>Staer</v>
      </c>
      <c r="N27" s="16" t="str">
        <f t="shared" si="2"/>
        <v>tapl</v>
      </c>
    </row>
    <row r="28" spans="1:14" ht="15" thickBot="1" x14ac:dyDescent="0.4">
      <c r="A28" s="5">
        <v>1347</v>
      </c>
      <c r="B28" s="5" t="s">
        <v>29</v>
      </c>
      <c r="C28" s="5" t="s">
        <v>22</v>
      </c>
      <c r="D28" s="5" t="s">
        <v>34</v>
      </c>
      <c r="E28" s="5" t="s">
        <v>35</v>
      </c>
      <c r="F28" s="5">
        <v>16</v>
      </c>
      <c r="G28" s="5">
        <v>6034</v>
      </c>
      <c r="H28" s="5">
        <v>15</v>
      </c>
      <c r="I28" s="6">
        <v>46037</v>
      </c>
      <c r="J28" s="6">
        <v>46044</v>
      </c>
      <c r="K28" s="10" t="s">
        <v>24</v>
      </c>
      <c r="L28" s="14" t="str">
        <f t="shared" si="0"/>
        <v>Pri1347</v>
      </c>
      <c r="M28" s="15" t="str">
        <f t="shared" si="1"/>
        <v>Prier</v>
      </c>
      <c r="N28" s="16" t="str">
        <f t="shared" si="2"/>
        <v>rint</v>
      </c>
    </row>
    <row r="29" spans="1:14" ht="15" thickBot="1" x14ac:dyDescent="0.4">
      <c r="A29" s="5">
        <v>1051</v>
      </c>
      <c r="B29" s="5" t="s">
        <v>58</v>
      </c>
      <c r="C29" s="5" t="s">
        <v>17</v>
      </c>
      <c r="D29" s="5" t="s">
        <v>13</v>
      </c>
      <c r="E29" s="5" t="s">
        <v>36</v>
      </c>
      <c r="F29" s="5">
        <v>12</v>
      </c>
      <c r="G29" s="5">
        <v>47</v>
      </c>
      <c r="H29" s="5">
        <v>2</v>
      </c>
      <c r="I29" s="6">
        <v>46037</v>
      </c>
      <c r="J29" s="6">
        <v>46045</v>
      </c>
      <c r="K29" s="10" t="s">
        <v>15</v>
      </c>
      <c r="L29" s="14" t="str">
        <f t="shared" si="0"/>
        <v>Roh1051</v>
      </c>
      <c r="M29" s="15" t="str">
        <f t="shared" si="1"/>
        <v>Staer</v>
      </c>
      <c r="N29" s="16" t="str">
        <f t="shared" si="2"/>
        <v>tapl</v>
      </c>
    </row>
    <row r="30" spans="1:14" ht="15" thickBot="1" x14ac:dyDescent="0.4">
      <c r="A30" s="5">
        <v>1045</v>
      </c>
      <c r="B30" s="5" t="s">
        <v>32</v>
      </c>
      <c r="C30" s="5" t="s">
        <v>38</v>
      </c>
      <c r="D30" s="5" t="s">
        <v>34</v>
      </c>
      <c r="E30" s="5" t="s">
        <v>35</v>
      </c>
      <c r="F30" s="5">
        <v>3</v>
      </c>
      <c r="G30" s="5">
        <v>62762</v>
      </c>
      <c r="H30" s="5">
        <v>7</v>
      </c>
      <c r="I30" s="6">
        <v>46038</v>
      </c>
      <c r="J30" s="6">
        <v>46039</v>
      </c>
      <c r="K30" s="10" t="s">
        <v>29</v>
      </c>
      <c r="L30" s="14" t="str">
        <f t="shared" si="0"/>
        <v>Ash1045</v>
      </c>
      <c r="M30" s="15" t="str">
        <f t="shared" si="1"/>
        <v>Prier</v>
      </c>
      <c r="N30" s="16" t="str">
        <f t="shared" si="2"/>
        <v>rint</v>
      </c>
    </row>
    <row r="31" spans="1:14" ht="15" thickBot="1" x14ac:dyDescent="0.4">
      <c r="A31" s="5">
        <v>1334</v>
      </c>
      <c r="B31" s="5" t="s">
        <v>40</v>
      </c>
      <c r="C31" s="5" t="s">
        <v>12</v>
      </c>
      <c r="D31" s="5" t="s">
        <v>34</v>
      </c>
      <c r="E31" s="5" t="s">
        <v>41</v>
      </c>
      <c r="F31" s="5">
        <v>15</v>
      </c>
      <c r="G31" s="5">
        <v>39853</v>
      </c>
      <c r="H31" s="5">
        <v>7</v>
      </c>
      <c r="I31" s="6">
        <v>46038</v>
      </c>
      <c r="J31" s="6">
        <v>46047</v>
      </c>
      <c r="K31" s="10" t="s">
        <v>51</v>
      </c>
      <c r="L31" s="14" t="str">
        <f t="shared" si="0"/>
        <v>Dee1334</v>
      </c>
      <c r="M31" s="15" t="str">
        <f t="shared" si="1"/>
        <v>Heaet</v>
      </c>
      <c r="N31" s="16" t="str">
        <f t="shared" si="2"/>
        <v>eads</v>
      </c>
    </row>
    <row r="32" spans="1:14" ht="15" thickBot="1" x14ac:dyDescent="0.4">
      <c r="A32" s="5">
        <v>1069</v>
      </c>
      <c r="B32" s="5" t="s">
        <v>52</v>
      </c>
      <c r="C32" s="5" t="s">
        <v>31</v>
      </c>
      <c r="D32" s="5" t="s">
        <v>18</v>
      </c>
      <c r="E32" s="5" t="s">
        <v>28</v>
      </c>
      <c r="F32" s="5">
        <v>9</v>
      </c>
      <c r="G32" s="5">
        <v>4415</v>
      </c>
      <c r="H32" s="5">
        <v>5</v>
      </c>
      <c r="I32" s="6">
        <v>46039</v>
      </c>
      <c r="J32" s="6">
        <v>46046</v>
      </c>
      <c r="K32" s="10" t="s">
        <v>15</v>
      </c>
      <c r="L32" s="14" t="str">
        <f t="shared" si="0"/>
        <v>Kom1069</v>
      </c>
      <c r="M32" s="15" t="str">
        <f t="shared" si="1"/>
        <v>Chair</v>
      </c>
      <c r="N32" s="16" t="str">
        <f t="shared" si="2"/>
        <v>hair</v>
      </c>
    </row>
    <row r="33" spans="1:14" ht="15" thickBot="1" x14ac:dyDescent="0.4">
      <c r="A33" s="5">
        <v>1246</v>
      </c>
      <c r="B33" s="5" t="s">
        <v>55</v>
      </c>
      <c r="C33" s="5" t="s">
        <v>22</v>
      </c>
      <c r="D33" s="5" t="s">
        <v>34</v>
      </c>
      <c r="E33" s="5" t="s">
        <v>35</v>
      </c>
      <c r="F33" s="5">
        <v>13</v>
      </c>
      <c r="G33" s="5">
        <v>1825</v>
      </c>
      <c r="H33" s="5">
        <v>2</v>
      </c>
      <c r="I33" s="6">
        <v>46039</v>
      </c>
      <c r="J33" s="6">
        <v>46045</v>
      </c>
      <c r="K33" s="10" t="s">
        <v>51</v>
      </c>
      <c r="L33" s="14" t="str">
        <f t="shared" si="0"/>
        <v>Sne1246</v>
      </c>
      <c r="M33" s="15" t="str">
        <f t="shared" si="1"/>
        <v>Prier</v>
      </c>
      <c r="N33" s="16" t="str">
        <f t="shared" si="2"/>
        <v>rint</v>
      </c>
    </row>
    <row r="34" spans="1:14" ht="15" thickBot="1" x14ac:dyDescent="0.4">
      <c r="A34" s="5">
        <v>1026</v>
      </c>
      <c r="B34" s="5" t="s">
        <v>49</v>
      </c>
      <c r="C34" s="5" t="s">
        <v>31</v>
      </c>
      <c r="D34" s="5" t="s">
        <v>13</v>
      </c>
      <c r="E34" s="5" t="s">
        <v>50</v>
      </c>
      <c r="F34" s="5">
        <v>17</v>
      </c>
      <c r="G34" s="5">
        <v>323</v>
      </c>
      <c r="H34" s="5">
        <v>10</v>
      </c>
      <c r="I34" s="6">
        <v>46039</v>
      </c>
      <c r="J34" s="6">
        <v>46040</v>
      </c>
      <c r="K34" s="10" t="s">
        <v>29</v>
      </c>
      <c r="L34" s="14" t="str">
        <f t="shared" si="0"/>
        <v>Aja1026</v>
      </c>
      <c r="M34" s="15" t="str">
        <f t="shared" si="1"/>
        <v>Marer</v>
      </c>
      <c r="N34" s="16" t="str">
        <f t="shared" si="2"/>
        <v>arke</v>
      </c>
    </row>
    <row r="35" spans="1:14" ht="15" thickBot="1" x14ac:dyDescent="0.4">
      <c r="A35" s="5">
        <v>1260</v>
      </c>
      <c r="B35" s="5" t="s">
        <v>54</v>
      </c>
      <c r="C35" s="5" t="s">
        <v>38</v>
      </c>
      <c r="D35" s="5" t="s">
        <v>34</v>
      </c>
      <c r="E35" s="5" t="s">
        <v>41</v>
      </c>
      <c r="F35" s="5">
        <v>19</v>
      </c>
      <c r="G35" s="5">
        <v>54981</v>
      </c>
      <c r="H35" s="5">
        <v>10</v>
      </c>
      <c r="I35" s="6">
        <v>46040</v>
      </c>
      <c r="J35" s="6">
        <v>46045</v>
      </c>
      <c r="K35" s="10" t="s">
        <v>29</v>
      </c>
      <c r="L35" s="14" t="str">
        <f t="shared" si="0"/>
        <v>Man1260</v>
      </c>
      <c r="M35" s="15" t="str">
        <f t="shared" si="1"/>
        <v>Heaet</v>
      </c>
      <c r="N35" s="16" t="str">
        <f t="shared" si="2"/>
        <v>eads</v>
      </c>
    </row>
    <row r="36" spans="1:14" ht="15" thickBot="1" x14ac:dyDescent="0.4">
      <c r="A36" s="5">
        <v>1103</v>
      </c>
      <c r="B36" s="5" t="s">
        <v>16</v>
      </c>
      <c r="C36" s="5" t="s">
        <v>12</v>
      </c>
      <c r="D36" s="5" t="s">
        <v>18</v>
      </c>
      <c r="E36" s="5" t="s">
        <v>23</v>
      </c>
      <c r="F36" s="5">
        <v>7</v>
      </c>
      <c r="G36" s="5">
        <v>11925</v>
      </c>
      <c r="H36" s="5">
        <v>5</v>
      </c>
      <c r="I36" s="6">
        <v>46040</v>
      </c>
      <c r="J36" s="6">
        <v>46041</v>
      </c>
      <c r="K36" s="10" t="s">
        <v>29</v>
      </c>
      <c r="L36" s="14" t="str">
        <f t="shared" si="0"/>
        <v>Poo1103</v>
      </c>
      <c r="M36" s="15" t="str">
        <f t="shared" si="1"/>
        <v>Table</v>
      </c>
      <c r="N36" s="16" t="str">
        <f t="shared" si="2"/>
        <v>able</v>
      </c>
    </row>
    <row r="37" spans="1:14" ht="15" thickBot="1" x14ac:dyDescent="0.4">
      <c r="A37" s="5">
        <v>1135</v>
      </c>
      <c r="B37" s="5" t="s">
        <v>49</v>
      </c>
      <c r="C37" s="5" t="s">
        <v>43</v>
      </c>
      <c r="D37" s="5" t="s">
        <v>34</v>
      </c>
      <c r="E37" s="5" t="s">
        <v>39</v>
      </c>
      <c r="F37" s="5">
        <v>14</v>
      </c>
      <c r="G37" s="5">
        <v>68534</v>
      </c>
      <c r="H37" s="5">
        <v>0</v>
      </c>
      <c r="I37" s="6">
        <v>46041</v>
      </c>
      <c r="J37" s="6">
        <v>46042</v>
      </c>
      <c r="K37" s="10" t="s">
        <v>15</v>
      </c>
      <c r="L37" s="14" t="str">
        <f t="shared" si="0"/>
        <v>Aja1135</v>
      </c>
      <c r="M37" s="15" t="str">
        <f t="shared" si="1"/>
        <v>Keyrd</v>
      </c>
      <c r="N37" s="16" t="str">
        <f t="shared" si="2"/>
        <v>eybo</v>
      </c>
    </row>
    <row r="38" spans="1:14" ht="15" thickBot="1" x14ac:dyDescent="0.4">
      <c r="A38" s="5">
        <v>1228</v>
      </c>
      <c r="B38" s="5" t="s">
        <v>29</v>
      </c>
      <c r="C38" s="5" t="s">
        <v>25</v>
      </c>
      <c r="D38" s="5" t="s">
        <v>34</v>
      </c>
      <c r="E38" s="5" t="s">
        <v>45</v>
      </c>
      <c r="F38" s="5">
        <v>16</v>
      </c>
      <c r="G38" s="5">
        <v>17477</v>
      </c>
      <c r="H38" s="5">
        <v>10</v>
      </c>
      <c r="I38" s="6">
        <v>46041</v>
      </c>
      <c r="J38" s="6">
        <v>46043</v>
      </c>
      <c r="K38" s="10" t="s">
        <v>24</v>
      </c>
      <c r="L38" s="14" t="str">
        <f t="shared" si="0"/>
        <v>Pri1228</v>
      </c>
      <c r="M38" s="15" t="str">
        <f t="shared" si="1"/>
        <v>Monor</v>
      </c>
      <c r="N38" s="16" t="str">
        <f t="shared" si="2"/>
        <v>onit</v>
      </c>
    </row>
    <row r="39" spans="1:14" ht="15" thickBot="1" x14ac:dyDescent="0.4">
      <c r="A39" s="5">
        <v>1313</v>
      </c>
      <c r="B39" s="5" t="s">
        <v>59</v>
      </c>
      <c r="C39" s="5" t="s">
        <v>22</v>
      </c>
      <c r="D39" s="5" t="s">
        <v>18</v>
      </c>
      <c r="E39" s="5" t="s">
        <v>56</v>
      </c>
      <c r="F39" s="5">
        <v>6</v>
      </c>
      <c r="G39" s="5">
        <v>10864</v>
      </c>
      <c r="H39" s="5">
        <v>10</v>
      </c>
      <c r="I39" s="6">
        <v>46041</v>
      </c>
      <c r="J39" s="6">
        <v>46049</v>
      </c>
      <c r="K39" s="10" t="s">
        <v>15</v>
      </c>
      <c r="L39" s="14" t="str">
        <f t="shared" si="0"/>
        <v>Ani1313</v>
      </c>
      <c r="M39" s="15" t="str">
        <f t="shared" si="1"/>
        <v>Cabet</v>
      </c>
      <c r="N39" s="16" t="str">
        <f t="shared" si="2"/>
        <v>abin</v>
      </c>
    </row>
    <row r="40" spans="1:14" ht="15" thickBot="1" x14ac:dyDescent="0.4">
      <c r="A40" s="5">
        <v>1208</v>
      </c>
      <c r="B40" s="5" t="s">
        <v>54</v>
      </c>
      <c r="C40" s="5" t="s">
        <v>43</v>
      </c>
      <c r="D40" s="5" t="s">
        <v>18</v>
      </c>
      <c r="E40" s="5" t="s">
        <v>44</v>
      </c>
      <c r="F40" s="5">
        <v>6</v>
      </c>
      <c r="G40" s="5">
        <v>7627</v>
      </c>
      <c r="H40" s="5">
        <v>10</v>
      </c>
      <c r="I40" s="6">
        <v>46042</v>
      </c>
      <c r="J40" s="6">
        <v>46047</v>
      </c>
      <c r="K40" s="10" t="s">
        <v>20</v>
      </c>
      <c r="L40" s="14" t="str">
        <f t="shared" si="0"/>
        <v>Man1208</v>
      </c>
      <c r="M40" s="15" t="str">
        <f t="shared" si="1"/>
        <v>Boolf</v>
      </c>
      <c r="N40" s="16" t="str">
        <f t="shared" si="2"/>
        <v>ooks</v>
      </c>
    </row>
    <row r="41" spans="1:14" ht="15" thickBot="1" x14ac:dyDescent="0.4">
      <c r="A41" s="5">
        <v>1165</v>
      </c>
      <c r="B41" s="5" t="s">
        <v>48</v>
      </c>
      <c r="C41" s="5" t="s">
        <v>25</v>
      </c>
      <c r="D41" s="5" t="s">
        <v>13</v>
      </c>
      <c r="E41" s="5" t="s">
        <v>37</v>
      </c>
      <c r="F41" s="5">
        <v>1</v>
      </c>
      <c r="G41" s="5">
        <v>427</v>
      </c>
      <c r="H41" s="5">
        <v>0</v>
      </c>
      <c r="I41" s="6">
        <v>46042</v>
      </c>
      <c r="J41" s="6">
        <v>46050</v>
      </c>
      <c r="K41" s="10" t="s">
        <v>51</v>
      </c>
      <c r="L41" s="14" t="str">
        <f t="shared" si="0"/>
        <v>Nit1165</v>
      </c>
      <c r="M41" s="15" t="str">
        <f t="shared" si="1"/>
        <v>Penck</v>
      </c>
      <c r="N41" s="16" t="str">
        <f t="shared" si="2"/>
        <v>en P</v>
      </c>
    </row>
    <row r="42" spans="1:14" ht="15" thickBot="1" x14ac:dyDescent="0.4">
      <c r="A42" s="5">
        <v>1304</v>
      </c>
      <c r="B42" s="5" t="s">
        <v>59</v>
      </c>
      <c r="C42" s="5" t="s">
        <v>25</v>
      </c>
      <c r="D42" s="5" t="s">
        <v>13</v>
      </c>
      <c r="E42" s="5" t="s">
        <v>36</v>
      </c>
      <c r="F42" s="5">
        <v>20</v>
      </c>
      <c r="G42" s="5">
        <v>368</v>
      </c>
      <c r="H42" s="5">
        <v>7</v>
      </c>
      <c r="I42" s="6">
        <v>46042</v>
      </c>
      <c r="J42" s="6">
        <v>46051</v>
      </c>
      <c r="K42" s="10" t="s">
        <v>51</v>
      </c>
      <c r="L42" s="14" t="str">
        <f t="shared" si="0"/>
        <v>Ani1304</v>
      </c>
      <c r="M42" s="15" t="str">
        <f t="shared" si="1"/>
        <v>Staer</v>
      </c>
      <c r="N42" s="16" t="str">
        <f t="shared" si="2"/>
        <v>tapl</v>
      </c>
    </row>
    <row r="43" spans="1:14" ht="15" thickBot="1" x14ac:dyDescent="0.4">
      <c r="A43" s="5">
        <v>1141</v>
      </c>
      <c r="B43" s="5" t="s">
        <v>11</v>
      </c>
      <c r="C43" s="5" t="s">
        <v>17</v>
      </c>
      <c r="D43" s="5" t="s">
        <v>18</v>
      </c>
      <c r="E43" s="5" t="s">
        <v>44</v>
      </c>
      <c r="F43" s="5">
        <v>20</v>
      </c>
      <c r="G43" s="5">
        <v>6835</v>
      </c>
      <c r="H43" s="5">
        <v>2</v>
      </c>
      <c r="I43" s="6">
        <v>46043</v>
      </c>
      <c r="J43" s="6">
        <v>46053</v>
      </c>
      <c r="K43" s="10" t="s">
        <v>15</v>
      </c>
      <c r="L43" s="14" t="str">
        <f t="shared" si="0"/>
        <v>Rit1141</v>
      </c>
      <c r="M43" s="15" t="str">
        <f t="shared" si="1"/>
        <v>Boolf</v>
      </c>
      <c r="N43" s="16" t="str">
        <f t="shared" si="2"/>
        <v>ooks</v>
      </c>
    </row>
    <row r="44" spans="1:14" ht="15" thickBot="1" x14ac:dyDescent="0.4">
      <c r="A44" s="5">
        <v>1389</v>
      </c>
      <c r="B44" s="5" t="s">
        <v>32</v>
      </c>
      <c r="C44" s="5" t="s">
        <v>12</v>
      </c>
      <c r="D44" s="5" t="s">
        <v>34</v>
      </c>
      <c r="E44" s="5" t="s">
        <v>41</v>
      </c>
      <c r="F44" s="5">
        <v>3</v>
      </c>
      <c r="G44" s="5">
        <v>56380</v>
      </c>
      <c r="H44" s="5">
        <v>5</v>
      </c>
      <c r="I44" s="6">
        <v>46044</v>
      </c>
      <c r="J44" s="6">
        <v>46048</v>
      </c>
      <c r="K44" s="10" t="s">
        <v>51</v>
      </c>
      <c r="L44" s="14" t="str">
        <f t="shared" si="0"/>
        <v>Ash1389</v>
      </c>
      <c r="M44" s="15" t="str">
        <f t="shared" si="1"/>
        <v>Heaet</v>
      </c>
      <c r="N44" s="16" t="str">
        <f t="shared" si="2"/>
        <v>eads</v>
      </c>
    </row>
    <row r="45" spans="1:14" ht="15" thickBot="1" x14ac:dyDescent="0.4">
      <c r="A45" s="5">
        <v>1226</v>
      </c>
      <c r="B45" s="5" t="s">
        <v>29</v>
      </c>
      <c r="C45" s="5" t="s">
        <v>31</v>
      </c>
      <c r="D45" s="5" t="s">
        <v>34</v>
      </c>
      <c r="E45" s="5" t="s">
        <v>41</v>
      </c>
      <c r="F45" s="5">
        <v>13</v>
      </c>
      <c r="G45" s="5">
        <v>21332</v>
      </c>
      <c r="H45" s="5">
        <v>0</v>
      </c>
      <c r="I45" s="6">
        <v>46044</v>
      </c>
      <c r="J45" s="6">
        <v>46048</v>
      </c>
      <c r="K45" s="10" t="s">
        <v>29</v>
      </c>
      <c r="L45" s="14" t="str">
        <f t="shared" si="0"/>
        <v>Pri1226</v>
      </c>
      <c r="M45" s="15" t="str">
        <f t="shared" si="1"/>
        <v>Heaet</v>
      </c>
      <c r="N45" s="16" t="str">
        <f t="shared" si="2"/>
        <v>eads</v>
      </c>
    </row>
    <row r="46" spans="1:14" ht="15" thickBot="1" x14ac:dyDescent="0.4">
      <c r="A46" s="5">
        <v>1128</v>
      </c>
      <c r="B46" s="5" t="s">
        <v>30</v>
      </c>
      <c r="C46" s="5" t="s">
        <v>22</v>
      </c>
      <c r="D46" s="5" t="s">
        <v>34</v>
      </c>
      <c r="E46" s="5" t="s">
        <v>61</v>
      </c>
      <c r="F46" s="5">
        <v>6</v>
      </c>
      <c r="G46" s="5">
        <v>5001</v>
      </c>
      <c r="H46" s="5">
        <v>7</v>
      </c>
      <c r="I46" s="6">
        <v>46044</v>
      </c>
      <c r="J46" s="6">
        <v>46050</v>
      </c>
      <c r="K46" s="10" t="s">
        <v>29</v>
      </c>
      <c r="L46" s="14" t="str">
        <f t="shared" si="0"/>
        <v>Neh1128</v>
      </c>
      <c r="M46" s="15" t="str">
        <f t="shared" si="1"/>
        <v>Mouse</v>
      </c>
      <c r="N46" s="16" t="str">
        <f t="shared" si="2"/>
        <v>ouse</v>
      </c>
    </row>
    <row r="47" spans="1:14" ht="15" thickBot="1" x14ac:dyDescent="0.4">
      <c r="A47" s="5">
        <v>1197</v>
      </c>
      <c r="B47" s="5" t="s">
        <v>52</v>
      </c>
      <c r="C47" s="5" t="s">
        <v>31</v>
      </c>
      <c r="D47" s="5" t="s">
        <v>34</v>
      </c>
      <c r="E47" s="5" t="s">
        <v>35</v>
      </c>
      <c r="F47" s="5">
        <v>5</v>
      </c>
      <c r="G47" s="5">
        <v>45352</v>
      </c>
      <c r="H47" s="5">
        <v>12</v>
      </c>
      <c r="I47" s="6">
        <v>46045</v>
      </c>
      <c r="J47" s="6">
        <v>46048</v>
      </c>
      <c r="K47" s="10" t="s">
        <v>15</v>
      </c>
      <c r="L47" s="14" t="str">
        <f t="shared" si="0"/>
        <v>Kom1197</v>
      </c>
      <c r="M47" s="15" t="str">
        <f t="shared" si="1"/>
        <v>Prier</v>
      </c>
      <c r="N47" s="16" t="str">
        <f t="shared" si="2"/>
        <v>rint</v>
      </c>
    </row>
    <row r="48" spans="1:14" ht="15" thickBot="1" x14ac:dyDescent="0.4">
      <c r="A48" s="5">
        <v>1076</v>
      </c>
      <c r="B48" s="5" t="s">
        <v>29</v>
      </c>
      <c r="C48" s="5" t="s">
        <v>17</v>
      </c>
      <c r="D48" s="5" t="s">
        <v>34</v>
      </c>
      <c r="E48" s="5" t="s">
        <v>35</v>
      </c>
      <c r="F48" s="5">
        <v>19</v>
      </c>
      <c r="G48" s="5">
        <v>26714</v>
      </c>
      <c r="H48" s="5">
        <v>5</v>
      </c>
      <c r="I48" s="6">
        <v>46045</v>
      </c>
      <c r="J48" s="6">
        <v>46055</v>
      </c>
      <c r="K48" s="10" t="s">
        <v>29</v>
      </c>
      <c r="L48" s="14" t="str">
        <f t="shared" si="0"/>
        <v>Pri1076</v>
      </c>
      <c r="M48" s="15" t="str">
        <f t="shared" si="1"/>
        <v>Prier</v>
      </c>
      <c r="N48" s="16" t="str">
        <f t="shared" si="2"/>
        <v>rint</v>
      </c>
    </row>
    <row r="49" spans="1:14" ht="15" thickBot="1" x14ac:dyDescent="0.4">
      <c r="A49" s="5">
        <v>1224</v>
      </c>
      <c r="B49" s="5" t="s">
        <v>30</v>
      </c>
      <c r="C49" s="5" t="s">
        <v>38</v>
      </c>
      <c r="D49" s="5" t="s">
        <v>34</v>
      </c>
      <c r="E49" s="5" t="s">
        <v>45</v>
      </c>
      <c r="F49" s="5">
        <v>16</v>
      </c>
      <c r="G49" s="5">
        <v>18378</v>
      </c>
      <c r="H49" s="5">
        <v>10</v>
      </c>
      <c r="I49" s="6">
        <v>46045</v>
      </c>
      <c r="J49" s="6">
        <v>46052</v>
      </c>
      <c r="K49" s="10" t="s">
        <v>24</v>
      </c>
      <c r="L49" s="14" t="str">
        <f t="shared" si="0"/>
        <v>Neh1224</v>
      </c>
      <c r="M49" s="15" t="str">
        <f t="shared" si="1"/>
        <v>Monor</v>
      </c>
      <c r="N49" s="16" t="str">
        <f t="shared" si="2"/>
        <v>onit</v>
      </c>
    </row>
    <row r="50" spans="1:14" ht="15" thickBot="1" x14ac:dyDescent="0.4">
      <c r="A50" s="5">
        <v>1293</v>
      </c>
      <c r="B50" s="5" t="s">
        <v>49</v>
      </c>
      <c r="C50" s="5" t="s">
        <v>43</v>
      </c>
      <c r="D50" s="5" t="s">
        <v>18</v>
      </c>
      <c r="E50" s="5" t="s">
        <v>23</v>
      </c>
      <c r="F50" s="5">
        <v>7</v>
      </c>
      <c r="G50" s="5">
        <v>11481</v>
      </c>
      <c r="H50" s="5">
        <v>15</v>
      </c>
      <c r="I50" s="6">
        <v>46045</v>
      </c>
      <c r="J50" s="6">
        <v>46050</v>
      </c>
      <c r="K50" s="10" t="s">
        <v>20</v>
      </c>
      <c r="L50" s="14" t="str">
        <f t="shared" si="0"/>
        <v>Aja1293</v>
      </c>
      <c r="M50" s="15" t="str">
        <f t="shared" si="1"/>
        <v>Table</v>
      </c>
      <c r="N50" s="16" t="str">
        <f t="shared" si="2"/>
        <v>able</v>
      </c>
    </row>
    <row r="51" spans="1:14" ht="15" thickBot="1" x14ac:dyDescent="0.4">
      <c r="A51" s="5">
        <v>1086</v>
      </c>
      <c r="B51" s="5" t="s">
        <v>32</v>
      </c>
      <c r="C51" s="5" t="s">
        <v>12</v>
      </c>
      <c r="D51" s="5" t="s">
        <v>13</v>
      </c>
      <c r="E51" s="5" t="s">
        <v>53</v>
      </c>
      <c r="F51" s="5">
        <v>15</v>
      </c>
      <c r="G51" s="5">
        <v>40</v>
      </c>
      <c r="H51" s="5">
        <v>10</v>
      </c>
      <c r="I51" s="6">
        <v>46045</v>
      </c>
      <c r="J51" s="6">
        <v>46049</v>
      </c>
      <c r="K51" s="10" t="s">
        <v>24</v>
      </c>
      <c r="L51" s="14" t="str">
        <f t="shared" si="0"/>
        <v>Ash1086</v>
      </c>
      <c r="M51" s="15" t="str">
        <f t="shared" si="1"/>
        <v>Diary</v>
      </c>
      <c r="N51" s="16" t="str">
        <f t="shared" si="2"/>
        <v>iary</v>
      </c>
    </row>
    <row r="52" spans="1:14" ht="15" thickBot="1" x14ac:dyDescent="0.4">
      <c r="A52" s="5">
        <v>1029</v>
      </c>
      <c r="B52" s="5" t="s">
        <v>30</v>
      </c>
      <c r="C52" s="5" t="s">
        <v>25</v>
      </c>
      <c r="D52" s="5" t="s">
        <v>13</v>
      </c>
      <c r="E52" s="5" t="s">
        <v>36</v>
      </c>
      <c r="F52" s="5">
        <v>18</v>
      </c>
      <c r="G52" s="5">
        <v>443</v>
      </c>
      <c r="H52" s="5">
        <v>5</v>
      </c>
      <c r="I52" s="6">
        <v>46046</v>
      </c>
      <c r="J52" s="6">
        <v>46054</v>
      </c>
      <c r="K52" s="10" t="s">
        <v>24</v>
      </c>
      <c r="L52" s="14" t="str">
        <f t="shared" si="0"/>
        <v>Neh1029</v>
      </c>
      <c r="M52" s="15" t="str">
        <f t="shared" si="1"/>
        <v>Staer</v>
      </c>
      <c r="N52" s="16" t="str">
        <f t="shared" si="2"/>
        <v>tapl</v>
      </c>
    </row>
    <row r="53" spans="1:14" ht="15" thickBot="1" x14ac:dyDescent="0.4">
      <c r="A53" s="5">
        <v>1366</v>
      </c>
      <c r="B53" s="5" t="s">
        <v>26</v>
      </c>
      <c r="C53" s="5" t="s">
        <v>17</v>
      </c>
      <c r="D53" s="5" t="s">
        <v>34</v>
      </c>
      <c r="E53" s="5" t="s">
        <v>61</v>
      </c>
      <c r="F53" s="5">
        <v>20</v>
      </c>
      <c r="G53" s="5">
        <v>44312</v>
      </c>
      <c r="H53" s="5">
        <v>10</v>
      </c>
      <c r="I53" s="6">
        <v>46047</v>
      </c>
      <c r="J53" s="6">
        <v>46054</v>
      </c>
      <c r="K53" s="10" t="s">
        <v>29</v>
      </c>
      <c r="L53" s="14" t="str">
        <f t="shared" si="0"/>
        <v>Vik1366</v>
      </c>
      <c r="M53" s="15" t="str">
        <f t="shared" si="1"/>
        <v>Mouse</v>
      </c>
      <c r="N53" s="16" t="str">
        <f t="shared" si="2"/>
        <v>ouse</v>
      </c>
    </row>
    <row r="54" spans="1:14" ht="15" thickBot="1" x14ac:dyDescent="0.4">
      <c r="A54" s="5">
        <v>1393</v>
      </c>
      <c r="B54" s="5" t="s">
        <v>30</v>
      </c>
      <c r="C54" s="5" t="s">
        <v>25</v>
      </c>
      <c r="D54" s="5" t="s">
        <v>34</v>
      </c>
      <c r="E54" s="5" t="s">
        <v>45</v>
      </c>
      <c r="F54" s="5">
        <v>17</v>
      </c>
      <c r="G54" s="5">
        <v>30351</v>
      </c>
      <c r="H54" s="5">
        <v>15</v>
      </c>
      <c r="I54" s="6">
        <v>46047</v>
      </c>
      <c r="J54" s="6">
        <v>46051</v>
      </c>
      <c r="K54" s="10" t="s">
        <v>51</v>
      </c>
      <c r="L54" s="14" t="str">
        <f t="shared" si="0"/>
        <v>Neh1393</v>
      </c>
      <c r="M54" s="15" t="str">
        <f t="shared" si="1"/>
        <v>Monor</v>
      </c>
      <c r="N54" s="16" t="str">
        <f t="shared" si="2"/>
        <v>onit</v>
      </c>
    </row>
    <row r="55" spans="1:14" ht="15" thickBot="1" x14ac:dyDescent="0.4">
      <c r="A55" s="5">
        <v>1084</v>
      </c>
      <c r="B55" s="5" t="s">
        <v>49</v>
      </c>
      <c r="C55" s="5" t="s">
        <v>31</v>
      </c>
      <c r="D55" s="5" t="s">
        <v>18</v>
      </c>
      <c r="E55" s="5" t="s">
        <v>28</v>
      </c>
      <c r="F55" s="5">
        <v>4</v>
      </c>
      <c r="G55" s="5">
        <v>6901</v>
      </c>
      <c r="H55" s="5">
        <v>10</v>
      </c>
      <c r="I55" s="6">
        <v>46047</v>
      </c>
      <c r="J55" s="6">
        <v>46057</v>
      </c>
      <c r="K55" s="10" t="s">
        <v>20</v>
      </c>
      <c r="L55" s="14" t="str">
        <f t="shared" si="0"/>
        <v>Aja1084</v>
      </c>
      <c r="M55" s="15" t="str">
        <f t="shared" si="1"/>
        <v>Chair</v>
      </c>
      <c r="N55" s="16" t="str">
        <f t="shared" si="2"/>
        <v>hair</v>
      </c>
    </row>
    <row r="56" spans="1:14" ht="15" thickBot="1" x14ac:dyDescent="0.4">
      <c r="A56" s="5">
        <v>1385</v>
      </c>
      <c r="B56" s="5" t="s">
        <v>26</v>
      </c>
      <c r="C56" s="5" t="s">
        <v>33</v>
      </c>
      <c r="D56" s="5" t="s">
        <v>34</v>
      </c>
      <c r="E56" s="5" t="s">
        <v>39</v>
      </c>
      <c r="F56" s="5">
        <v>12</v>
      </c>
      <c r="G56" s="5">
        <v>61360</v>
      </c>
      <c r="H56" s="5">
        <v>10</v>
      </c>
      <c r="I56" s="6">
        <v>46048</v>
      </c>
      <c r="J56" s="6">
        <v>46053</v>
      </c>
      <c r="K56" s="10" t="s">
        <v>51</v>
      </c>
      <c r="L56" s="14" t="str">
        <f t="shared" si="0"/>
        <v>Vik1385</v>
      </c>
      <c r="M56" s="15" t="str">
        <f t="shared" si="1"/>
        <v>Keyrd</v>
      </c>
      <c r="N56" s="16" t="str">
        <f t="shared" si="2"/>
        <v>eybo</v>
      </c>
    </row>
    <row r="57" spans="1:14" ht="15" thickBot="1" x14ac:dyDescent="0.4">
      <c r="A57" s="5">
        <v>1176</v>
      </c>
      <c r="B57" s="5" t="s">
        <v>58</v>
      </c>
      <c r="C57" s="5" t="s">
        <v>38</v>
      </c>
      <c r="D57" s="5" t="s">
        <v>34</v>
      </c>
      <c r="E57" s="5" t="s">
        <v>41</v>
      </c>
      <c r="F57" s="5">
        <v>17</v>
      </c>
      <c r="G57" s="5">
        <v>46937</v>
      </c>
      <c r="H57" s="5">
        <v>12</v>
      </c>
      <c r="I57" s="6">
        <v>46048</v>
      </c>
      <c r="J57" s="6">
        <v>46056</v>
      </c>
      <c r="K57" s="10" t="s">
        <v>29</v>
      </c>
      <c r="L57" s="14" t="str">
        <f t="shared" si="0"/>
        <v>Roh1176</v>
      </c>
      <c r="M57" s="15" t="str">
        <f t="shared" si="1"/>
        <v>Heaet</v>
      </c>
      <c r="N57" s="16" t="str">
        <f t="shared" si="2"/>
        <v>eads</v>
      </c>
    </row>
    <row r="58" spans="1:14" ht="15" thickBot="1" x14ac:dyDescent="0.4">
      <c r="A58" s="5">
        <v>1307</v>
      </c>
      <c r="B58" s="5" t="s">
        <v>57</v>
      </c>
      <c r="C58" s="5" t="s">
        <v>43</v>
      </c>
      <c r="D58" s="5" t="s">
        <v>34</v>
      </c>
      <c r="E58" s="5" t="s">
        <v>35</v>
      </c>
      <c r="F58" s="5">
        <v>18</v>
      </c>
      <c r="G58" s="5">
        <v>7541</v>
      </c>
      <c r="H58" s="5">
        <v>12</v>
      </c>
      <c r="I58" s="6">
        <v>46048</v>
      </c>
      <c r="J58" s="6">
        <v>46051</v>
      </c>
      <c r="K58" s="10" t="s">
        <v>51</v>
      </c>
      <c r="L58" s="14" t="str">
        <f t="shared" si="0"/>
        <v>Sar1307</v>
      </c>
      <c r="M58" s="15" t="str">
        <f t="shared" si="1"/>
        <v>Prier</v>
      </c>
      <c r="N58" s="16" t="str">
        <f t="shared" si="2"/>
        <v>rint</v>
      </c>
    </row>
    <row r="59" spans="1:14" ht="15" thickBot="1" x14ac:dyDescent="0.4">
      <c r="A59" s="5">
        <v>1348</v>
      </c>
      <c r="B59" s="5" t="s">
        <v>11</v>
      </c>
      <c r="C59" s="5" t="s">
        <v>33</v>
      </c>
      <c r="D59" s="5" t="s">
        <v>13</v>
      </c>
      <c r="E59" s="5" t="s">
        <v>50</v>
      </c>
      <c r="F59" s="5">
        <v>12</v>
      </c>
      <c r="G59" s="5">
        <v>244</v>
      </c>
      <c r="H59" s="5">
        <v>7</v>
      </c>
      <c r="I59" s="6">
        <v>46048</v>
      </c>
      <c r="J59" s="6">
        <v>46053</v>
      </c>
      <c r="K59" s="10" t="s">
        <v>15</v>
      </c>
      <c r="L59" s="14" t="str">
        <f t="shared" si="0"/>
        <v>Rit1348</v>
      </c>
      <c r="M59" s="15" t="str">
        <f t="shared" si="1"/>
        <v>Marer</v>
      </c>
      <c r="N59" s="16" t="str">
        <f t="shared" si="2"/>
        <v>arke</v>
      </c>
    </row>
    <row r="60" spans="1:14" ht="15" thickBot="1" x14ac:dyDescent="0.4">
      <c r="A60" s="5">
        <v>1092</v>
      </c>
      <c r="B60" s="5" t="s">
        <v>21</v>
      </c>
      <c r="C60" s="5" t="s">
        <v>22</v>
      </c>
      <c r="D60" s="5" t="s">
        <v>34</v>
      </c>
      <c r="E60" s="5" t="s">
        <v>41</v>
      </c>
      <c r="F60" s="5">
        <v>9</v>
      </c>
      <c r="G60" s="5">
        <v>23438</v>
      </c>
      <c r="H60" s="5">
        <v>2</v>
      </c>
      <c r="I60" s="6">
        <v>46049</v>
      </c>
      <c r="J60" s="6">
        <v>46055</v>
      </c>
      <c r="K60" s="10" t="s">
        <v>29</v>
      </c>
      <c r="L60" s="14" t="str">
        <f t="shared" si="0"/>
        <v>Mee1092</v>
      </c>
      <c r="M60" s="15" t="str">
        <f t="shared" si="1"/>
        <v>Heaet</v>
      </c>
      <c r="N60" s="16" t="str">
        <f t="shared" si="2"/>
        <v>eads</v>
      </c>
    </row>
    <row r="61" spans="1:14" ht="15" thickBot="1" x14ac:dyDescent="0.4">
      <c r="A61" s="5">
        <v>1116</v>
      </c>
      <c r="B61" s="5" t="s">
        <v>16</v>
      </c>
      <c r="C61" s="5" t="s">
        <v>25</v>
      </c>
      <c r="D61" s="5" t="s">
        <v>18</v>
      </c>
      <c r="E61" s="5" t="s">
        <v>56</v>
      </c>
      <c r="F61" s="5">
        <v>2</v>
      </c>
      <c r="G61" s="5">
        <v>12692</v>
      </c>
      <c r="H61" s="5">
        <v>15</v>
      </c>
      <c r="I61" s="6">
        <v>46049</v>
      </c>
      <c r="J61" s="6">
        <v>46051</v>
      </c>
      <c r="K61" s="10" t="s">
        <v>15</v>
      </c>
      <c r="L61" s="14" t="str">
        <f t="shared" si="0"/>
        <v>Poo1116</v>
      </c>
      <c r="M61" s="15" t="str">
        <f t="shared" si="1"/>
        <v>Cabet</v>
      </c>
      <c r="N61" s="16" t="str">
        <f t="shared" si="2"/>
        <v>abin</v>
      </c>
    </row>
    <row r="62" spans="1:14" ht="15" thickBot="1" x14ac:dyDescent="0.4">
      <c r="A62" s="5">
        <v>1230</v>
      </c>
      <c r="B62" s="5" t="s">
        <v>59</v>
      </c>
      <c r="C62" s="5" t="s">
        <v>33</v>
      </c>
      <c r="D62" s="5" t="s">
        <v>34</v>
      </c>
      <c r="E62" s="5" t="s">
        <v>60</v>
      </c>
      <c r="F62" s="5">
        <v>7</v>
      </c>
      <c r="G62" s="5">
        <v>2932</v>
      </c>
      <c r="H62" s="5">
        <v>7</v>
      </c>
      <c r="I62" s="6">
        <v>46050</v>
      </c>
      <c r="J62" s="6">
        <v>46059</v>
      </c>
      <c r="K62" s="10" t="s">
        <v>24</v>
      </c>
      <c r="L62" s="14" t="str">
        <f t="shared" si="0"/>
        <v>Ani1230</v>
      </c>
      <c r="M62" s="15" t="str">
        <f t="shared" si="1"/>
        <v>Lapop</v>
      </c>
      <c r="N62" s="16" t="str">
        <f t="shared" si="2"/>
        <v>apto</v>
      </c>
    </row>
    <row r="63" spans="1:14" ht="15" thickBot="1" x14ac:dyDescent="0.4">
      <c r="A63" s="5">
        <v>1173</v>
      </c>
      <c r="B63" s="5" t="s">
        <v>40</v>
      </c>
      <c r="C63" s="5" t="s">
        <v>17</v>
      </c>
      <c r="D63" s="5" t="s">
        <v>13</v>
      </c>
      <c r="E63" s="5" t="s">
        <v>37</v>
      </c>
      <c r="F63" s="5">
        <v>15</v>
      </c>
      <c r="G63" s="5">
        <v>214</v>
      </c>
      <c r="H63" s="5">
        <v>10</v>
      </c>
      <c r="I63" s="6">
        <v>46050</v>
      </c>
      <c r="J63" s="6">
        <v>46060</v>
      </c>
      <c r="K63" s="10" t="s">
        <v>51</v>
      </c>
      <c r="L63" s="14" t="str">
        <f t="shared" si="0"/>
        <v>Dee1173</v>
      </c>
      <c r="M63" s="15" t="str">
        <f t="shared" si="1"/>
        <v>Penck</v>
      </c>
      <c r="N63" s="16" t="str">
        <f t="shared" si="2"/>
        <v>en P</v>
      </c>
    </row>
    <row r="64" spans="1:14" ht="15" thickBot="1" x14ac:dyDescent="0.4">
      <c r="A64" s="5">
        <v>1250</v>
      </c>
      <c r="B64" s="5" t="s">
        <v>11</v>
      </c>
      <c r="C64" s="5" t="s">
        <v>17</v>
      </c>
      <c r="D64" s="5" t="s">
        <v>34</v>
      </c>
      <c r="E64" s="5" t="s">
        <v>45</v>
      </c>
      <c r="F64" s="5">
        <v>2</v>
      </c>
      <c r="G64" s="5">
        <v>65953</v>
      </c>
      <c r="H64" s="5">
        <v>7</v>
      </c>
      <c r="I64" s="6">
        <v>46051</v>
      </c>
      <c r="J64" s="6">
        <v>46053</v>
      </c>
      <c r="K64" s="10" t="s">
        <v>29</v>
      </c>
      <c r="L64" s="14" t="str">
        <f t="shared" si="0"/>
        <v>Rit1250</v>
      </c>
      <c r="M64" s="15" t="str">
        <f t="shared" si="1"/>
        <v>Monor</v>
      </c>
      <c r="N64" s="16" t="str">
        <f t="shared" si="2"/>
        <v>onit</v>
      </c>
    </row>
    <row r="65" spans="1:14" ht="15" thickBot="1" x14ac:dyDescent="0.4">
      <c r="A65" s="5">
        <v>1375</v>
      </c>
      <c r="B65" s="5" t="s">
        <v>46</v>
      </c>
      <c r="C65" s="5" t="s">
        <v>43</v>
      </c>
      <c r="D65" s="5" t="s">
        <v>34</v>
      </c>
      <c r="E65" s="5" t="s">
        <v>45</v>
      </c>
      <c r="F65" s="5">
        <v>20</v>
      </c>
      <c r="G65" s="5">
        <v>56766</v>
      </c>
      <c r="H65" s="5">
        <v>0</v>
      </c>
      <c r="I65" s="6">
        <v>46052</v>
      </c>
      <c r="J65" s="6">
        <v>46061</v>
      </c>
      <c r="K65" s="10" t="s">
        <v>24</v>
      </c>
      <c r="L65" s="14" t="str">
        <f t="shared" si="0"/>
        <v>Kir1375</v>
      </c>
      <c r="M65" s="15" t="str">
        <f t="shared" si="1"/>
        <v>Monor</v>
      </c>
      <c r="N65" s="16" t="str">
        <f t="shared" si="2"/>
        <v>onit</v>
      </c>
    </row>
    <row r="66" spans="1:14" ht="15" thickBot="1" x14ac:dyDescent="0.4">
      <c r="A66" s="5">
        <v>1190</v>
      </c>
      <c r="B66" s="5" t="s">
        <v>57</v>
      </c>
      <c r="C66" s="5" t="s">
        <v>17</v>
      </c>
      <c r="D66" s="5" t="s">
        <v>18</v>
      </c>
      <c r="E66" s="5" t="s">
        <v>28</v>
      </c>
      <c r="F66" s="5">
        <v>4</v>
      </c>
      <c r="G66" s="5">
        <v>10154</v>
      </c>
      <c r="H66" s="5">
        <v>7</v>
      </c>
      <c r="I66" s="6">
        <v>46052</v>
      </c>
      <c r="J66" s="6">
        <v>46062</v>
      </c>
      <c r="K66" s="10" t="s">
        <v>20</v>
      </c>
      <c r="L66" s="14" t="str">
        <f t="shared" si="0"/>
        <v>Sar1190</v>
      </c>
      <c r="M66" s="15" t="str">
        <f t="shared" si="1"/>
        <v>Chair</v>
      </c>
      <c r="N66" s="16" t="str">
        <f t="shared" si="2"/>
        <v>hair</v>
      </c>
    </row>
    <row r="67" spans="1:14" ht="15" thickBot="1" x14ac:dyDescent="0.4">
      <c r="A67" s="5">
        <v>1034</v>
      </c>
      <c r="B67" s="5" t="s">
        <v>55</v>
      </c>
      <c r="C67" s="5" t="s">
        <v>33</v>
      </c>
      <c r="D67" s="5" t="s">
        <v>18</v>
      </c>
      <c r="E67" s="5" t="s">
        <v>28</v>
      </c>
      <c r="F67" s="5">
        <v>17</v>
      </c>
      <c r="G67" s="5">
        <v>5104</v>
      </c>
      <c r="H67" s="5">
        <v>12</v>
      </c>
      <c r="I67" s="6">
        <v>46052</v>
      </c>
      <c r="J67" s="6">
        <v>46061</v>
      </c>
      <c r="K67" s="10" t="s">
        <v>51</v>
      </c>
      <c r="L67" s="14" t="str">
        <f t="shared" ref="L67:L130" si="3">LEFT(B67,3)&amp;A67</f>
        <v>Sne1034</v>
      </c>
      <c r="M67" s="15" t="str">
        <f t="shared" ref="M67:M130" si="4">LEFT(E67,3)&amp;RIGHT(E67,2)</f>
        <v>Chair</v>
      </c>
      <c r="N67" s="16" t="str">
        <f t="shared" ref="N67:N130" si="5">MID(E67,2,4)</f>
        <v>hair</v>
      </c>
    </row>
    <row r="68" spans="1:14" ht="15" thickBot="1" x14ac:dyDescent="0.4">
      <c r="A68" s="5">
        <v>1210</v>
      </c>
      <c r="B68" s="5" t="s">
        <v>30</v>
      </c>
      <c r="C68" s="5" t="s">
        <v>31</v>
      </c>
      <c r="D68" s="5" t="s">
        <v>13</v>
      </c>
      <c r="E68" s="5" t="s">
        <v>53</v>
      </c>
      <c r="F68" s="5">
        <v>10</v>
      </c>
      <c r="G68" s="5">
        <v>349</v>
      </c>
      <c r="H68" s="5">
        <v>0</v>
      </c>
      <c r="I68" s="6">
        <v>46052</v>
      </c>
      <c r="J68" s="6">
        <v>46060</v>
      </c>
      <c r="K68" s="10" t="s">
        <v>29</v>
      </c>
      <c r="L68" s="14" t="str">
        <f t="shared" si="3"/>
        <v>Neh1210</v>
      </c>
      <c r="M68" s="15" t="str">
        <f t="shared" si="4"/>
        <v>Diary</v>
      </c>
      <c r="N68" s="16" t="str">
        <f t="shared" si="5"/>
        <v>iary</v>
      </c>
    </row>
    <row r="69" spans="1:14" ht="15" thickBot="1" x14ac:dyDescent="0.4">
      <c r="A69" s="5">
        <v>1149</v>
      </c>
      <c r="B69" s="5" t="s">
        <v>26</v>
      </c>
      <c r="C69" s="5" t="s">
        <v>38</v>
      </c>
      <c r="D69" s="5" t="s">
        <v>34</v>
      </c>
      <c r="E69" s="5" t="s">
        <v>35</v>
      </c>
      <c r="F69" s="5">
        <v>10</v>
      </c>
      <c r="G69" s="5">
        <v>22853</v>
      </c>
      <c r="H69" s="5">
        <v>7</v>
      </c>
      <c r="I69" s="6">
        <v>46053</v>
      </c>
      <c r="J69" s="6">
        <v>46054</v>
      </c>
      <c r="K69" s="10" t="s">
        <v>29</v>
      </c>
      <c r="L69" s="14" t="str">
        <f t="shared" si="3"/>
        <v>Vik1149</v>
      </c>
      <c r="M69" s="15" t="str">
        <f t="shared" si="4"/>
        <v>Prier</v>
      </c>
      <c r="N69" s="16" t="str">
        <f t="shared" si="5"/>
        <v>rint</v>
      </c>
    </row>
    <row r="70" spans="1:14" ht="15" thickBot="1" x14ac:dyDescent="0.4">
      <c r="A70" s="5">
        <v>1324</v>
      </c>
      <c r="B70" s="5" t="s">
        <v>32</v>
      </c>
      <c r="C70" s="5" t="s">
        <v>22</v>
      </c>
      <c r="D70" s="5" t="s">
        <v>18</v>
      </c>
      <c r="E70" s="5" t="s">
        <v>19</v>
      </c>
      <c r="F70" s="5">
        <v>1</v>
      </c>
      <c r="G70" s="5">
        <v>4286</v>
      </c>
      <c r="H70" s="5">
        <v>15</v>
      </c>
      <c r="I70" s="6">
        <v>46053</v>
      </c>
      <c r="J70" s="6">
        <v>46056</v>
      </c>
      <c r="K70" s="10" t="s">
        <v>20</v>
      </c>
      <c r="L70" s="14" t="str">
        <f t="shared" si="3"/>
        <v>Ash1324</v>
      </c>
      <c r="M70" s="15" t="str">
        <f t="shared" si="4"/>
        <v>Dessk</v>
      </c>
      <c r="N70" s="16" t="str">
        <f t="shared" si="5"/>
        <v>esk</v>
      </c>
    </row>
    <row r="71" spans="1:14" ht="15" thickBot="1" x14ac:dyDescent="0.4">
      <c r="A71" s="5">
        <v>1096</v>
      </c>
      <c r="B71" s="5" t="s">
        <v>49</v>
      </c>
      <c r="C71" s="5" t="s">
        <v>17</v>
      </c>
      <c r="D71" s="5" t="s">
        <v>18</v>
      </c>
      <c r="E71" s="5" t="s">
        <v>23</v>
      </c>
      <c r="F71" s="5">
        <v>15</v>
      </c>
      <c r="G71" s="5">
        <v>14724</v>
      </c>
      <c r="H71" s="5">
        <v>15</v>
      </c>
      <c r="I71" s="6">
        <v>46054</v>
      </c>
      <c r="J71" s="6">
        <v>46061</v>
      </c>
      <c r="K71" s="10" t="s">
        <v>20</v>
      </c>
      <c r="L71" s="14" t="str">
        <f t="shared" si="3"/>
        <v>Aja1096</v>
      </c>
      <c r="M71" s="15" t="str">
        <f t="shared" si="4"/>
        <v>Table</v>
      </c>
      <c r="N71" s="16" t="str">
        <f t="shared" si="5"/>
        <v>able</v>
      </c>
    </row>
    <row r="72" spans="1:14" ht="15" thickBot="1" x14ac:dyDescent="0.4">
      <c r="A72" s="5">
        <v>1006</v>
      </c>
      <c r="B72" s="5" t="s">
        <v>27</v>
      </c>
      <c r="C72" s="5" t="s">
        <v>25</v>
      </c>
      <c r="D72" s="5" t="s">
        <v>18</v>
      </c>
      <c r="E72" s="5" t="s">
        <v>28</v>
      </c>
      <c r="F72" s="5">
        <v>3</v>
      </c>
      <c r="G72" s="5">
        <v>2714</v>
      </c>
      <c r="H72" s="5">
        <v>5</v>
      </c>
      <c r="I72" s="6">
        <v>46055</v>
      </c>
      <c r="J72" s="6">
        <v>46062</v>
      </c>
      <c r="K72" s="10" t="s">
        <v>29</v>
      </c>
      <c r="L72" s="14" t="str">
        <f t="shared" si="3"/>
        <v>Arj1006</v>
      </c>
      <c r="M72" s="15" t="str">
        <f t="shared" si="4"/>
        <v>Chair</v>
      </c>
      <c r="N72" s="16" t="str">
        <f t="shared" si="5"/>
        <v>hair</v>
      </c>
    </row>
    <row r="73" spans="1:14" ht="15" thickBot="1" x14ac:dyDescent="0.4">
      <c r="A73" s="5">
        <v>1285</v>
      </c>
      <c r="B73" s="5" t="s">
        <v>32</v>
      </c>
      <c r="C73" s="5" t="s">
        <v>38</v>
      </c>
      <c r="D73" s="5" t="s">
        <v>13</v>
      </c>
      <c r="E73" s="5" t="s">
        <v>36</v>
      </c>
      <c r="F73" s="5">
        <v>7</v>
      </c>
      <c r="G73" s="5">
        <v>439</v>
      </c>
      <c r="H73" s="5">
        <v>15</v>
      </c>
      <c r="I73" s="6">
        <v>46055</v>
      </c>
      <c r="J73" s="6">
        <v>46058</v>
      </c>
      <c r="K73" s="10" t="s">
        <v>20</v>
      </c>
      <c r="L73" s="14" t="str">
        <f t="shared" si="3"/>
        <v>Ash1285</v>
      </c>
      <c r="M73" s="15" t="str">
        <f t="shared" si="4"/>
        <v>Staer</v>
      </c>
      <c r="N73" s="16" t="str">
        <f t="shared" si="5"/>
        <v>tapl</v>
      </c>
    </row>
    <row r="74" spans="1:14" ht="15" thickBot="1" x14ac:dyDescent="0.4">
      <c r="A74" s="5">
        <v>1281</v>
      </c>
      <c r="B74" s="5" t="s">
        <v>55</v>
      </c>
      <c r="C74" s="5" t="s">
        <v>17</v>
      </c>
      <c r="D74" s="5" t="s">
        <v>13</v>
      </c>
      <c r="E74" s="5" t="s">
        <v>50</v>
      </c>
      <c r="F74" s="5">
        <v>6</v>
      </c>
      <c r="G74" s="5">
        <v>253</v>
      </c>
      <c r="H74" s="5">
        <v>0</v>
      </c>
      <c r="I74" s="6">
        <v>46055</v>
      </c>
      <c r="J74" s="6">
        <v>46063</v>
      </c>
      <c r="K74" s="10" t="s">
        <v>24</v>
      </c>
      <c r="L74" s="14" t="str">
        <f t="shared" si="3"/>
        <v>Sne1281</v>
      </c>
      <c r="M74" s="15" t="str">
        <f t="shared" si="4"/>
        <v>Marer</v>
      </c>
      <c r="N74" s="16" t="str">
        <f t="shared" si="5"/>
        <v>arke</v>
      </c>
    </row>
    <row r="75" spans="1:14" ht="15" thickBot="1" x14ac:dyDescent="0.4">
      <c r="A75" s="5">
        <v>1136</v>
      </c>
      <c r="B75" s="5" t="s">
        <v>27</v>
      </c>
      <c r="C75" s="5" t="s">
        <v>43</v>
      </c>
      <c r="D75" s="5" t="s">
        <v>18</v>
      </c>
      <c r="E75" s="5" t="s">
        <v>56</v>
      </c>
      <c r="F75" s="5">
        <v>19</v>
      </c>
      <c r="G75" s="5">
        <v>14528</v>
      </c>
      <c r="H75" s="5">
        <v>12</v>
      </c>
      <c r="I75" s="6">
        <v>46056</v>
      </c>
      <c r="J75" s="6">
        <v>46062</v>
      </c>
      <c r="K75" s="10" t="s">
        <v>24</v>
      </c>
      <c r="L75" s="14" t="str">
        <f t="shared" si="3"/>
        <v>Arj1136</v>
      </c>
      <c r="M75" s="15" t="str">
        <f t="shared" si="4"/>
        <v>Cabet</v>
      </c>
      <c r="N75" s="16" t="str">
        <f t="shared" si="5"/>
        <v>abin</v>
      </c>
    </row>
    <row r="76" spans="1:14" ht="15" thickBot="1" x14ac:dyDescent="0.4">
      <c r="A76" s="5">
        <v>1394</v>
      </c>
      <c r="B76" s="5" t="s">
        <v>54</v>
      </c>
      <c r="C76" s="5" t="s">
        <v>12</v>
      </c>
      <c r="D76" s="5" t="s">
        <v>13</v>
      </c>
      <c r="E76" s="5" t="s">
        <v>14</v>
      </c>
      <c r="F76" s="5">
        <v>10</v>
      </c>
      <c r="G76" s="5">
        <v>138</v>
      </c>
      <c r="H76" s="5">
        <v>2</v>
      </c>
      <c r="I76" s="6">
        <v>46056</v>
      </c>
      <c r="J76" s="6">
        <v>46057</v>
      </c>
      <c r="K76" s="10" t="s">
        <v>15</v>
      </c>
      <c r="L76" s="14" t="str">
        <f t="shared" si="3"/>
        <v>Man1394</v>
      </c>
      <c r="M76" s="15" t="str">
        <f t="shared" si="4"/>
        <v>Notok</v>
      </c>
      <c r="N76" s="16" t="str">
        <f t="shared" si="5"/>
        <v>oteb</v>
      </c>
    </row>
    <row r="77" spans="1:14" ht="15" thickBot="1" x14ac:dyDescent="0.4">
      <c r="A77" s="5">
        <v>1105</v>
      </c>
      <c r="B77" s="5" t="s">
        <v>59</v>
      </c>
      <c r="C77" s="5" t="s">
        <v>25</v>
      </c>
      <c r="D77" s="5" t="s">
        <v>13</v>
      </c>
      <c r="E77" s="5" t="s">
        <v>50</v>
      </c>
      <c r="F77" s="5">
        <v>2</v>
      </c>
      <c r="G77" s="5">
        <v>493</v>
      </c>
      <c r="H77" s="5">
        <v>12</v>
      </c>
      <c r="I77" s="6">
        <v>46057</v>
      </c>
      <c r="J77" s="6">
        <v>46066</v>
      </c>
      <c r="K77" s="10" t="s">
        <v>51</v>
      </c>
      <c r="L77" s="14" t="str">
        <f t="shared" si="3"/>
        <v>Ani1105</v>
      </c>
      <c r="M77" s="15" t="str">
        <f t="shared" si="4"/>
        <v>Marer</v>
      </c>
      <c r="N77" s="16" t="str">
        <f t="shared" si="5"/>
        <v>arke</v>
      </c>
    </row>
    <row r="78" spans="1:14" ht="15" thickBot="1" x14ac:dyDescent="0.4">
      <c r="A78" s="5">
        <v>1256</v>
      </c>
      <c r="B78" s="5" t="s">
        <v>48</v>
      </c>
      <c r="C78" s="5" t="s">
        <v>31</v>
      </c>
      <c r="D78" s="5" t="s">
        <v>13</v>
      </c>
      <c r="E78" s="5" t="s">
        <v>50</v>
      </c>
      <c r="F78" s="5">
        <v>19</v>
      </c>
      <c r="G78" s="5">
        <v>406</v>
      </c>
      <c r="H78" s="5">
        <v>7</v>
      </c>
      <c r="I78" s="6">
        <v>46057</v>
      </c>
      <c r="J78" s="6">
        <v>46061</v>
      </c>
      <c r="K78" s="10" t="s">
        <v>15</v>
      </c>
      <c r="L78" s="14" t="str">
        <f t="shared" si="3"/>
        <v>Nit1256</v>
      </c>
      <c r="M78" s="15" t="str">
        <f t="shared" si="4"/>
        <v>Marer</v>
      </c>
      <c r="N78" s="16" t="str">
        <f t="shared" si="5"/>
        <v>arke</v>
      </c>
    </row>
    <row r="79" spans="1:14" ht="15" thickBot="1" x14ac:dyDescent="0.4">
      <c r="A79" s="5">
        <v>1081</v>
      </c>
      <c r="B79" s="5" t="s">
        <v>47</v>
      </c>
      <c r="C79" s="5" t="s">
        <v>12</v>
      </c>
      <c r="D79" s="5" t="s">
        <v>34</v>
      </c>
      <c r="E79" s="5" t="s">
        <v>35</v>
      </c>
      <c r="F79" s="5">
        <v>15</v>
      </c>
      <c r="G79" s="5">
        <v>59912</v>
      </c>
      <c r="H79" s="5">
        <v>7</v>
      </c>
      <c r="I79" s="6">
        <v>46058</v>
      </c>
      <c r="J79" s="6">
        <v>46060</v>
      </c>
      <c r="K79" s="10" t="s">
        <v>51</v>
      </c>
      <c r="L79" s="14" t="str">
        <f t="shared" si="3"/>
        <v>Yas1081</v>
      </c>
      <c r="M79" s="15" t="str">
        <f t="shared" si="4"/>
        <v>Prier</v>
      </c>
      <c r="N79" s="16" t="str">
        <f t="shared" si="5"/>
        <v>rint</v>
      </c>
    </row>
    <row r="80" spans="1:14" ht="15" thickBot="1" x14ac:dyDescent="0.4">
      <c r="A80" s="5">
        <v>1067</v>
      </c>
      <c r="B80" s="5" t="s">
        <v>32</v>
      </c>
      <c r="C80" s="5" t="s">
        <v>43</v>
      </c>
      <c r="D80" s="5" t="s">
        <v>18</v>
      </c>
      <c r="E80" s="5" t="s">
        <v>56</v>
      </c>
      <c r="F80" s="5">
        <v>14</v>
      </c>
      <c r="G80" s="5">
        <v>10869</v>
      </c>
      <c r="H80" s="5">
        <v>0</v>
      </c>
      <c r="I80" s="6">
        <v>46058</v>
      </c>
      <c r="J80" s="6">
        <v>46062</v>
      </c>
      <c r="K80" s="10" t="s">
        <v>29</v>
      </c>
      <c r="L80" s="14" t="str">
        <f t="shared" si="3"/>
        <v>Ash1067</v>
      </c>
      <c r="M80" s="15" t="str">
        <f t="shared" si="4"/>
        <v>Cabet</v>
      </c>
      <c r="N80" s="16" t="str">
        <f t="shared" si="5"/>
        <v>abin</v>
      </c>
    </row>
    <row r="81" spans="1:14" ht="15" thickBot="1" x14ac:dyDescent="0.4">
      <c r="A81" s="5">
        <v>1099</v>
      </c>
      <c r="B81" s="5" t="s">
        <v>26</v>
      </c>
      <c r="C81" s="5" t="s">
        <v>31</v>
      </c>
      <c r="D81" s="5" t="s">
        <v>18</v>
      </c>
      <c r="E81" s="5" t="s">
        <v>19</v>
      </c>
      <c r="F81" s="5">
        <v>1</v>
      </c>
      <c r="G81" s="5">
        <v>5165</v>
      </c>
      <c r="H81" s="5">
        <v>2</v>
      </c>
      <c r="I81" s="6">
        <v>46058</v>
      </c>
      <c r="J81" s="6">
        <v>46060</v>
      </c>
      <c r="K81" s="10" t="s">
        <v>15</v>
      </c>
      <c r="L81" s="14" t="str">
        <f t="shared" si="3"/>
        <v>Vik1099</v>
      </c>
      <c r="M81" s="15" t="str">
        <f t="shared" si="4"/>
        <v>Dessk</v>
      </c>
      <c r="N81" s="16" t="str">
        <f t="shared" si="5"/>
        <v>esk</v>
      </c>
    </row>
    <row r="82" spans="1:14" ht="15" thickBot="1" x14ac:dyDescent="0.4">
      <c r="A82" s="5">
        <v>1061</v>
      </c>
      <c r="B82" s="5" t="s">
        <v>57</v>
      </c>
      <c r="C82" s="5" t="s">
        <v>12</v>
      </c>
      <c r="D82" s="5" t="s">
        <v>34</v>
      </c>
      <c r="E82" s="5" t="s">
        <v>41</v>
      </c>
      <c r="F82" s="5">
        <v>16</v>
      </c>
      <c r="G82" s="5">
        <v>59084</v>
      </c>
      <c r="H82" s="5">
        <v>0</v>
      </c>
      <c r="I82" s="6">
        <v>46060</v>
      </c>
      <c r="J82" s="6">
        <v>46069</v>
      </c>
      <c r="K82" s="10" t="s">
        <v>20</v>
      </c>
      <c r="L82" s="14" t="str">
        <f t="shared" si="3"/>
        <v>Sar1061</v>
      </c>
      <c r="M82" s="15" t="str">
        <f t="shared" si="4"/>
        <v>Heaet</v>
      </c>
      <c r="N82" s="16" t="str">
        <f t="shared" si="5"/>
        <v>eads</v>
      </c>
    </row>
    <row r="83" spans="1:14" ht="15" thickBot="1" x14ac:dyDescent="0.4">
      <c r="A83" s="5">
        <v>1232</v>
      </c>
      <c r="B83" s="5" t="s">
        <v>21</v>
      </c>
      <c r="C83" s="5" t="s">
        <v>12</v>
      </c>
      <c r="D83" s="5" t="s">
        <v>34</v>
      </c>
      <c r="E83" s="5" t="s">
        <v>60</v>
      </c>
      <c r="F83" s="5">
        <v>3</v>
      </c>
      <c r="G83" s="5">
        <v>13272</v>
      </c>
      <c r="H83" s="5">
        <v>2</v>
      </c>
      <c r="I83" s="6">
        <v>46060</v>
      </c>
      <c r="J83" s="6">
        <v>46065</v>
      </c>
      <c r="K83" s="10" t="s">
        <v>15</v>
      </c>
      <c r="L83" s="14" t="str">
        <f t="shared" si="3"/>
        <v>Mee1232</v>
      </c>
      <c r="M83" s="15" t="str">
        <f t="shared" si="4"/>
        <v>Lapop</v>
      </c>
      <c r="N83" s="16" t="str">
        <f t="shared" si="5"/>
        <v>apto</v>
      </c>
    </row>
    <row r="84" spans="1:14" ht="15" thickBot="1" x14ac:dyDescent="0.4">
      <c r="A84" s="5">
        <v>1104</v>
      </c>
      <c r="B84" s="5" t="s">
        <v>16</v>
      </c>
      <c r="C84" s="5" t="s">
        <v>43</v>
      </c>
      <c r="D84" s="5" t="s">
        <v>18</v>
      </c>
      <c r="E84" s="5" t="s">
        <v>19</v>
      </c>
      <c r="F84" s="5">
        <v>10</v>
      </c>
      <c r="G84" s="5">
        <v>12848</v>
      </c>
      <c r="H84" s="5">
        <v>15</v>
      </c>
      <c r="I84" s="6">
        <v>46060</v>
      </c>
      <c r="J84" s="6">
        <v>46064</v>
      </c>
      <c r="K84" s="10" t="s">
        <v>29</v>
      </c>
      <c r="L84" s="14" t="str">
        <f t="shared" si="3"/>
        <v>Poo1104</v>
      </c>
      <c r="M84" s="15" t="str">
        <f t="shared" si="4"/>
        <v>Dessk</v>
      </c>
      <c r="N84" s="16" t="str">
        <f t="shared" si="5"/>
        <v>esk</v>
      </c>
    </row>
    <row r="85" spans="1:14" ht="15" thickBot="1" x14ac:dyDescent="0.4">
      <c r="A85" s="5">
        <v>1140</v>
      </c>
      <c r="B85" s="5" t="s">
        <v>57</v>
      </c>
      <c r="C85" s="5" t="s">
        <v>38</v>
      </c>
      <c r="D85" s="5" t="s">
        <v>34</v>
      </c>
      <c r="E85" s="5" t="s">
        <v>41</v>
      </c>
      <c r="F85" s="5">
        <v>5</v>
      </c>
      <c r="G85" s="5">
        <v>68012</v>
      </c>
      <c r="H85" s="5">
        <v>5</v>
      </c>
      <c r="I85" s="6">
        <v>46061</v>
      </c>
      <c r="J85" s="6">
        <v>46065</v>
      </c>
      <c r="K85" s="10" t="s">
        <v>15</v>
      </c>
      <c r="L85" s="14" t="str">
        <f t="shared" si="3"/>
        <v>Sar1140</v>
      </c>
      <c r="M85" s="15" t="str">
        <f t="shared" si="4"/>
        <v>Heaet</v>
      </c>
      <c r="N85" s="16" t="str">
        <f t="shared" si="5"/>
        <v>eads</v>
      </c>
    </row>
    <row r="86" spans="1:14" ht="15" thickBot="1" x14ac:dyDescent="0.4">
      <c r="A86" s="5">
        <v>1120</v>
      </c>
      <c r="B86" s="5" t="s">
        <v>32</v>
      </c>
      <c r="C86" s="5" t="s">
        <v>38</v>
      </c>
      <c r="D86" s="5" t="s">
        <v>13</v>
      </c>
      <c r="E86" s="5" t="s">
        <v>36</v>
      </c>
      <c r="F86" s="5">
        <v>10</v>
      </c>
      <c r="G86" s="5">
        <v>438</v>
      </c>
      <c r="H86" s="5">
        <v>10</v>
      </c>
      <c r="I86" s="6">
        <v>46061</v>
      </c>
      <c r="J86" s="6">
        <v>46065</v>
      </c>
      <c r="K86" s="10" t="s">
        <v>51</v>
      </c>
      <c r="L86" s="14" t="str">
        <f t="shared" si="3"/>
        <v>Ash1120</v>
      </c>
      <c r="M86" s="15" t="str">
        <f t="shared" si="4"/>
        <v>Staer</v>
      </c>
      <c r="N86" s="16" t="str">
        <f t="shared" si="5"/>
        <v>tapl</v>
      </c>
    </row>
    <row r="87" spans="1:14" ht="15" thickBot="1" x14ac:dyDescent="0.4">
      <c r="A87" s="5">
        <v>1395</v>
      </c>
      <c r="B87" s="5" t="s">
        <v>54</v>
      </c>
      <c r="C87" s="5" t="s">
        <v>33</v>
      </c>
      <c r="D87" s="5" t="s">
        <v>18</v>
      </c>
      <c r="E87" s="5" t="s">
        <v>44</v>
      </c>
      <c r="F87" s="5">
        <v>18</v>
      </c>
      <c r="G87" s="5">
        <v>10402</v>
      </c>
      <c r="H87" s="5">
        <v>15</v>
      </c>
      <c r="I87" s="6">
        <v>46062</v>
      </c>
      <c r="J87" s="6">
        <v>46067</v>
      </c>
      <c r="K87" s="10" t="s">
        <v>29</v>
      </c>
      <c r="L87" s="14" t="str">
        <f t="shared" si="3"/>
        <v>Man1395</v>
      </c>
      <c r="M87" s="15" t="str">
        <f t="shared" si="4"/>
        <v>Boolf</v>
      </c>
      <c r="N87" s="16" t="str">
        <f t="shared" si="5"/>
        <v>ooks</v>
      </c>
    </row>
    <row r="88" spans="1:14" ht="15" thickBot="1" x14ac:dyDescent="0.4">
      <c r="A88" s="5">
        <v>1152</v>
      </c>
      <c r="B88" s="5" t="s">
        <v>27</v>
      </c>
      <c r="C88" s="5" t="s">
        <v>31</v>
      </c>
      <c r="D88" s="5" t="s">
        <v>34</v>
      </c>
      <c r="E88" s="5" t="s">
        <v>61</v>
      </c>
      <c r="F88" s="5">
        <v>14</v>
      </c>
      <c r="G88" s="5">
        <v>8150</v>
      </c>
      <c r="H88" s="5">
        <v>10</v>
      </c>
      <c r="I88" s="6">
        <v>46062</v>
      </c>
      <c r="J88" s="6">
        <v>46070</v>
      </c>
      <c r="K88" s="10" t="s">
        <v>15</v>
      </c>
      <c r="L88" s="14" t="str">
        <f t="shared" si="3"/>
        <v>Arj1152</v>
      </c>
      <c r="M88" s="15" t="str">
        <f t="shared" si="4"/>
        <v>Mouse</v>
      </c>
      <c r="N88" s="16" t="str">
        <f t="shared" si="5"/>
        <v>ouse</v>
      </c>
    </row>
    <row r="89" spans="1:14" ht="15" thickBot="1" x14ac:dyDescent="0.4">
      <c r="A89" s="5">
        <v>1369</v>
      </c>
      <c r="B89" s="5" t="s">
        <v>57</v>
      </c>
      <c r="C89" s="5" t="s">
        <v>25</v>
      </c>
      <c r="D89" s="5" t="s">
        <v>18</v>
      </c>
      <c r="E89" s="5" t="s">
        <v>19</v>
      </c>
      <c r="F89" s="5">
        <v>19</v>
      </c>
      <c r="G89" s="5">
        <v>5840</v>
      </c>
      <c r="H89" s="5">
        <v>5</v>
      </c>
      <c r="I89" s="6">
        <v>46062</v>
      </c>
      <c r="J89" s="6">
        <v>46067</v>
      </c>
      <c r="K89" s="10" t="s">
        <v>15</v>
      </c>
      <c r="L89" s="14" t="str">
        <f t="shared" si="3"/>
        <v>Sar1369</v>
      </c>
      <c r="M89" s="15" t="str">
        <f t="shared" si="4"/>
        <v>Dessk</v>
      </c>
      <c r="N89" s="16" t="str">
        <f t="shared" si="5"/>
        <v>esk</v>
      </c>
    </row>
    <row r="90" spans="1:14" ht="15" thickBot="1" x14ac:dyDescent="0.4">
      <c r="A90" s="5">
        <v>1010</v>
      </c>
      <c r="B90" s="5" t="s">
        <v>11</v>
      </c>
      <c r="C90" s="5" t="s">
        <v>17</v>
      </c>
      <c r="D90" s="5" t="s">
        <v>13</v>
      </c>
      <c r="E90" s="5" t="s">
        <v>36</v>
      </c>
      <c r="F90" s="5">
        <v>14</v>
      </c>
      <c r="G90" s="5">
        <v>470</v>
      </c>
      <c r="H90" s="5">
        <v>5</v>
      </c>
      <c r="I90" s="6">
        <v>46062</v>
      </c>
      <c r="J90" s="6">
        <v>46068</v>
      </c>
      <c r="K90" s="10" t="s">
        <v>15</v>
      </c>
      <c r="L90" s="14" t="str">
        <f t="shared" si="3"/>
        <v>Rit1010</v>
      </c>
      <c r="M90" s="15" t="str">
        <f t="shared" si="4"/>
        <v>Staer</v>
      </c>
      <c r="N90" s="16" t="str">
        <f t="shared" si="5"/>
        <v>tapl</v>
      </c>
    </row>
    <row r="91" spans="1:14" ht="15" thickBot="1" x14ac:dyDescent="0.4">
      <c r="A91" s="5">
        <v>1374</v>
      </c>
      <c r="B91" s="5" t="s">
        <v>57</v>
      </c>
      <c r="C91" s="5" t="s">
        <v>33</v>
      </c>
      <c r="D91" s="5" t="s">
        <v>34</v>
      </c>
      <c r="E91" s="5" t="s">
        <v>35</v>
      </c>
      <c r="F91" s="5">
        <v>12</v>
      </c>
      <c r="G91" s="5">
        <v>66052</v>
      </c>
      <c r="H91" s="5">
        <v>2</v>
      </c>
      <c r="I91" s="6">
        <v>46063</v>
      </c>
      <c r="J91" s="6">
        <v>46066</v>
      </c>
      <c r="K91" s="10" t="s">
        <v>51</v>
      </c>
      <c r="L91" s="14" t="str">
        <f t="shared" si="3"/>
        <v>Sar1374</v>
      </c>
      <c r="M91" s="15" t="str">
        <f t="shared" si="4"/>
        <v>Prier</v>
      </c>
      <c r="N91" s="16" t="str">
        <f t="shared" si="5"/>
        <v>rint</v>
      </c>
    </row>
    <row r="92" spans="1:14" ht="15" thickBot="1" x14ac:dyDescent="0.4">
      <c r="A92" s="5">
        <v>1296</v>
      </c>
      <c r="B92" s="5" t="s">
        <v>26</v>
      </c>
      <c r="C92" s="5" t="s">
        <v>38</v>
      </c>
      <c r="D92" s="5" t="s">
        <v>13</v>
      </c>
      <c r="E92" s="5" t="s">
        <v>50</v>
      </c>
      <c r="F92" s="5">
        <v>6</v>
      </c>
      <c r="G92" s="5">
        <v>201</v>
      </c>
      <c r="H92" s="5">
        <v>0</v>
      </c>
      <c r="I92" s="6">
        <v>46063</v>
      </c>
      <c r="J92" s="6">
        <v>46072</v>
      </c>
      <c r="K92" s="10" t="s">
        <v>51</v>
      </c>
      <c r="L92" s="14" t="str">
        <f t="shared" si="3"/>
        <v>Vik1296</v>
      </c>
      <c r="M92" s="15" t="str">
        <f t="shared" si="4"/>
        <v>Marer</v>
      </c>
      <c r="N92" s="16" t="str">
        <f t="shared" si="5"/>
        <v>arke</v>
      </c>
    </row>
    <row r="93" spans="1:14" ht="15" thickBot="1" x14ac:dyDescent="0.4">
      <c r="A93" s="5">
        <v>1142</v>
      </c>
      <c r="B93" s="5" t="s">
        <v>40</v>
      </c>
      <c r="C93" s="5" t="s">
        <v>25</v>
      </c>
      <c r="D93" s="5" t="s">
        <v>34</v>
      </c>
      <c r="E93" s="5" t="s">
        <v>60</v>
      </c>
      <c r="F93" s="5">
        <v>9</v>
      </c>
      <c r="G93" s="5">
        <v>59788</v>
      </c>
      <c r="H93" s="5">
        <v>7</v>
      </c>
      <c r="I93" s="6">
        <v>46064</v>
      </c>
      <c r="J93" s="6">
        <v>46071</v>
      </c>
      <c r="K93" s="10" t="s">
        <v>29</v>
      </c>
      <c r="L93" s="14" t="str">
        <f t="shared" si="3"/>
        <v>Dee1142</v>
      </c>
      <c r="M93" s="15" t="str">
        <f t="shared" si="4"/>
        <v>Lapop</v>
      </c>
      <c r="N93" s="16" t="str">
        <f t="shared" si="5"/>
        <v>apto</v>
      </c>
    </row>
    <row r="94" spans="1:14" ht="15" thickBot="1" x14ac:dyDescent="0.4">
      <c r="A94" s="5">
        <v>1053</v>
      </c>
      <c r="B94" s="5" t="s">
        <v>16</v>
      </c>
      <c r="C94" s="5" t="s">
        <v>33</v>
      </c>
      <c r="D94" s="5" t="s">
        <v>18</v>
      </c>
      <c r="E94" s="5" t="s">
        <v>28</v>
      </c>
      <c r="F94" s="5">
        <v>1</v>
      </c>
      <c r="G94" s="5">
        <v>9749</v>
      </c>
      <c r="H94" s="5">
        <v>15</v>
      </c>
      <c r="I94" s="6">
        <v>46064</v>
      </c>
      <c r="J94" s="6">
        <v>46070</v>
      </c>
      <c r="K94" s="10" t="s">
        <v>24</v>
      </c>
      <c r="L94" s="14" t="str">
        <f t="shared" si="3"/>
        <v>Poo1053</v>
      </c>
      <c r="M94" s="15" t="str">
        <f t="shared" si="4"/>
        <v>Chair</v>
      </c>
      <c r="N94" s="16" t="str">
        <f t="shared" si="5"/>
        <v>hair</v>
      </c>
    </row>
    <row r="95" spans="1:14" ht="15" thickBot="1" x14ac:dyDescent="0.4">
      <c r="A95" s="5">
        <v>1089</v>
      </c>
      <c r="B95" s="5" t="s">
        <v>46</v>
      </c>
      <c r="C95" s="5" t="s">
        <v>12</v>
      </c>
      <c r="D95" s="5" t="s">
        <v>34</v>
      </c>
      <c r="E95" s="5" t="s">
        <v>35</v>
      </c>
      <c r="F95" s="5">
        <v>10</v>
      </c>
      <c r="G95" s="5">
        <v>17041</v>
      </c>
      <c r="H95" s="5">
        <v>2</v>
      </c>
      <c r="I95" s="6">
        <v>46066</v>
      </c>
      <c r="J95" s="6">
        <v>46071</v>
      </c>
      <c r="K95" s="10" t="s">
        <v>24</v>
      </c>
      <c r="L95" s="14" t="str">
        <f t="shared" si="3"/>
        <v>Kir1089</v>
      </c>
      <c r="M95" s="15" t="str">
        <f t="shared" si="4"/>
        <v>Prier</v>
      </c>
      <c r="N95" s="16" t="str">
        <f t="shared" si="5"/>
        <v>rint</v>
      </c>
    </row>
    <row r="96" spans="1:14" ht="15" thickBot="1" x14ac:dyDescent="0.4">
      <c r="A96" s="5">
        <v>1174</v>
      </c>
      <c r="B96" s="5" t="s">
        <v>58</v>
      </c>
      <c r="C96" s="5" t="s">
        <v>38</v>
      </c>
      <c r="D96" s="5" t="s">
        <v>13</v>
      </c>
      <c r="E96" s="5" t="s">
        <v>14</v>
      </c>
      <c r="F96" s="5">
        <v>13</v>
      </c>
      <c r="G96" s="5">
        <v>155</v>
      </c>
      <c r="H96" s="5">
        <v>2</v>
      </c>
      <c r="I96" s="6">
        <v>46066</v>
      </c>
      <c r="J96" s="6">
        <v>46069</v>
      </c>
      <c r="K96" s="10" t="s">
        <v>24</v>
      </c>
      <c r="L96" s="14" t="str">
        <f t="shared" si="3"/>
        <v>Roh1174</v>
      </c>
      <c r="M96" s="15" t="str">
        <f t="shared" si="4"/>
        <v>Notok</v>
      </c>
      <c r="N96" s="16" t="str">
        <f t="shared" si="5"/>
        <v>oteb</v>
      </c>
    </row>
    <row r="97" spans="1:14" ht="15" thickBot="1" x14ac:dyDescent="0.4">
      <c r="A97" s="5">
        <v>1114</v>
      </c>
      <c r="B97" s="5" t="s">
        <v>16</v>
      </c>
      <c r="C97" s="5" t="s">
        <v>25</v>
      </c>
      <c r="D97" s="5" t="s">
        <v>13</v>
      </c>
      <c r="E97" s="5" t="s">
        <v>50</v>
      </c>
      <c r="F97" s="5">
        <v>13</v>
      </c>
      <c r="G97" s="5">
        <v>32</v>
      </c>
      <c r="H97" s="5">
        <v>15</v>
      </c>
      <c r="I97" s="6">
        <v>46066</v>
      </c>
      <c r="J97" s="6">
        <v>46069</v>
      </c>
      <c r="K97" s="10" t="s">
        <v>15</v>
      </c>
      <c r="L97" s="14" t="str">
        <f t="shared" si="3"/>
        <v>Poo1114</v>
      </c>
      <c r="M97" s="15" t="str">
        <f t="shared" si="4"/>
        <v>Marer</v>
      </c>
      <c r="N97" s="16" t="str">
        <f t="shared" si="5"/>
        <v>arke</v>
      </c>
    </row>
    <row r="98" spans="1:14" ht="15" thickBot="1" x14ac:dyDescent="0.4">
      <c r="A98" s="5">
        <v>1057</v>
      </c>
      <c r="B98" s="5" t="s">
        <v>59</v>
      </c>
      <c r="C98" s="5" t="s">
        <v>22</v>
      </c>
      <c r="D98" s="5" t="s">
        <v>18</v>
      </c>
      <c r="E98" s="5" t="s">
        <v>28</v>
      </c>
      <c r="F98" s="5">
        <v>2</v>
      </c>
      <c r="G98" s="5">
        <v>9531</v>
      </c>
      <c r="H98" s="5">
        <v>15</v>
      </c>
      <c r="I98" s="6">
        <v>46067</v>
      </c>
      <c r="J98" s="6">
        <v>46076</v>
      </c>
      <c r="K98" s="10" t="s">
        <v>51</v>
      </c>
      <c r="L98" s="14" t="str">
        <f t="shared" si="3"/>
        <v>Ani1057</v>
      </c>
      <c r="M98" s="15" t="str">
        <f t="shared" si="4"/>
        <v>Chair</v>
      </c>
      <c r="N98" s="16" t="str">
        <f t="shared" si="5"/>
        <v>hair</v>
      </c>
    </row>
    <row r="99" spans="1:14" ht="15" thickBot="1" x14ac:dyDescent="0.4">
      <c r="A99" s="5">
        <v>1088</v>
      </c>
      <c r="B99" s="5" t="s">
        <v>40</v>
      </c>
      <c r="C99" s="5" t="s">
        <v>33</v>
      </c>
      <c r="D99" s="5" t="s">
        <v>34</v>
      </c>
      <c r="E99" s="5" t="s">
        <v>41</v>
      </c>
      <c r="F99" s="5">
        <v>20</v>
      </c>
      <c r="G99" s="5">
        <v>41165</v>
      </c>
      <c r="H99" s="5">
        <v>0</v>
      </c>
      <c r="I99" s="6">
        <v>46068</v>
      </c>
      <c r="J99" s="6">
        <v>46069</v>
      </c>
      <c r="K99" s="10" t="s">
        <v>20</v>
      </c>
      <c r="L99" s="14" t="str">
        <f t="shared" si="3"/>
        <v>Dee1088</v>
      </c>
      <c r="M99" s="15" t="str">
        <f t="shared" si="4"/>
        <v>Heaet</v>
      </c>
      <c r="N99" s="16" t="str">
        <f t="shared" si="5"/>
        <v>eads</v>
      </c>
    </row>
    <row r="100" spans="1:14" ht="15" thickBot="1" x14ac:dyDescent="0.4">
      <c r="A100" s="5">
        <v>1243</v>
      </c>
      <c r="B100" s="5" t="s">
        <v>30</v>
      </c>
      <c r="C100" s="5" t="s">
        <v>31</v>
      </c>
      <c r="D100" s="5" t="s">
        <v>34</v>
      </c>
      <c r="E100" s="5" t="s">
        <v>41</v>
      </c>
      <c r="F100" s="5">
        <v>5</v>
      </c>
      <c r="G100" s="5">
        <v>11570</v>
      </c>
      <c r="H100" s="5">
        <v>15</v>
      </c>
      <c r="I100" s="6">
        <v>46069</v>
      </c>
      <c r="J100" s="6">
        <v>46077</v>
      </c>
      <c r="K100" s="10" t="s">
        <v>24</v>
      </c>
      <c r="L100" s="14" t="str">
        <f t="shared" si="3"/>
        <v>Neh1243</v>
      </c>
      <c r="M100" s="15" t="str">
        <f t="shared" si="4"/>
        <v>Heaet</v>
      </c>
      <c r="N100" s="16" t="str">
        <f t="shared" si="5"/>
        <v>eads</v>
      </c>
    </row>
    <row r="101" spans="1:14" ht="15" thickBot="1" x14ac:dyDescent="0.4">
      <c r="A101" s="5">
        <v>1153</v>
      </c>
      <c r="B101" s="5" t="s">
        <v>42</v>
      </c>
      <c r="C101" s="5" t="s">
        <v>25</v>
      </c>
      <c r="D101" s="5" t="s">
        <v>18</v>
      </c>
      <c r="E101" s="5" t="s">
        <v>23</v>
      </c>
      <c r="F101" s="5">
        <v>19</v>
      </c>
      <c r="G101" s="5">
        <v>10273</v>
      </c>
      <c r="H101" s="5">
        <v>12</v>
      </c>
      <c r="I101" s="6">
        <v>46069</v>
      </c>
      <c r="J101" s="6">
        <v>46072</v>
      </c>
      <c r="K101" s="10" t="s">
        <v>29</v>
      </c>
      <c r="L101" s="14" t="str">
        <f t="shared" si="3"/>
        <v>Nis1153</v>
      </c>
      <c r="M101" s="15" t="str">
        <f t="shared" si="4"/>
        <v>Table</v>
      </c>
      <c r="N101" s="16" t="str">
        <f t="shared" si="5"/>
        <v>able</v>
      </c>
    </row>
    <row r="102" spans="1:14" ht="15" thickBot="1" x14ac:dyDescent="0.4">
      <c r="A102" s="5">
        <v>1365</v>
      </c>
      <c r="B102" s="5" t="s">
        <v>46</v>
      </c>
      <c r="C102" s="5" t="s">
        <v>33</v>
      </c>
      <c r="D102" s="5" t="s">
        <v>13</v>
      </c>
      <c r="E102" s="5" t="s">
        <v>50</v>
      </c>
      <c r="F102" s="5">
        <v>17</v>
      </c>
      <c r="G102" s="5">
        <v>119</v>
      </c>
      <c r="H102" s="5">
        <v>7</v>
      </c>
      <c r="I102" s="6">
        <v>46070</v>
      </c>
      <c r="J102" s="6">
        <v>46072</v>
      </c>
      <c r="K102" s="10" t="s">
        <v>20</v>
      </c>
      <c r="L102" s="14" t="str">
        <f t="shared" si="3"/>
        <v>Kir1365</v>
      </c>
      <c r="M102" s="15" t="str">
        <f t="shared" si="4"/>
        <v>Marer</v>
      </c>
      <c r="N102" s="16" t="str">
        <f t="shared" si="5"/>
        <v>arke</v>
      </c>
    </row>
    <row r="103" spans="1:14" ht="15" thickBot="1" x14ac:dyDescent="0.4">
      <c r="A103" s="5">
        <v>1036</v>
      </c>
      <c r="B103" s="5" t="s">
        <v>11</v>
      </c>
      <c r="C103" s="5" t="s">
        <v>25</v>
      </c>
      <c r="D103" s="5" t="s">
        <v>13</v>
      </c>
      <c r="E103" s="5" t="s">
        <v>36</v>
      </c>
      <c r="F103" s="5">
        <v>20</v>
      </c>
      <c r="G103" s="5">
        <v>161</v>
      </c>
      <c r="H103" s="5">
        <v>7</v>
      </c>
      <c r="I103" s="6">
        <v>46071</v>
      </c>
      <c r="J103" s="6">
        <v>46077</v>
      </c>
      <c r="K103" s="10" t="s">
        <v>24</v>
      </c>
      <c r="L103" s="14" t="str">
        <f t="shared" si="3"/>
        <v>Rit1036</v>
      </c>
      <c r="M103" s="15" t="str">
        <f t="shared" si="4"/>
        <v>Staer</v>
      </c>
      <c r="N103" s="16" t="str">
        <f t="shared" si="5"/>
        <v>tapl</v>
      </c>
    </row>
    <row r="104" spans="1:14" ht="15" thickBot="1" x14ac:dyDescent="0.4">
      <c r="A104" s="5">
        <v>1371</v>
      </c>
      <c r="B104" s="5" t="s">
        <v>48</v>
      </c>
      <c r="C104" s="5" t="s">
        <v>38</v>
      </c>
      <c r="D104" s="5" t="s">
        <v>18</v>
      </c>
      <c r="E104" s="5" t="s">
        <v>19</v>
      </c>
      <c r="F104" s="5">
        <v>19</v>
      </c>
      <c r="G104" s="5">
        <v>1087</v>
      </c>
      <c r="H104" s="5">
        <v>15</v>
      </c>
      <c r="I104" s="6">
        <v>46072</v>
      </c>
      <c r="J104" s="6">
        <v>46082</v>
      </c>
      <c r="K104" s="10" t="s">
        <v>20</v>
      </c>
      <c r="L104" s="14" t="str">
        <f t="shared" si="3"/>
        <v>Nit1371</v>
      </c>
      <c r="M104" s="15" t="str">
        <f t="shared" si="4"/>
        <v>Dessk</v>
      </c>
      <c r="N104" s="16" t="str">
        <f t="shared" si="5"/>
        <v>esk</v>
      </c>
    </row>
    <row r="105" spans="1:14" ht="15" thickBot="1" x14ac:dyDescent="0.4">
      <c r="A105" s="5">
        <v>1323</v>
      </c>
      <c r="B105" s="5" t="s">
        <v>57</v>
      </c>
      <c r="C105" s="5" t="s">
        <v>38</v>
      </c>
      <c r="D105" s="5" t="s">
        <v>34</v>
      </c>
      <c r="E105" s="5" t="s">
        <v>61</v>
      </c>
      <c r="F105" s="5">
        <v>2</v>
      </c>
      <c r="G105" s="5">
        <v>32074</v>
      </c>
      <c r="H105" s="5">
        <v>10</v>
      </c>
      <c r="I105" s="6">
        <v>46073</v>
      </c>
      <c r="J105" s="6">
        <v>46078</v>
      </c>
      <c r="K105" s="10" t="s">
        <v>15</v>
      </c>
      <c r="L105" s="14" t="str">
        <f t="shared" si="3"/>
        <v>Sar1323</v>
      </c>
      <c r="M105" s="15" t="str">
        <f t="shared" si="4"/>
        <v>Mouse</v>
      </c>
      <c r="N105" s="16" t="str">
        <f t="shared" si="5"/>
        <v>ouse</v>
      </c>
    </row>
    <row r="106" spans="1:14" ht="15" thickBot="1" x14ac:dyDescent="0.4">
      <c r="A106" s="5">
        <v>1253</v>
      </c>
      <c r="B106" s="5" t="s">
        <v>21</v>
      </c>
      <c r="C106" s="5" t="s">
        <v>31</v>
      </c>
      <c r="D106" s="5" t="s">
        <v>34</v>
      </c>
      <c r="E106" s="5" t="s">
        <v>45</v>
      </c>
      <c r="F106" s="5">
        <v>20</v>
      </c>
      <c r="G106" s="5">
        <v>47880</v>
      </c>
      <c r="H106" s="5">
        <v>7</v>
      </c>
      <c r="I106" s="6">
        <v>46074</v>
      </c>
      <c r="J106" s="6">
        <v>46075</v>
      </c>
      <c r="K106" s="10" t="s">
        <v>29</v>
      </c>
      <c r="L106" s="14" t="str">
        <f t="shared" si="3"/>
        <v>Mee1253</v>
      </c>
      <c r="M106" s="15" t="str">
        <f t="shared" si="4"/>
        <v>Monor</v>
      </c>
      <c r="N106" s="16" t="str">
        <f t="shared" si="5"/>
        <v>onit</v>
      </c>
    </row>
    <row r="107" spans="1:14" ht="15" thickBot="1" x14ac:dyDescent="0.4">
      <c r="A107" s="5">
        <v>1384</v>
      </c>
      <c r="B107" s="5" t="s">
        <v>59</v>
      </c>
      <c r="C107" s="5" t="s">
        <v>12</v>
      </c>
      <c r="D107" s="5" t="s">
        <v>34</v>
      </c>
      <c r="E107" s="5" t="s">
        <v>39</v>
      </c>
      <c r="F107" s="5">
        <v>15</v>
      </c>
      <c r="G107" s="5">
        <v>38116</v>
      </c>
      <c r="H107" s="5">
        <v>0</v>
      </c>
      <c r="I107" s="6">
        <v>46074</v>
      </c>
      <c r="J107" s="6">
        <v>46078</v>
      </c>
      <c r="K107" s="10" t="s">
        <v>29</v>
      </c>
      <c r="L107" s="14" t="str">
        <f t="shared" si="3"/>
        <v>Ani1384</v>
      </c>
      <c r="M107" s="15" t="str">
        <f t="shared" si="4"/>
        <v>Keyrd</v>
      </c>
      <c r="N107" s="16" t="str">
        <f t="shared" si="5"/>
        <v>eybo</v>
      </c>
    </row>
    <row r="108" spans="1:14" ht="15" thickBot="1" x14ac:dyDescent="0.4">
      <c r="A108" s="5">
        <v>1378</v>
      </c>
      <c r="B108" s="5" t="s">
        <v>55</v>
      </c>
      <c r="C108" s="5" t="s">
        <v>22</v>
      </c>
      <c r="D108" s="5" t="s">
        <v>34</v>
      </c>
      <c r="E108" s="5" t="s">
        <v>45</v>
      </c>
      <c r="F108" s="5">
        <v>15</v>
      </c>
      <c r="G108" s="5">
        <v>22693</v>
      </c>
      <c r="H108" s="5">
        <v>12</v>
      </c>
      <c r="I108" s="6">
        <v>46074</v>
      </c>
      <c r="J108" s="6">
        <v>46080</v>
      </c>
      <c r="K108" s="10" t="s">
        <v>51</v>
      </c>
      <c r="L108" s="14" t="str">
        <f t="shared" si="3"/>
        <v>Sne1378</v>
      </c>
      <c r="M108" s="15" t="str">
        <f t="shared" si="4"/>
        <v>Monor</v>
      </c>
      <c r="N108" s="16" t="str">
        <f t="shared" si="5"/>
        <v>onit</v>
      </c>
    </row>
    <row r="109" spans="1:14" ht="15" thickBot="1" x14ac:dyDescent="0.4">
      <c r="A109" s="5">
        <v>1058</v>
      </c>
      <c r="B109" s="5" t="s">
        <v>52</v>
      </c>
      <c r="C109" s="5" t="s">
        <v>38</v>
      </c>
      <c r="D109" s="5" t="s">
        <v>18</v>
      </c>
      <c r="E109" s="5" t="s">
        <v>28</v>
      </c>
      <c r="F109" s="5">
        <v>10</v>
      </c>
      <c r="G109" s="5">
        <v>5532</v>
      </c>
      <c r="H109" s="5">
        <v>7</v>
      </c>
      <c r="I109" s="6">
        <v>46074</v>
      </c>
      <c r="J109" s="6">
        <v>46084</v>
      </c>
      <c r="K109" s="10" t="s">
        <v>24</v>
      </c>
      <c r="L109" s="14" t="str">
        <f t="shared" si="3"/>
        <v>Kom1058</v>
      </c>
      <c r="M109" s="15" t="str">
        <f t="shared" si="4"/>
        <v>Chair</v>
      </c>
      <c r="N109" s="16" t="str">
        <f t="shared" si="5"/>
        <v>hair</v>
      </c>
    </row>
    <row r="110" spans="1:14" ht="15" thickBot="1" x14ac:dyDescent="0.4">
      <c r="A110" s="5">
        <v>1337</v>
      </c>
      <c r="B110" s="5" t="s">
        <v>16</v>
      </c>
      <c r="C110" s="5" t="s">
        <v>12</v>
      </c>
      <c r="D110" s="5" t="s">
        <v>13</v>
      </c>
      <c r="E110" s="5" t="s">
        <v>53</v>
      </c>
      <c r="F110" s="5">
        <v>14</v>
      </c>
      <c r="G110" s="5">
        <v>373</v>
      </c>
      <c r="H110" s="5">
        <v>10</v>
      </c>
      <c r="I110" s="6">
        <v>46074</v>
      </c>
      <c r="J110" s="6">
        <v>46080</v>
      </c>
      <c r="K110" s="10" t="s">
        <v>29</v>
      </c>
      <c r="L110" s="14" t="str">
        <f t="shared" si="3"/>
        <v>Poo1337</v>
      </c>
      <c r="M110" s="15" t="str">
        <f t="shared" si="4"/>
        <v>Diary</v>
      </c>
      <c r="N110" s="16" t="str">
        <f t="shared" si="5"/>
        <v>iary</v>
      </c>
    </row>
    <row r="111" spans="1:14" ht="15" thickBot="1" x14ac:dyDescent="0.4">
      <c r="A111" s="5">
        <v>1201</v>
      </c>
      <c r="B111" s="5" t="s">
        <v>54</v>
      </c>
      <c r="C111" s="5" t="s">
        <v>31</v>
      </c>
      <c r="D111" s="5" t="s">
        <v>13</v>
      </c>
      <c r="E111" s="5" t="s">
        <v>53</v>
      </c>
      <c r="F111" s="5">
        <v>18</v>
      </c>
      <c r="G111" s="5">
        <v>139</v>
      </c>
      <c r="H111" s="5">
        <v>12</v>
      </c>
      <c r="I111" s="6">
        <v>46075</v>
      </c>
      <c r="J111" s="6">
        <v>46076</v>
      </c>
      <c r="K111" s="10" t="s">
        <v>20</v>
      </c>
      <c r="L111" s="14" t="str">
        <f t="shared" si="3"/>
        <v>Man1201</v>
      </c>
      <c r="M111" s="15" t="str">
        <f t="shared" si="4"/>
        <v>Diary</v>
      </c>
      <c r="N111" s="16" t="str">
        <f t="shared" si="5"/>
        <v>iary</v>
      </c>
    </row>
    <row r="112" spans="1:14" ht="15" thickBot="1" x14ac:dyDescent="0.4">
      <c r="A112" s="5">
        <v>1082</v>
      </c>
      <c r="B112" s="5" t="s">
        <v>21</v>
      </c>
      <c r="C112" s="5" t="s">
        <v>12</v>
      </c>
      <c r="D112" s="5" t="s">
        <v>13</v>
      </c>
      <c r="E112" s="5" t="s">
        <v>14</v>
      </c>
      <c r="F112" s="5">
        <v>7</v>
      </c>
      <c r="G112" s="5">
        <v>133</v>
      </c>
      <c r="H112" s="5">
        <v>10</v>
      </c>
      <c r="I112" s="6">
        <v>46075</v>
      </c>
      <c r="J112" s="6">
        <v>46085</v>
      </c>
      <c r="K112" s="10" t="s">
        <v>51</v>
      </c>
      <c r="L112" s="14" t="str">
        <f t="shared" si="3"/>
        <v>Mee1082</v>
      </c>
      <c r="M112" s="15" t="str">
        <f t="shared" si="4"/>
        <v>Notok</v>
      </c>
      <c r="N112" s="16" t="str">
        <f t="shared" si="5"/>
        <v>oteb</v>
      </c>
    </row>
    <row r="113" spans="1:14" ht="15" thickBot="1" x14ac:dyDescent="0.4">
      <c r="A113" s="5">
        <v>1325</v>
      </c>
      <c r="B113" s="5" t="s">
        <v>48</v>
      </c>
      <c r="C113" s="5" t="s">
        <v>43</v>
      </c>
      <c r="D113" s="5" t="s">
        <v>34</v>
      </c>
      <c r="E113" s="5" t="s">
        <v>39</v>
      </c>
      <c r="F113" s="5">
        <v>9</v>
      </c>
      <c r="G113" s="5">
        <v>58442</v>
      </c>
      <c r="H113" s="5">
        <v>12</v>
      </c>
      <c r="I113" s="6">
        <v>46076</v>
      </c>
      <c r="J113" s="6">
        <v>46085</v>
      </c>
      <c r="K113" s="10" t="s">
        <v>20</v>
      </c>
      <c r="L113" s="14" t="str">
        <f t="shared" si="3"/>
        <v>Nit1325</v>
      </c>
      <c r="M113" s="15" t="str">
        <f t="shared" si="4"/>
        <v>Keyrd</v>
      </c>
      <c r="N113" s="16" t="str">
        <f t="shared" si="5"/>
        <v>eybo</v>
      </c>
    </row>
    <row r="114" spans="1:14" ht="15" thickBot="1" x14ac:dyDescent="0.4">
      <c r="A114" s="5">
        <v>1107</v>
      </c>
      <c r="B114" s="5" t="s">
        <v>52</v>
      </c>
      <c r="C114" s="5" t="s">
        <v>17</v>
      </c>
      <c r="D114" s="5" t="s">
        <v>34</v>
      </c>
      <c r="E114" s="5" t="s">
        <v>60</v>
      </c>
      <c r="F114" s="5">
        <v>4</v>
      </c>
      <c r="G114" s="5">
        <v>14291</v>
      </c>
      <c r="H114" s="5">
        <v>2</v>
      </c>
      <c r="I114" s="6">
        <v>46076</v>
      </c>
      <c r="J114" s="6">
        <v>46078</v>
      </c>
      <c r="K114" s="10" t="s">
        <v>15</v>
      </c>
      <c r="L114" s="14" t="str">
        <f t="shared" si="3"/>
        <v>Kom1107</v>
      </c>
      <c r="M114" s="15" t="str">
        <f t="shared" si="4"/>
        <v>Lapop</v>
      </c>
      <c r="N114" s="16" t="str">
        <f t="shared" si="5"/>
        <v>apto</v>
      </c>
    </row>
    <row r="115" spans="1:14" ht="15" thickBot="1" x14ac:dyDescent="0.4">
      <c r="A115" s="5">
        <v>1390</v>
      </c>
      <c r="B115" s="5" t="s">
        <v>58</v>
      </c>
      <c r="C115" s="5" t="s">
        <v>43</v>
      </c>
      <c r="D115" s="5" t="s">
        <v>18</v>
      </c>
      <c r="E115" s="5" t="s">
        <v>19</v>
      </c>
      <c r="F115" s="5">
        <v>9</v>
      </c>
      <c r="G115" s="5">
        <v>7670</v>
      </c>
      <c r="H115" s="5">
        <v>0</v>
      </c>
      <c r="I115" s="6">
        <v>46076</v>
      </c>
      <c r="J115" s="6">
        <v>46081</v>
      </c>
      <c r="K115" s="10" t="s">
        <v>51</v>
      </c>
      <c r="L115" s="14" t="str">
        <f t="shared" si="3"/>
        <v>Roh1390</v>
      </c>
      <c r="M115" s="15" t="str">
        <f t="shared" si="4"/>
        <v>Dessk</v>
      </c>
      <c r="N115" s="16" t="str">
        <f t="shared" si="5"/>
        <v>esk</v>
      </c>
    </row>
    <row r="116" spans="1:14" ht="15" thickBot="1" x14ac:dyDescent="0.4">
      <c r="A116" s="5">
        <v>1113</v>
      </c>
      <c r="B116" s="5" t="s">
        <v>26</v>
      </c>
      <c r="C116" s="5" t="s">
        <v>43</v>
      </c>
      <c r="D116" s="5" t="s">
        <v>18</v>
      </c>
      <c r="E116" s="5" t="s">
        <v>56</v>
      </c>
      <c r="F116" s="5">
        <v>13</v>
      </c>
      <c r="G116" s="5">
        <v>6719</v>
      </c>
      <c r="H116" s="5">
        <v>15</v>
      </c>
      <c r="I116" s="6">
        <v>46076</v>
      </c>
      <c r="J116" s="6">
        <v>46081</v>
      </c>
      <c r="K116" s="10" t="s">
        <v>24</v>
      </c>
      <c r="L116" s="14" t="str">
        <f t="shared" si="3"/>
        <v>Vik1113</v>
      </c>
      <c r="M116" s="15" t="str">
        <f t="shared" si="4"/>
        <v>Cabet</v>
      </c>
      <c r="N116" s="16" t="str">
        <f t="shared" si="5"/>
        <v>abin</v>
      </c>
    </row>
    <row r="117" spans="1:14" ht="15" thickBot="1" x14ac:dyDescent="0.4">
      <c r="A117" s="5">
        <v>1070</v>
      </c>
      <c r="B117" s="5" t="s">
        <v>52</v>
      </c>
      <c r="C117" s="5" t="s">
        <v>43</v>
      </c>
      <c r="D117" s="5" t="s">
        <v>13</v>
      </c>
      <c r="E117" s="5" t="s">
        <v>36</v>
      </c>
      <c r="F117" s="5">
        <v>10</v>
      </c>
      <c r="G117" s="5">
        <v>233</v>
      </c>
      <c r="H117" s="5">
        <v>7</v>
      </c>
      <c r="I117" s="6">
        <v>46076</v>
      </c>
      <c r="J117" s="6">
        <v>46077</v>
      </c>
      <c r="K117" s="10" t="s">
        <v>29</v>
      </c>
      <c r="L117" s="14" t="str">
        <f t="shared" si="3"/>
        <v>Kom1070</v>
      </c>
      <c r="M117" s="15" t="str">
        <f t="shared" si="4"/>
        <v>Staer</v>
      </c>
      <c r="N117" s="16" t="str">
        <f t="shared" si="5"/>
        <v>tapl</v>
      </c>
    </row>
    <row r="118" spans="1:14" ht="15" thickBot="1" x14ac:dyDescent="0.4">
      <c r="A118" s="5">
        <v>1157</v>
      </c>
      <c r="B118" s="5" t="s">
        <v>52</v>
      </c>
      <c r="C118" s="5" t="s">
        <v>33</v>
      </c>
      <c r="D118" s="5" t="s">
        <v>13</v>
      </c>
      <c r="E118" s="5" t="s">
        <v>50</v>
      </c>
      <c r="F118" s="5">
        <v>3</v>
      </c>
      <c r="G118" s="5">
        <v>203</v>
      </c>
      <c r="H118" s="5">
        <v>15</v>
      </c>
      <c r="I118" s="6">
        <v>46076</v>
      </c>
      <c r="J118" s="6">
        <v>46080</v>
      </c>
      <c r="K118" s="10" t="s">
        <v>29</v>
      </c>
      <c r="L118" s="14" t="str">
        <f t="shared" si="3"/>
        <v>Kom1157</v>
      </c>
      <c r="M118" s="15" t="str">
        <f t="shared" si="4"/>
        <v>Marer</v>
      </c>
      <c r="N118" s="16" t="str">
        <f t="shared" si="5"/>
        <v>arke</v>
      </c>
    </row>
    <row r="119" spans="1:14" ht="15" thickBot="1" x14ac:dyDescent="0.4">
      <c r="A119" s="5">
        <v>1110</v>
      </c>
      <c r="B119" s="5" t="s">
        <v>49</v>
      </c>
      <c r="C119" s="5" t="s">
        <v>38</v>
      </c>
      <c r="D119" s="5" t="s">
        <v>18</v>
      </c>
      <c r="E119" s="5" t="s">
        <v>23</v>
      </c>
      <c r="F119" s="5">
        <v>14</v>
      </c>
      <c r="G119" s="5">
        <v>6793</v>
      </c>
      <c r="H119" s="5">
        <v>7</v>
      </c>
      <c r="I119" s="6">
        <v>46077</v>
      </c>
      <c r="J119" s="6">
        <v>46082</v>
      </c>
      <c r="K119" s="10" t="s">
        <v>29</v>
      </c>
      <c r="L119" s="14" t="str">
        <f t="shared" si="3"/>
        <v>Aja1110</v>
      </c>
      <c r="M119" s="15" t="str">
        <f t="shared" si="4"/>
        <v>Table</v>
      </c>
      <c r="N119" s="16" t="str">
        <f t="shared" si="5"/>
        <v>able</v>
      </c>
    </row>
    <row r="120" spans="1:14" ht="15" thickBot="1" x14ac:dyDescent="0.4">
      <c r="A120" s="5">
        <v>1223</v>
      </c>
      <c r="B120" s="5" t="s">
        <v>59</v>
      </c>
      <c r="C120" s="5" t="s">
        <v>17</v>
      </c>
      <c r="D120" s="5" t="s">
        <v>18</v>
      </c>
      <c r="E120" s="5" t="s">
        <v>23</v>
      </c>
      <c r="F120" s="5">
        <v>4</v>
      </c>
      <c r="G120" s="5">
        <v>2249</v>
      </c>
      <c r="H120" s="5">
        <v>7</v>
      </c>
      <c r="I120" s="6">
        <v>46077</v>
      </c>
      <c r="J120" s="6">
        <v>46084</v>
      </c>
      <c r="K120" s="10" t="s">
        <v>15</v>
      </c>
      <c r="L120" s="14" t="str">
        <f t="shared" si="3"/>
        <v>Ani1223</v>
      </c>
      <c r="M120" s="15" t="str">
        <f t="shared" si="4"/>
        <v>Table</v>
      </c>
      <c r="N120" s="16" t="str">
        <f t="shared" si="5"/>
        <v>able</v>
      </c>
    </row>
    <row r="121" spans="1:14" ht="15" thickBot="1" x14ac:dyDescent="0.4">
      <c r="A121" s="5">
        <v>1055</v>
      </c>
      <c r="B121" s="5" t="s">
        <v>48</v>
      </c>
      <c r="C121" s="5" t="s">
        <v>12</v>
      </c>
      <c r="D121" s="5" t="s">
        <v>13</v>
      </c>
      <c r="E121" s="5" t="s">
        <v>37</v>
      </c>
      <c r="F121" s="5">
        <v>18</v>
      </c>
      <c r="G121" s="5">
        <v>185</v>
      </c>
      <c r="H121" s="5">
        <v>15</v>
      </c>
      <c r="I121" s="6">
        <v>46077</v>
      </c>
      <c r="J121" s="6">
        <v>46078</v>
      </c>
      <c r="K121" s="10" t="s">
        <v>15</v>
      </c>
      <c r="L121" s="14" t="str">
        <f t="shared" si="3"/>
        <v>Nit1055</v>
      </c>
      <c r="M121" s="15" t="str">
        <f t="shared" si="4"/>
        <v>Penck</v>
      </c>
      <c r="N121" s="16" t="str">
        <f t="shared" si="5"/>
        <v>en P</v>
      </c>
    </row>
    <row r="122" spans="1:14" ht="15" thickBot="1" x14ac:dyDescent="0.4">
      <c r="A122" s="5">
        <v>1272</v>
      </c>
      <c r="B122" s="5" t="s">
        <v>52</v>
      </c>
      <c r="C122" s="5" t="s">
        <v>38</v>
      </c>
      <c r="D122" s="5" t="s">
        <v>34</v>
      </c>
      <c r="E122" s="5" t="s">
        <v>41</v>
      </c>
      <c r="F122" s="5">
        <v>13</v>
      </c>
      <c r="G122" s="5">
        <v>42179</v>
      </c>
      <c r="H122" s="5">
        <v>0</v>
      </c>
      <c r="I122" s="6">
        <v>46078</v>
      </c>
      <c r="J122" s="6">
        <v>46084</v>
      </c>
      <c r="K122" s="10" t="s">
        <v>20</v>
      </c>
      <c r="L122" s="14" t="str">
        <f t="shared" si="3"/>
        <v>Kom1272</v>
      </c>
      <c r="M122" s="15" t="str">
        <f t="shared" si="4"/>
        <v>Heaet</v>
      </c>
      <c r="N122" s="16" t="str">
        <f t="shared" si="5"/>
        <v>eads</v>
      </c>
    </row>
    <row r="123" spans="1:14" ht="15" thickBot="1" x14ac:dyDescent="0.4">
      <c r="A123" s="5">
        <v>1316</v>
      </c>
      <c r="B123" s="5" t="s">
        <v>46</v>
      </c>
      <c r="C123" s="5" t="s">
        <v>12</v>
      </c>
      <c r="D123" s="5" t="s">
        <v>18</v>
      </c>
      <c r="E123" s="5" t="s">
        <v>28</v>
      </c>
      <c r="F123" s="5">
        <v>7</v>
      </c>
      <c r="G123" s="5">
        <v>9838</v>
      </c>
      <c r="H123" s="5">
        <v>7</v>
      </c>
      <c r="I123" s="6">
        <v>46078</v>
      </c>
      <c r="J123" s="6">
        <v>46085</v>
      </c>
      <c r="K123" s="10" t="s">
        <v>20</v>
      </c>
      <c r="L123" s="14" t="str">
        <f t="shared" si="3"/>
        <v>Kir1316</v>
      </c>
      <c r="M123" s="15" t="str">
        <f t="shared" si="4"/>
        <v>Chair</v>
      </c>
      <c r="N123" s="16" t="str">
        <f t="shared" si="5"/>
        <v>hair</v>
      </c>
    </row>
    <row r="124" spans="1:14" ht="15" thickBot="1" x14ac:dyDescent="0.4">
      <c r="A124" s="5">
        <v>1020</v>
      </c>
      <c r="B124" s="5" t="s">
        <v>46</v>
      </c>
      <c r="C124" s="5" t="s">
        <v>12</v>
      </c>
      <c r="D124" s="5" t="s">
        <v>18</v>
      </c>
      <c r="E124" s="5" t="s">
        <v>19</v>
      </c>
      <c r="F124" s="5">
        <v>5</v>
      </c>
      <c r="G124" s="5">
        <v>4582</v>
      </c>
      <c r="H124" s="5">
        <v>5</v>
      </c>
      <c r="I124" s="6">
        <v>46078</v>
      </c>
      <c r="J124" s="6">
        <v>46083</v>
      </c>
      <c r="K124" s="10" t="s">
        <v>15</v>
      </c>
      <c r="L124" s="14" t="str">
        <f t="shared" si="3"/>
        <v>Kir1020</v>
      </c>
      <c r="M124" s="15" t="str">
        <f t="shared" si="4"/>
        <v>Dessk</v>
      </c>
      <c r="N124" s="16" t="str">
        <f t="shared" si="5"/>
        <v>esk</v>
      </c>
    </row>
    <row r="125" spans="1:14" ht="15" thickBot="1" x14ac:dyDescent="0.4">
      <c r="A125" s="5">
        <v>1349</v>
      </c>
      <c r="B125" s="5" t="s">
        <v>40</v>
      </c>
      <c r="C125" s="5" t="s">
        <v>33</v>
      </c>
      <c r="D125" s="5" t="s">
        <v>34</v>
      </c>
      <c r="E125" s="5" t="s">
        <v>35</v>
      </c>
      <c r="F125" s="5">
        <v>20</v>
      </c>
      <c r="G125" s="5">
        <v>62721</v>
      </c>
      <c r="H125" s="5">
        <v>7</v>
      </c>
      <c r="I125" s="6">
        <v>46079</v>
      </c>
      <c r="J125" s="6">
        <v>46083</v>
      </c>
      <c r="K125" s="10" t="s">
        <v>20</v>
      </c>
      <c r="L125" s="14" t="str">
        <f t="shared" si="3"/>
        <v>Dee1349</v>
      </c>
      <c r="M125" s="15" t="str">
        <f t="shared" si="4"/>
        <v>Prier</v>
      </c>
      <c r="N125" s="16" t="str">
        <f t="shared" si="5"/>
        <v>rint</v>
      </c>
    </row>
    <row r="126" spans="1:14" ht="15" thickBot="1" x14ac:dyDescent="0.4">
      <c r="A126" s="5">
        <v>1158</v>
      </c>
      <c r="B126" s="5" t="s">
        <v>26</v>
      </c>
      <c r="C126" s="5" t="s">
        <v>38</v>
      </c>
      <c r="D126" s="5" t="s">
        <v>34</v>
      </c>
      <c r="E126" s="5" t="s">
        <v>41</v>
      </c>
      <c r="F126" s="5">
        <v>13</v>
      </c>
      <c r="G126" s="5">
        <v>12518</v>
      </c>
      <c r="H126" s="5">
        <v>2</v>
      </c>
      <c r="I126" s="6">
        <v>46079</v>
      </c>
      <c r="J126" s="6">
        <v>46082</v>
      </c>
      <c r="K126" s="10" t="s">
        <v>51</v>
      </c>
      <c r="L126" s="14" t="str">
        <f t="shared" si="3"/>
        <v>Vik1158</v>
      </c>
      <c r="M126" s="15" t="str">
        <f t="shared" si="4"/>
        <v>Heaet</v>
      </c>
      <c r="N126" s="16" t="str">
        <f t="shared" si="5"/>
        <v>eads</v>
      </c>
    </row>
    <row r="127" spans="1:14" ht="15" thickBot="1" x14ac:dyDescent="0.4">
      <c r="A127" s="5">
        <v>1163</v>
      </c>
      <c r="B127" s="5" t="s">
        <v>29</v>
      </c>
      <c r="C127" s="5" t="s">
        <v>38</v>
      </c>
      <c r="D127" s="5" t="s">
        <v>34</v>
      </c>
      <c r="E127" s="5" t="s">
        <v>39</v>
      </c>
      <c r="F127" s="5">
        <v>9</v>
      </c>
      <c r="G127" s="5">
        <v>62440</v>
      </c>
      <c r="H127" s="5">
        <v>2</v>
      </c>
      <c r="I127" s="6">
        <v>46081</v>
      </c>
      <c r="J127" s="6">
        <v>46086</v>
      </c>
      <c r="K127" s="10" t="s">
        <v>29</v>
      </c>
      <c r="L127" s="14" t="str">
        <f t="shared" si="3"/>
        <v>Pri1163</v>
      </c>
      <c r="M127" s="15" t="str">
        <f t="shared" si="4"/>
        <v>Keyrd</v>
      </c>
      <c r="N127" s="16" t="str">
        <f t="shared" si="5"/>
        <v>eybo</v>
      </c>
    </row>
    <row r="128" spans="1:14" ht="15" thickBot="1" x14ac:dyDescent="0.4">
      <c r="A128" s="5">
        <v>1042</v>
      </c>
      <c r="B128" s="5" t="s">
        <v>46</v>
      </c>
      <c r="C128" s="5" t="s">
        <v>33</v>
      </c>
      <c r="D128" s="5" t="s">
        <v>13</v>
      </c>
      <c r="E128" s="5" t="s">
        <v>53</v>
      </c>
      <c r="F128" s="5">
        <v>16</v>
      </c>
      <c r="G128" s="5">
        <v>232</v>
      </c>
      <c r="H128" s="5">
        <v>0</v>
      </c>
      <c r="I128" s="6">
        <v>46081</v>
      </c>
      <c r="J128" s="6">
        <v>46088</v>
      </c>
      <c r="K128" s="10" t="s">
        <v>29</v>
      </c>
      <c r="L128" s="14" t="str">
        <f t="shared" si="3"/>
        <v>Kir1042</v>
      </c>
      <c r="M128" s="15" t="str">
        <f t="shared" si="4"/>
        <v>Diary</v>
      </c>
      <c r="N128" s="16" t="str">
        <f t="shared" si="5"/>
        <v>iary</v>
      </c>
    </row>
    <row r="129" spans="1:14" ht="15" thickBot="1" x14ac:dyDescent="0.4">
      <c r="A129" s="5">
        <v>1001</v>
      </c>
      <c r="B129" s="5" t="s">
        <v>11</v>
      </c>
      <c r="C129" s="5" t="s">
        <v>12</v>
      </c>
      <c r="D129" s="5" t="s">
        <v>13</v>
      </c>
      <c r="E129" s="5" t="s">
        <v>14</v>
      </c>
      <c r="F129" s="5">
        <v>3</v>
      </c>
      <c r="G129" s="5">
        <v>222</v>
      </c>
      <c r="H129" s="5">
        <v>15</v>
      </c>
      <c r="I129" s="6">
        <v>46081</v>
      </c>
      <c r="J129" s="6">
        <v>46083</v>
      </c>
      <c r="K129" s="10" t="s">
        <v>15</v>
      </c>
      <c r="L129" s="14" t="str">
        <f t="shared" si="3"/>
        <v>Rit1001</v>
      </c>
      <c r="M129" s="15" t="str">
        <f t="shared" si="4"/>
        <v>Notok</v>
      </c>
      <c r="N129" s="16" t="str">
        <f t="shared" si="5"/>
        <v>oteb</v>
      </c>
    </row>
    <row r="130" spans="1:14" ht="15" thickBot="1" x14ac:dyDescent="0.4">
      <c r="A130" s="5">
        <v>1202</v>
      </c>
      <c r="B130" s="5" t="s">
        <v>57</v>
      </c>
      <c r="C130" s="5" t="s">
        <v>22</v>
      </c>
      <c r="D130" s="5" t="s">
        <v>34</v>
      </c>
      <c r="E130" s="5" t="s">
        <v>35</v>
      </c>
      <c r="F130" s="5">
        <v>2</v>
      </c>
      <c r="G130" s="5">
        <v>20312</v>
      </c>
      <c r="H130" s="5">
        <v>12</v>
      </c>
      <c r="I130" s="6">
        <v>46082</v>
      </c>
      <c r="J130" s="6">
        <v>46091</v>
      </c>
      <c r="K130" s="10" t="s">
        <v>15</v>
      </c>
      <c r="L130" s="14" t="str">
        <f t="shared" si="3"/>
        <v>Sar1202</v>
      </c>
      <c r="M130" s="15" t="str">
        <f t="shared" si="4"/>
        <v>Prier</v>
      </c>
      <c r="N130" s="16" t="str">
        <f t="shared" si="5"/>
        <v>rint</v>
      </c>
    </row>
    <row r="131" spans="1:14" ht="15" thickBot="1" x14ac:dyDescent="0.4">
      <c r="A131" s="5">
        <v>1066</v>
      </c>
      <c r="B131" s="5" t="s">
        <v>47</v>
      </c>
      <c r="C131" s="5" t="s">
        <v>25</v>
      </c>
      <c r="D131" s="5" t="s">
        <v>18</v>
      </c>
      <c r="E131" s="5" t="s">
        <v>44</v>
      </c>
      <c r="F131" s="5">
        <v>15</v>
      </c>
      <c r="G131" s="5">
        <v>11987</v>
      </c>
      <c r="H131" s="5">
        <v>5</v>
      </c>
      <c r="I131" s="6">
        <v>46082</v>
      </c>
      <c r="J131" s="6">
        <v>46083</v>
      </c>
      <c r="K131" s="10" t="s">
        <v>15</v>
      </c>
      <c r="L131" s="14" t="str">
        <f t="shared" ref="L131:L194" si="6">LEFT(B131,3)&amp;A131</f>
        <v>Yas1066</v>
      </c>
      <c r="M131" s="15" t="str">
        <f t="shared" ref="M131:M194" si="7">LEFT(E131,3)&amp;RIGHT(E131,2)</f>
        <v>Boolf</v>
      </c>
      <c r="N131" s="16" t="str">
        <f t="shared" ref="N131:N194" si="8">MID(E131,2,4)</f>
        <v>ooks</v>
      </c>
    </row>
    <row r="132" spans="1:14" ht="15" thickBot="1" x14ac:dyDescent="0.4">
      <c r="A132" s="5">
        <v>1033</v>
      </c>
      <c r="B132" s="5" t="s">
        <v>11</v>
      </c>
      <c r="C132" s="5" t="s">
        <v>43</v>
      </c>
      <c r="D132" s="5" t="s">
        <v>18</v>
      </c>
      <c r="E132" s="5" t="s">
        <v>19</v>
      </c>
      <c r="F132" s="5">
        <v>9</v>
      </c>
      <c r="G132" s="5">
        <v>4895</v>
      </c>
      <c r="H132" s="5">
        <v>2</v>
      </c>
      <c r="I132" s="6">
        <v>46082</v>
      </c>
      <c r="J132" s="6">
        <v>46084</v>
      </c>
      <c r="K132" s="10" t="s">
        <v>29</v>
      </c>
      <c r="L132" s="14" t="str">
        <f t="shared" si="6"/>
        <v>Rit1033</v>
      </c>
      <c r="M132" s="15" t="str">
        <f t="shared" si="7"/>
        <v>Dessk</v>
      </c>
      <c r="N132" s="16" t="str">
        <f t="shared" si="8"/>
        <v>esk</v>
      </c>
    </row>
    <row r="133" spans="1:14" ht="15" thickBot="1" x14ac:dyDescent="0.4">
      <c r="A133" s="5">
        <v>1284</v>
      </c>
      <c r="B133" s="5" t="s">
        <v>40</v>
      </c>
      <c r="C133" s="5" t="s">
        <v>25</v>
      </c>
      <c r="D133" s="5" t="s">
        <v>13</v>
      </c>
      <c r="E133" s="5" t="s">
        <v>37</v>
      </c>
      <c r="F133" s="5">
        <v>16</v>
      </c>
      <c r="G133" s="5">
        <v>419</v>
      </c>
      <c r="H133" s="5">
        <v>2</v>
      </c>
      <c r="I133" s="6">
        <v>46082</v>
      </c>
      <c r="J133" s="6">
        <v>46090</v>
      </c>
      <c r="K133" s="10" t="s">
        <v>15</v>
      </c>
      <c r="L133" s="14" t="str">
        <f t="shared" si="6"/>
        <v>Dee1284</v>
      </c>
      <c r="M133" s="15" t="str">
        <f t="shared" si="7"/>
        <v>Penck</v>
      </c>
      <c r="N133" s="16" t="str">
        <f t="shared" si="8"/>
        <v>en P</v>
      </c>
    </row>
    <row r="134" spans="1:14" ht="15" thickBot="1" x14ac:dyDescent="0.4">
      <c r="A134" s="5">
        <v>1017</v>
      </c>
      <c r="B134" s="5" t="s">
        <v>46</v>
      </c>
      <c r="C134" s="5" t="s">
        <v>38</v>
      </c>
      <c r="D134" s="5" t="s">
        <v>13</v>
      </c>
      <c r="E134" s="5" t="s">
        <v>36</v>
      </c>
      <c r="F134" s="5">
        <v>8</v>
      </c>
      <c r="G134" s="5">
        <v>179</v>
      </c>
      <c r="H134" s="5">
        <v>15</v>
      </c>
      <c r="I134" s="6">
        <v>46082</v>
      </c>
      <c r="J134" s="6">
        <v>46084</v>
      </c>
      <c r="K134" s="10" t="s">
        <v>15</v>
      </c>
      <c r="L134" s="14" t="str">
        <f t="shared" si="6"/>
        <v>Kir1017</v>
      </c>
      <c r="M134" s="15" t="str">
        <f t="shared" si="7"/>
        <v>Staer</v>
      </c>
      <c r="N134" s="16" t="str">
        <f t="shared" si="8"/>
        <v>tapl</v>
      </c>
    </row>
    <row r="135" spans="1:14" ht="15" thickBot="1" x14ac:dyDescent="0.4">
      <c r="A135" s="5">
        <v>1271</v>
      </c>
      <c r="B135" s="5" t="s">
        <v>40</v>
      </c>
      <c r="C135" s="5" t="s">
        <v>33</v>
      </c>
      <c r="D135" s="5" t="s">
        <v>34</v>
      </c>
      <c r="E135" s="5" t="s">
        <v>60</v>
      </c>
      <c r="F135" s="5">
        <v>20</v>
      </c>
      <c r="G135" s="5">
        <v>36941</v>
      </c>
      <c r="H135" s="5">
        <v>15</v>
      </c>
      <c r="I135" s="6">
        <v>46083</v>
      </c>
      <c r="J135" s="6">
        <v>46085</v>
      </c>
      <c r="K135" s="10" t="s">
        <v>29</v>
      </c>
      <c r="L135" s="14" t="str">
        <f t="shared" si="6"/>
        <v>Dee1271</v>
      </c>
      <c r="M135" s="15" t="str">
        <f t="shared" si="7"/>
        <v>Lapop</v>
      </c>
      <c r="N135" s="16" t="str">
        <f t="shared" si="8"/>
        <v>apto</v>
      </c>
    </row>
    <row r="136" spans="1:14" ht="15" thickBot="1" x14ac:dyDescent="0.4">
      <c r="A136" s="5">
        <v>1298</v>
      </c>
      <c r="B136" s="5" t="s">
        <v>21</v>
      </c>
      <c r="C136" s="5" t="s">
        <v>12</v>
      </c>
      <c r="D136" s="5" t="s">
        <v>34</v>
      </c>
      <c r="E136" s="5" t="s">
        <v>61</v>
      </c>
      <c r="F136" s="5">
        <v>19</v>
      </c>
      <c r="G136" s="5">
        <v>20745</v>
      </c>
      <c r="H136" s="5">
        <v>2</v>
      </c>
      <c r="I136" s="6">
        <v>46083</v>
      </c>
      <c r="J136" s="6">
        <v>46093</v>
      </c>
      <c r="K136" s="10" t="s">
        <v>24</v>
      </c>
      <c r="L136" s="14" t="str">
        <f t="shared" si="6"/>
        <v>Mee1298</v>
      </c>
      <c r="M136" s="15" t="str">
        <f t="shared" si="7"/>
        <v>Mouse</v>
      </c>
      <c r="N136" s="16" t="str">
        <f t="shared" si="8"/>
        <v>ouse</v>
      </c>
    </row>
    <row r="137" spans="1:14" ht="15" thickBot="1" x14ac:dyDescent="0.4">
      <c r="A137" s="5">
        <v>1078</v>
      </c>
      <c r="B137" s="5" t="s">
        <v>52</v>
      </c>
      <c r="C137" s="5" t="s">
        <v>17</v>
      </c>
      <c r="D137" s="5" t="s">
        <v>34</v>
      </c>
      <c r="E137" s="5" t="s">
        <v>39</v>
      </c>
      <c r="F137" s="5">
        <v>11</v>
      </c>
      <c r="G137" s="5">
        <v>24278</v>
      </c>
      <c r="H137" s="5">
        <v>12</v>
      </c>
      <c r="I137" s="6">
        <v>46084</v>
      </c>
      <c r="J137" s="6">
        <v>46090</v>
      </c>
      <c r="K137" s="10" t="s">
        <v>29</v>
      </c>
      <c r="L137" s="14" t="str">
        <f t="shared" si="6"/>
        <v>Kom1078</v>
      </c>
      <c r="M137" s="15" t="str">
        <f t="shared" si="7"/>
        <v>Keyrd</v>
      </c>
      <c r="N137" s="16" t="str">
        <f t="shared" si="8"/>
        <v>eybo</v>
      </c>
    </row>
    <row r="138" spans="1:14" ht="15" thickBot="1" x14ac:dyDescent="0.4">
      <c r="A138" s="5">
        <v>1138</v>
      </c>
      <c r="B138" s="5" t="s">
        <v>55</v>
      </c>
      <c r="C138" s="5" t="s">
        <v>43</v>
      </c>
      <c r="D138" s="5" t="s">
        <v>18</v>
      </c>
      <c r="E138" s="5" t="s">
        <v>19</v>
      </c>
      <c r="F138" s="5">
        <v>5</v>
      </c>
      <c r="G138" s="5">
        <v>14466</v>
      </c>
      <c r="H138" s="5">
        <v>2</v>
      </c>
      <c r="I138" s="6">
        <v>46084</v>
      </c>
      <c r="J138" s="6">
        <v>46092</v>
      </c>
      <c r="K138" s="10" t="s">
        <v>51</v>
      </c>
      <c r="L138" s="14" t="str">
        <f t="shared" si="6"/>
        <v>Sne1138</v>
      </c>
      <c r="M138" s="15" t="str">
        <f t="shared" si="7"/>
        <v>Dessk</v>
      </c>
      <c r="N138" s="16" t="str">
        <f t="shared" si="8"/>
        <v>esk</v>
      </c>
    </row>
    <row r="139" spans="1:14" ht="15" thickBot="1" x14ac:dyDescent="0.4">
      <c r="A139" s="5">
        <v>1280</v>
      </c>
      <c r="B139" s="5" t="s">
        <v>59</v>
      </c>
      <c r="C139" s="5" t="s">
        <v>38</v>
      </c>
      <c r="D139" s="5" t="s">
        <v>13</v>
      </c>
      <c r="E139" s="5" t="s">
        <v>53</v>
      </c>
      <c r="F139" s="5">
        <v>9</v>
      </c>
      <c r="G139" s="5">
        <v>50</v>
      </c>
      <c r="H139" s="5">
        <v>7</v>
      </c>
      <c r="I139" s="6">
        <v>46085</v>
      </c>
      <c r="J139" s="6">
        <v>46095</v>
      </c>
      <c r="K139" s="10" t="s">
        <v>51</v>
      </c>
      <c r="L139" s="14" t="str">
        <f t="shared" si="6"/>
        <v>Ani1280</v>
      </c>
      <c r="M139" s="15" t="str">
        <f t="shared" si="7"/>
        <v>Diary</v>
      </c>
      <c r="N139" s="16" t="str">
        <f t="shared" si="8"/>
        <v>iary</v>
      </c>
    </row>
    <row r="140" spans="1:14" ht="15" thickBot="1" x14ac:dyDescent="0.4">
      <c r="A140" s="5">
        <v>1012</v>
      </c>
      <c r="B140" s="5" t="s">
        <v>26</v>
      </c>
      <c r="C140" s="5" t="s">
        <v>38</v>
      </c>
      <c r="D140" s="5" t="s">
        <v>34</v>
      </c>
      <c r="E140" s="5" t="s">
        <v>39</v>
      </c>
      <c r="F140" s="5">
        <v>3</v>
      </c>
      <c r="G140" s="5">
        <v>64615</v>
      </c>
      <c r="H140" s="5">
        <v>10</v>
      </c>
      <c r="I140" s="6">
        <v>46086</v>
      </c>
      <c r="J140" s="6">
        <v>46095</v>
      </c>
      <c r="K140" s="10" t="s">
        <v>29</v>
      </c>
      <c r="L140" s="14" t="str">
        <f t="shared" si="6"/>
        <v>Vik1012</v>
      </c>
      <c r="M140" s="15" t="str">
        <f t="shared" si="7"/>
        <v>Keyrd</v>
      </c>
      <c r="N140" s="16" t="str">
        <f t="shared" si="8"/>
        <v>eybo</v>
      </c>
    </row>
    <row r="141" spans="1:14" ht="15" thickBot="1" x14ac:dyDescent="0.4">
      <c r="A141" s="5">
        <v>1336</v>
      </c>
      <c r="B141" s="5" t="s">
        <v>16</v>
      </c>
      <c r="C141" s="5" t="s">
        <v>25</v>
      </c>
      <c r="D141" s="5" t="s">
        <v>18</v>
      </c>
      <c r="E141" s="5" t="s">
        <v>56</v>
      </c>
      <c r="F141" s="5">
        <v>10</v>
      </c>
      <c r="G141" s="5">
        <v>5624</v>
      </c>
      <c r="H141" s="5">
        <v>0</v>
      </c>
      <c r="I141" s="6">
        <v>46086</v>
      </c>
      <c r="J141" s="6">
        <v>46092</v>
      </c>
      <c r="K141" s="10" t="s">
        <v>29</v>
      </c>
      <c r="L141" s="14" t="str">
        <f t="shared" si="6"/>
        <v>Poo1336</v>
      </c>
      <c r="M141" s="15" t="str">
        <f t="shared" si="7"/>
        <v>Cabet</v>
      </c>
      <c r="N141" s="16" t="str">
        <f t="shared" si="8"/>
        <v>abin</v>
      </c>
    </row>
    <row r="142" spans="1:14" ht="15" thickBot="1" x14ac:dyDescent="0.4">
      <c r="A142" s="5">
        <v>1277</v>
      </c>
      <c r="B142" s="5" t="s">
        <v>59</v>
      </c>
      <c r="C142" s="5" t="s">
        <v>17</v>
      </c>
      <c r="D142" s="5" t="s">
        <v>13</v>
      </c>
      <c r="E142" s="5" t="s">
        <v>36</v>
      </c>
      <c r="F142" s="5">
        <v>14</v>
      </c>
      <c r="G142" s="5">
        <v>276</v>
      </c>
      <c r="H142" s="5">
        <v>0</v>
      </c>
      <c r="I142" s="6">
        <v>46086</v>
      </c>
      <c r="J142" s="6">
        <v>46089</v>
      </c>
      <c r="K142" s="10" t="s">
        <v>15</v>
      </c>
      <c r="L142" s="14" t="str">
        <f t="shared" si="6"/>
        <v>Ani1277</v>
      </c>
      <c r="M142" s="15" t="str">
        <f t="shared" si="7"/>
        <v>Staer</v>
      </c>
      <c r="N142" s="16" t="str">
        <f t="shared" si="8"/>
        <v>tapl</v>
      </c>
    </row>
    <row r="143" spans="1:14" ht="15" thickBot="1" x14ac:dyDescent="0.4">
      <c r="A143" s="5">
        <v>1090</v>
      </c>
      <c r="B143" s="5" t="s">
        <v>49</v>
      </c>
      <c r="C143" s="5" t="s">
        <v>31</v>
      </c>
      <c r="D143" s="5" t="s">
        <v>34</v>
      </c>
      <c r="E143" s="5" t="s">
        <v>45</v>
      </c>
      <c r="F143" s="5">
        <v>19</v>
      </c>
      <c r="G143" s="5">
        <v>66139</v>
      </c>
      <c r="H143" s="5">
        <v>5</v>
      </c>
      <c r="I143" s="6">
        <v>46088</v>
      </c>
      <c r="J143" s="6">
        <v>46095</v>
      </c>
      <c r="K143" s="10" t="s">
        <v>24</v>
      </c>
      <c r="L143" s="14" t="str">
        <f t="shared" si="6"/>
        <v>Aja1090</v>
      </c>
      <c r="M143" s="15" t="str">
        <f t="shared" si="7"/>
        <v>Monor</v>
      </c>
      <c r="N143" s="16" t="str">
        <f t="shared" si="8"/>
        <v>onit</v>
      </c>
    </row>
    <row r="144" spans="1:14" ht="15" thickBot="1" x14ac:dyDescent="0.4">
      <c r="A144" s="5">
        <v>1175</v>
      </c>
      <c r="B144" s="5" t="s">
        <v>26</v>
      </c>
      <c r="C144" s="5" t="s">
        <v>17</v>
      </c>
      <c r="D144" s="5" t="s">
        <v>34</v>
      </c>
      <c r="E144" s="5" t="s">
        <v>41</v>
      </c>
      <c r="F144" s="5">
        <v>10</v>
      </c>
      <c r="G144" s="5">
        <v>20339</v>
      </c>
      <c r="H144" s="5">
        <v>2</v>
      </c>
      <c r="I144" s="6">
        <v>46088</v>
      </c>
      <c r="J144" s="6">
        <v>46094</v>
      </c>
      <c r="K144" s="10" t="s">
        <v>20</v>
      </c>
      <c r="L144" s="14" t="str">
        <f t="shared" si="6"/>
        <v>Vik1175</v>
      </c>
      <c r="M144" s="15" t="str">
        <f t="shared" si="7"/>
        <v>Heaet</v>
      </c>
      <c r="N144" s="16" t="str">
        <f t="shared" si="8"/>
        <v>eads</v>
      </c>
    </row>
    <row r="145" spans="1:14" ht="15" thickBot="1" x14ac:dyDescent="0.4">
      <c r="A145" s="5">
        <v>1097</v>
      </c>
      <c r="B145" s="5" t="s">
        <v>52</v>
      </c>
      <c r="C145" s="5" t="s">
        <v>22</v>
      </c>
      <c r="D145" s="5" t="s">
        <v>34</v>
      </c>
      <c r="E145" s="5" t="s">
        <v>61</v>
      </c>
      <c r="F145" s="5">
        <v>10</v>
      </c>
      <c r="G145" s="5">
        <v>28980</v>
      </c>
      <c r="H145" s="5">
        <v>10</v>
      </c>
      <c r="I145" s="6">
        <v>46089</v>
      </c>
      <c r="J145" s="6">
        <v>46094</v>
      </c>
      <c r="K145" s="10" t="s">
        <v>24</v>
      </c>
      <c r="L145" s="14" t="str">
        <f t="shared" si="6"/>
        <v>Kom1097</v>
      </c>
      <c r="M145" s="15" t="str">
        <f t="shared" si="7"/>
        <v>Mouse</v>
      </c>
      <c r="N145" s="16" t="str">
        <f t="shared" si="8"/>
        <v>ouse</v>
      </c>
    </row>
    <row r="146" spans="1:14" ht="15" thickBot="1" x14ac:dyDescent="0.4">
      <c r="A146" s="5">
        <v>1381</v>
      </c>
      <c r="B146" s="5" t="s">
        <v>55</v>
      </c>
      <c r="C146" s="5" t="s">
        <v>33</v>
      </c>
      <c r="D146" s="5" t="s">
        <v>18</v>
      </c>
      <c r="E146" s="5" t="s">
        <v>28</v>
      </c>
      <c r="F146" s="5">
        <v>5</v>
      </c>
      <c r="G146" s="5">
        <v>7484</v>
      </c>
      <c r="H146" s="5">
        <v>2</v>
      </c>
      <c r="I146" s="6">
        <v>46089</v>
      </c>
      <c r="J146" s="6">
        <v>46093</v>
      </c>
      <c r="K146" s="10" t="s">
        <v>20</v>
      </c>
      <c r="L146" s="14" t="str">
        <f t="shared" si="6"/>
        <v>Sne1381</v>
      </c>
      <c r="M146" s="15" t="str">
        <f t="shared" si="7"/>
        <v>Chair</v>
      </c>
      <c r="N146" s="16" t="str">
        <f t="shared" si="8"/>
        <v>hair</v>
      </c>
    </row>
    <row r="147" spans="1:14" ht="15" thickBot="1" x14ac:dyDescent="0.4">
      <c r="A147" s="5">
        <v>1018</v>
      </c>
      <c r="B147" s="5" t="s">
        <v>47</v>
      </c>
      <c r="C147" s="5" t="s">
        <v>25</v>
      </c>
      <c r="D147" s="5" t="s">
        <v>13</v>
      </c>
      <c r="E147" s="5" t="s">
        <v>14</v>
      </c>
      <c r="F147" s="5">
        <v>20</v>
      </c>
      <c r="G147" s="5">
        <v>301</v>
      </c>
      <c r="H147" s="5">
        <v>0</v>
      </c>
      <c r="I147" s="6">
        <v>46089</v>
      </c>
      <c r="J147" s="6">
        <v>46094</v>
      </c>
      <c r="K147" s="10" t="s">
        <v>29</v>
      </c>
      <c r="L147" s="14" t="str">
        <f t="shared" si="6"/>
        <v>Yas1018</v>
      </c>
      <c r="M147" s="15" t="str">
        <f t="shared" si="7"/>
        <v>Notok</v>
      </c>
      <c r="N147" s="16" t="str">
        <f t="shared" si="8"/>
        <v>oteb</v>
      </c>
    </row>
    <row r="148" spans="1:14" ht="15" thickBot="1" x14ac:dyDescent="0.4">
      <c r="A148" s="5">
        <v>1031</v>
      </c>
      <c r="B148" s="5" t="s">
        <v>54</v>
      </c>
      <c r="C148" s="5" t="s">
        <v>31</v>
      </c>
      <c r="D148" s="5" t="s">
        <v>13</v>
      </c>
      <c r="E148" s="5" t="s">
        <v>53</v>
      </c>
      <c r="F148" s="5">
        <v>2</v>
      </c>
      <c r="G148" s="5">
        <v>184</v>
      </c>
      <c r="H148" s="5">
        <v>5</v>
      </c>
      <c r="I148" s="6">
        <v>46089</v>
      </c>
      <c r="J148" s="6">
        <v>46093</v>
      </c>
      <c r="K148" s="10" t="s">
        <v>20</v>
      </c>
      <c r="L148" s="14" t="str">
        <f t="shared" si="6"/>
        <v>Man1031</v>
      </c>
      <c r="M148" s="15" t="str">
        <f t="shared" si="7"/>
        <v>Diary</v>
      </c>
      <c r="N148" s="16" t="str">
        <f t="shared" si="8"/>
        <v>iary</v>
      </c>
    </row>
    <row r="149" spans="1:14" ht="15" thickBot="1" x14ac:dyDescent="0.4">
      <c r="A149" s="5">
        <v>1399</v>
      </c>
      <c r="B149" s="5" t="s">
        <v>48</v>
      </c>
      <c r="C149" s="5" t="s">
        <v>31</v>
      </c>
      <c r="D149" s="5" t="s">
        <v>13</v>
      </c>
      <c r="E149" s="5" t="s">
        <v>14</v>
      </c>
      <c r="F149" s="5">
        <v>15</v>
      </c>
      <c r="G149" s="5">
        <v>87</v>
      </c>
      <c r="H149" s="5">
        <v>15</v>
      </c>
      <c r="I149" s="6">
        <v>46089</v>
      </c>
      <c r="J149" s="6">
        <v>46093</v>
      </c>
      <c r="K149" s="10" t="s">
        <v>20</v>
      </c>
      <c r="L149" s="14" t="str">
        <f t="shared" si="6"/>
        <v>Nit1399</v>
      </c>
      <c r="M149" s="15" t="str">
        <f t="shared" si="7"/>
        <v>Notok</v>
      </c>
      <c r="N149" s="16" t="str">
        <f t="shared" si="8"/>
        <v>oteb</v>
      </c>
    </row>
    <row r="150" spans="1:14" ht="15" thickBot="1" x14ac:dyDescent="0.4">
      <c r="A150" s="5">
        <v>1192</v>
      </c>
      <c r="B150" s="5" t="s">
        <v>21</v>
      </c>
      <c r="C150" s="5" t="s">
        <v>33</v>
      </c>
      <c r="D150" s="5" t="s">
        <v>13</v>
      </c>
      <c r="E150" s="5" t="s">
        <v>53</v>
      </c>
      <c r="F150" s="5">
        <v>18</v>
      </c>
      <c r="G150" s="5">
        <v>49</v>
      </c>
      <c r="H150" s="5">
        <v>12</v>
      </c>
      <c r="I150" s="6">
        <v>46089</v>
      </c>
      <c r="J150" s="6">
        <v>46095</v>
      </c>
      <c r="K150" s="10" t="s">
        <v>24</v>
      </c>
      <c r="L150" s="14" t="str">
        <f t="shared" si="6"/>
        <v>Mee1192</v>
      </c>
      <c r="M150" s="15" t="str">
        <f t="shared" si="7"/>
        <v>Diary</v>
      </c>
      <c r="N150" s="16" t="str">
        <f t="shared" si="8"/>
        <v>iary</v>
      </c>
    </row>
    <row r="151" spans="1:14" ht="15" thickBot="1" x14ac:dyDescent="0.4">
      <c r="A151" s="5">
        <v>1400</v>
      </c>
      <c r="B151" s="5" t="s">
        <v>40</v>
      </c>
      <c r="C151" s="5" t="s">
        <v>22</v>
      </c>
      <c r="D151" s="5" t="s">
        <v>34</v>
      </c>
      <c r="E151" s="5" t="s">
        <v>35</v>
      </c>
      <c r="F151" s="5">
        <v>13</v>
      </c>
      <c r="G151" s="5">
        <v>52411</v>
      </c>
      <c r="H151" s="5">
        <v>15</v>
      </c>
      <c r="I151" s="6">
        <v>46090</v>
      </c>
      <c r="J151" s="6">
        <v>46092</v>
      </c>
      <c r="K151" s="10" t="s">
        <v>20</v>
      </c>
      <c r="L151" s="14" t="str">
        <f t="shared" si="6"/>
        <v>Dee1400</v>
      </c>
      <c r="M151" s="15" t="str">
        <f t="shared" si="7"/>
        <v>Prier</v>
      </c>
      <c r="N151" s="16" t="str">
        <f t="shared" si="8"/>
        <v>rint</v>
      </c>
    </row>
    <row r="152" spans="1:14" ht="15" thickBot="1" x14ac:dyDescent="0.4">
      <c r="A152" s="5">
        <v>1112</v>
      </c>
      <c r="B152" s="5" t="s">
        <v>21</v>
      </c>
      <c r="C152" s="5" t="s">
        <v>43</v>
      </c>
      <c r="D152" s="5" t="s">
        <v>18</v>
      </c>
      <c r="E152" s="5" t="s">
        <v>44</v>
      </c>
      <c r="F152" s="5">
        <v>7</v>
      </c>
      <c r="G152" s="5">
        <v>1959</v>
      </c>
      <c r="H152" s="5">
        <v>15</v>
      </c>
      <c r="I152" s="6">
        <v>46090</v>
      </c>
      <c r="J152" s="6">
        <v>46100</v>
      </c>
      <c r="K152" s="10" t="s">
        <v>15</v>
      </c>
      <c r="L152" s="14" t="str">
        <f t="shared" si="6"/>
        <v>Mee1112</v>
      </c>
      <c r="M152" s="15" t="str">
        <f t="shared" si="7"/>
        <v>Boolf</v>
      </c>
      <c r="N152" s="16" t="str">
        <f t="shared" si="8"/>
        <v>ooks</v>
      </c>
    </row>
    <row r="153" spans="1:14" ht="15" thickBot="1" x14ac:dyDescent="0.4">
      <c r="A153" s="5">
        <v>1043</v>
      </c>
      <c r="B153" s="5" t="s">
        <v>49</v>
      </c>
      <c r="C153" s="5" t="s">
        <v>38</v>
      </c>
      <c r="D153" s="5" t="s">
        <v>34</v>
      </c>
      <c r="E153" s="5" t="s">
        <v>35</v>
      </c>
      <c r="F153" s="5">
        <v>20</v>
      </c>
      <c r="G153" s="5">
        <v>46093</v>
      </c>
      <c r="H153" s="5">
        <v>5</v>
      </c>
      <c r="I153" s="6">
        <v>46091</v>
      </c>
      <c r="J153" s="6">
        <v>46098</v>
      </c>
      <c r="K153" s="10" t="s">
        <v>29</v>
      </c>
      <c r="L153" s="14" t="str">
        <f t="shared" si="6"/>
        <v>Aja1043</v>
      </c>
      <c r="M153" s="15" t="str">
        <f t="shared" si="7"/>
        <v>Prier</v>
      </c>
      <c r="N153" s="16" t="str">
        <f t="shared" si="8"/>
        <v>rint</v>
      </c>
    </row>
    <row r="154" spans="1:14" ht="15" thickBot="1" x14ac:dyDescent="0.4">
      <c r="A154" s="5">
        <v>1255</v>
      </c>
      <c r="B154" s="5" t="s">
        <v>32</v>
      </c>
      <c r="C154" s="5" t="s">
        <v>17</v>
      </c>
      <c r="D154" s="5" t="s">
        <v>18</v>
      </c>
      <c r="E154" s="5" t="s">
        <v>19</v>
      </c>
      <c r="F154" s="5">
        <v>1</v>
      </c>
      <c r="G154" s="5">
        <v>2240</v>
      </c>
      <c r="H154" s="5">
        <v>5</v>
      </c>
      <c r="I154" s="6">
        <v>46091</v>
      </c>
      <c r="J154" s="6">
        <v>46095</v>
      </c>
      <c r="K154" s="10" t="s">
        <v>20</v>
      </c>
      <c r="L154" s="14" t="str">
        <f t="shared" si="6"/>
        <v>Ash1255</v>
      </c>
      <c r="M154" s="15" t="str">
        <f t="shared" si="7"/>
        <v>Dessk</v>
      </c>
      <c r="N154" s="16" t="str">
        <f t="shared" si="8"/>
        <v>esk</v>
      </c>
    </row>
    <row r="155" spans="1:14" ht="15" thickBot="1" x14ac:dyDescent="0.4">
      <c r="A155" s="5">
        <v>1106</v>
      </c>
      <c r="B155" s="5" t="s">
        <v>27</v>
      </c>
      <c r="C155" s="5" t="s">
        <v>43</v>
      </c>
      <c r="D155" s="5" t="s">
        <v>18</v>
      </c>
      <c r="E155" s="5" t="s">
        <v>23</v>
      </c>
      <c r="F155" s="5">
        <v>20</v>
      </c>
      <c r="G155" s="5">
        <v>2141</v>
      </c>
      <c r="H155" s="5">
        <v>2</v>
      </c>
      <c r="I155" s="6">
        <v>46091</v>
      </c>
      <c r="J155" s="6">
        <v>46097</v>
      </c>
      <c r="K155" s="10" t="s">
        <v>29</v>
      </c>
      <c r="L155" s="14" t="str">
        <f t="shared" si="6"/>
        <v>Arj1106</v>
      </c>
      <c r="M155" s="15" t="str">
        <f t="shared" si="7"/>
        <v>Table</v>
      </c>
      <c r="N155" s="16" t="str">
        <f t="shared" si="8"/>
        <v>able</v>
      </c>
    </row>
    <row r="156" spans="1:14" ht="15" thickBot="1" x14ac:dyDescent="0.4">
      <c r="A156" s="5">
        <v>1275</v>
      </c>
      <c r="B156" s="5" t="s">
        <v>16</v>
      </c>
      <c r="C156" s="5" t="s">
        <v>31</v>
      </c>
      <c r="D156" s="5" t="s">
        <v>13</v>
      </c>
      <c r="E156" s="5" t="s">
        <v>50</v>
      </c>
      <c r="F156" s="5">
        <v>20</v>
      </c>
      <c r="G156" s="5">
        <v>451</v>
      </c>
      <c r="H156" s="5">
        <v>15</v>
      </c>
      <c r="I156" s="6">
        <v>46092</v>
      </c>
      <c r="J156" s="6">
        <v>46094</v>
      </c>
      <c r="K156" s="10" t="s">
        <v>20</v>
      </c>
      <c r="L156" s="14" t="str">
        <f t="shared" si="6"/>
        <v>Poo1275</v>
      </c>
      <c r="M156" s="15" t="str">
        <f t="shared" si="7"/>
        <v>Marer</v>
      </c>
      <c r="N156" s="16" t="str">
        <f t="shared" si="8"/>
        <v>arke</v>
      </c>
    </row>
    <row r="157" spans="1:14" ht="15" thickBot="1" x14ac:dyDescent="0.4">
      <c r="A157" s="5">
        <v>1166</v>
      </c>
      <c r="B157" s="5" t="s">
        <v>32</v>
      </c>
      <c r="C157" s="5" t="s">
        <v>31</v>
      </c>
      <c r="D157" s="5" t="s">
        <v>13</v>
      </c>
      <c r="E157" s="5" t="s">
        <v>37</v>
      </c>
      <c r="F157" s="5">
        <v>1</v>
      </c>
      <c r="G157" s="5">
        <v>396</v>
      </c>
      <c r="H157" s="5">
        <v>5</v>
      </c>
      <c r="I157" s="6">
        <v>46092</v>
      </c>
      <c r="J157" s="6">
        <v>46093</v>
      </c>
      <c r="K157" s="10" t="s">
        <v>20</v>
      </c>
      <c r="L157" s="14" t="str">
        <f t="shared" si="6"/>
        <v>Ash1166</v>
      </c>
      <c r="M157" s="15" t="str">
        <f t="shared" si="7"/>
        <v>Penck</v>
      </c>
      <c r="N157" s="16" t="str">
        <f t="shared" si="8"/>
        <v>en P</v>
      </c>
    </row>
    <row r="158" spans="1:14" ht="15" thickBot="1" x14ac:dyDescent="0.4">
      <c r="A158" s="5">
        <v>1139</v>
      </c>
      <c r="B158" s="5" t="s">
        <v>55</v>
      </c>
      <c r="C158" s="5" t="s">
        <v>33</v>
      </c>
      <c r="D158" s="5" t="s">
        <v>34</v>
      </c>
      <c r="E158" s="5" t="s">
        <v>61</v>
      </c>
      <c r="F158" s="5">
        <v>17</v>
      </c>
      <c r="G158" s="5">
        <v>28839</v>
      </c>
      <c r="H158" s="5">
        <v>10</v>
      </c>
      <c r="I158" s="6">
        <v>46093</v>
      </c>
      <c r="J158" s="6">
        <v>46099</v>
      </c>
      <c r="K158" s="10" t="s">
        <v>15</v>
      </c>
      <c r="L158" s="14" t="str">
        <f t="shared" si="6"/>
        <v>Sne1139</v>
      </c>
      <c r="M158" s="15" t="str">
        <f t="shared" si="7"/>
        <v>Mouse</v>
      </c>
      <c r="N158" s="16" t="str">
        <f t="shared" si="8"/>
        <v>ouse</v>
      </c>
    </row>
    <row r="159" spans="1:14" ht="15" thickBot="1" x14ac:dyDescent="0.4">
      <c r="A159" s="5">
        <v>1155</v>
      </c>
      <c r="B159" s="5" t="s">
        <v>11</v>
      </c>
      <c r="C159" s="5" t="s">
        <v>31</v>
      </c>
      <c r="D159" s="5" t="s">
        <v>18</v>
      </c>
      <c r="E159" s="5" t="s">
        <v>28</v>
      </c>
      <c r="F159" s="5">
        <v>13</v>
      </c>
      <c r="G159" s="5">
        <v>4341</v>
      </c>
      <c r="H159" s="5">
        <v>15</v>
      </c>
      <c r="I159" s="6">
        <v>46093</v>
      </c>
      <c r="J159" s="6">
        <v>46096</v>
      </c>
      <c r="K159" s="10" t="s">
        <v>24</v>
      </c>
      <c r="L159" s="14" t="str">
        <f t="shared" si="6"/>
        <v>Rit1155</v>
      </c>
      <c r="M159" s="15" t="str">
        <f t="shared" si="7"/>
        <v>Chair</v>
      </c>
      <c r="N159" s="16" t="str">
        <f t="shared" si="8"/>
        <v>hair</v>
      </c>
    </row>
    <row r="160" spans="1:14" ht="15" thickBot="1" x14ac:dyDescent="0.4">
      <c r="A160" s="5">
        <v>1319</v>
      </c>
      <c r="B160" s="5" t="s">
        <v>21</v>
      </c>
      <c r="C160" s="5" t="s">
        <v>17</v>
      </c>
      <c r="D160" s="5" t="s">
        <v>34</v>
      </c>
      <c r="E160" s="5" t="s">
        <v>61</v>
      </c>
      <c r="F160" s="5">
        <v>17</v>
      </c>
      <c r="G160" s="5">
        <v>58407</v>
      </c>
      <c r="H160" s="5">
        <v>7</v>
      </c>
      <c r="I160" s="6">
        <v>46094</v>
      </c>
      <c r="J160" s="6">
        <v>46102</v>
      </c>
      <c r="K160" s="10" t="s">
        <v>15</v>
      </c>
      <c r="L160" s="14" t="str">
        <f t="shared" si="6"/>
        <v>Mee1319</v>
      </c>
      <c r="M160" s="15" t="str">
        <f t="shared" si="7"/>
        <v>Mouse</v>
      </c>
      <c r="N160" s="16" t="str">
        <f t="shared" si="8"/>
        <v>ouse</v>
      </c>
    </row>
    <row r="161" spans="1:14" ht="15" thickBot="1" x14ac:dyDescent="0.4">
      <c r="A161" s="5">
        <v>1388</v>
      </c>
      <c r="B161" s="5" t="s">
        <v>55</v>
      </c>
      <c r="C161" s="5" t="s">
        <v>31</v>
      </c>
      <c r="D161" s="5" t="s">
        <v>18</v>
      </c>
      <c r="E161" s="5" t="s">
        <v>28</v>
      </c>
      <c r="F161" s="5">
        <v>12</v>
      </c>
      <c r="G161" s="5">
        <v>11662</v>
      </c>
      <c r="H161" s="5">
        <v>12</v>
      </c>
      <c r="I161" s="6">
        <v>46094</v>
      </c>
      <c r="J161" s="6">
        <v>46096</v>
      </c>
      <c r="K161" s="10" t="s">
        <v>20</v>
      </c>
      <c r="L161" s="14" t="str">
        <f t="shared" si="6"/>
        <v>Sne1388</v>
      </c>
      <c r="M161" s="15" t="str">
        <f t="shared" si="7"/>
        <v>Chair</v>
      </c>
      <c r="N161" s="16" t="str">
        <f t="shared" si="8"/>
        <v>hair</v>
      </c>
    </row>
    <row r="162" spans="1:14" ht="15" thickBot="1" x14ac:dyDescent="0.4">
      <c r="A162" s="5">
        <v>1362</v>
      </c>
      <c r="B162" s="5" t="s">
        <v>16</v>
      </c>
      <c r="C162" s="5" t="s">
        <v>12</v>
      </c>
      <c r="D162" s="5" t="s">
        <v>18</v>
      </c>
      <c r="E162" s="5" t="s">
        <v>28</v>
      </c>
      <c r="F162" s="5">
        <v>1</v>
      </c>
      <c r="G162" s="5">
        <v>10474</v>
      </c>
      <c r="H162" s="5">
        <v>0</v>
      </c>
      <c r="I162" s="6">
        <v>46094</v>
      </c>
      <c r="J162" s="6">
        <v>46096</v>
      </c>
      <c r="K162" s="10" t="s">
        <v>29</v>
      </c>
      <c r="L162" s="14" t="str">
        <f t="shared" si="6"/>
        <v>Poo1362</v>
      </c>
      <c r="M162" s="15" t="str">
        <f t="shared" si="7"/>
        <v>Chair</v>
      </c>
      <c r="N162" s="16" t="str">
        <f t="shared" si="8"/>
        <v>hair</v>
      </c>
    </row>
    <row r="163" spans="1:14" ht="15" thickBot="1" x14ac:dyDescent="0.4">
      <c r="A163" s="5">
        <v>1345</v>
      </c>
      <c r="B163" s="5" t="s">
        <v>32</v>
      </c>
      <c r="C163" s="5" t="s">
        <v>12</v>
      </c>
      <c r="D163" s="5" t="s">
        <v>34</v>
      </c>
      <c r="E163" s="5" t="s">
        <v>45</v>
      </c>
      <c r="F163" s="5">
        <v>12</v>
      </c>
      <c r="G163" s="5">
        <v>50544</v>
      </c>
      <c r="H163" s="5">
        <v>10</v>
      </c>
      <c r="I163" s="6">
        <v>46095</v>
      </c>
      <c r="J163" s="6">
        <v>46097</v>
      </c>
      <c r="K163" s="10" t="s">
        <v>29</v>
      </c>
      <c r="L163" s="14" t="str">
        <f t="shared" si="6"/>
        <v>Ash1345</v>
      </c>
      <c r="M163" s="15" t="str">
        <f t="shared" si="7"/>
        <v>Monor</v>
      </c>
      <c r="N163" s="16" t="str">
        <f t="shared" si="8"/>
        <v>onit</v>
      </c>
    </row>
    <row r="164" spans="1:14" ht="15" thickBot="1" x14ac:dyDescent="0.4">
      <c r="A164" s="5">
        <v>1013</v>
      </c>
      <c r="B164" s="5" t="s">
        <v>16</v>
      </c>
      <c r="C164" s="5" t="s">
        <v>31</v>
      </c>
      <c r="D164" s="5" t="s">
        <v>13</v>
      </c>
      <c r="E164" s="5" t="s">
        <v>36</v>
      </c>
      <c r="F164" s="5">
        <v>17</v>
      </c>
      <c r="G164" s="5">
        <v>459</v>
      </c>
      <c r="H164" s="5">
        <v>12</v>
      </c>
      <c r="I164" s="6">
        <v>46095</v>
      </c>
      <c r="J164" s="6">
        <v>46105</v>
      </c>
      <c r="K164" s="10" t="s">
        <v>29</v>
      </c>
      <c r="L164" s="14" t="str">
        <f t="shared" si="6"/>
        <v>Poo1013</v>
      </c>
      <c r="M164" s="15" t="str">
        <f t="shared" si="7"/>
        <v>Staer</v>
      </c>
      <c r="N164" s="16" t="str">
        <f t="shared" si="8"/>
        <v>tapl</v>
      </c>
    </row>
    <row r="165" spans="1:14" ht="15" thickBot="1" x14ac:dyDescent="0.4">
      <c r="A165" s="5">
        <v>1359</v>
      </c>
      <c r="B165" s="5" t="s">
        <v>54</v>
      </c>
      <c r="C165" s="5" t="s">
        <v>12</v>
      </c>
      <c r="D165" s="5" t="s">
        <v>34</v>
      </c>
      <c r="E165" s="5" t="s">
        <v>61</v>
      </c>
      <c r="F165" s="5">
        <v>9</v>
      </c>
      <c r="G165" s="5">
        <v>38179</v>
      </c>
      <c r="H165" s="5">
        <v>0</v>
      </c>
      <c r="I165" s="6">
        <v>46096</v>
      </c>
      <c r="J165" s="6">
        <v>46099</v>
      </c>
      <c r="K165" s="10" t="s">
        <v>15</v>
      </c>
      <c r="L165" s="14" t="str">
        <f t="shared" si="6"/>
        <v>Man1359</v>
      </c>
      <c r="M165" s="15" t="str">
        <f t="shared" si="7"/>
        <v>Mouse</v>
      </c>
      <c r="N165" s="16" t="str">
        <f t="shared" si="8"/>
        <v>ouse</v>
      </c>
    </row>
    <row r="166" spans="1:14" ht="15" thickBot="1" x14ac:dyDescent="0.4">
      <c r="A166" s="5">
        <v>1266</v>
      </c>
      <c r="B166" s="5" t="s">
        <v>29</v>
      </c>
      <c r="C166" s="5" t="s">
        <v>33</v>
      </c>
      <c r="D166" s="5" t="s">
        <v>13</v>
      </c>
      <c r="E166" s="5" t="s">
        <v>14</v>
      </c>
      <c r="F166" s="5">
        <v>17</v>
      </c>
      <c r="G166" s="5">
        <v>365</v>
      </c>
      <c r="H166" s="5">
        <v>2</v>
      </c>
      <c r="I166" s="6">
        <v>46096</v>
      </c>
      <c r="J166" s="6">
        <v>46104</v>
      </c>
      <c r="K166" s="10" t="s">
        <v>51</v>
      </c>
      <c r="L166" s="14" t="str">
        <f t="shared" si="6"/>
        <v>Pri1266</v>
      </c>
      <c r="M166" s="15" t="str">
        <f t="shared" si="7"/>
        <v>Notok</v>
      </c>
      <c r="N166" s="16" t="str">
        <f t="shared" si="8"/>
        <v>oteb</v>
      </c>
    </row>
    <row r="167" spans="1:14" ht="15" thickBot="1" x14ac:dyDescent="0.4">
      <c r="A167" s="5">
        <v>1238</v>
      </c>
      <c r="B167" s="5" t="s">
        <v>30</v>
      </c>
      <c r="C167" s="5" t="s">
        <v>31</v>
      </c>
      <c r="D167" s="5" t="s">
        <v>13</v>
      </c>
      <c r="E167" s="5" t="s">
        <v>14</v>
      </c>
      <c r="F167" s="5">
        <v>6</v>
      </c>
      <c r="G167" s="5">
        <v>180</v>
      </c>
      <c r="H167" s="5">
        <v>12</v>
      </c>
      <c r="I167" s="6">
        <v>46096</v>
      </c>
      <c r="J167" s="6">
        <v>46097</v>
      </c>
      <c r="K167" s="10" t="s">
        <v>51</v>
      </c>
      <c r="L167" s="14" t="str">
        <f t="shared" si="6"/>
        <v>Neh1238</v>
      </c>
      <c r="M167" s="15" t="str">
        <f t="shared" si="7"/>
        <v>Notok</v>
      </c>
      <c r="N167" s="16" t="str">
        <f t="shared" si="8"/>
        <v>oteb</v>
      </c>
    </row>
    <row r="168" spans="1:14" ht="15" thickBot="1" x14ac:dyDescent="0.4">
      <c r="A168" s="5">
        <v>1276</v>
      </c>
      <c r="B168" s="5" t="s">
        <v>40</v>
      </c>
      <c r="C168" s="5" t="s">
        <v>12</v>
      </c>
      <c r="D168" s="5" t="s">
        <v>18</v>
      </c>
      <c r="E168" s="5" t="s">
        <v>19</v>
      </c>
      <c r="F168" s="5">
        <v>1</v>
      </c>
      <c r="G168" s="5">
        <v>13437</v>
      </c>
      <c r="H168" s="5">
        <v>15</v>
      </c>
      <c r="I168" s="6">
        <v>46097</v>
      </c>
      <c r="J168" s="6">
        <v>46099</v>
      </c>
      <c r="K168" s="10" t="s">
        <v>24</v>
      </c>
      <c r="L168" s="14" t="str">
        <f t="shared" si="6"/>
        <v>Dee1276</v>
      </c>
      <c r="M168" s="15" t="str">
        <f t="shared" si="7"/>
        <v>Dessk</v>
      </c>
      <c r="N168" s="16" t="str">
        <f t="shared" si="8"/>
        <v>esk</v>
      </c>
    </row>
    <row r="169" spans="1:14" ht="15" thickBot="1" x14ac:dyDescent="0.4">
      <c r="A169" s="5">
        <v>1030</v>
      </c>
      <c r="B169" s="5" t="s">
        <v>52</v>
      </c>
      <c r="C169" s="5" t="s">
        <v>12</v>
      </c>
      <c r="D169" s="5" t="s">
        <v>13</v>
      </c>
      <c r="E169" s="5" t="s">
        <v>53</v>
      </c>
      <c r="F169" s="5">
        <v>13</v>
      </c>
      <c r="G169" s="5">
        <v>336</v>
      </c>
      <c r="H169" s="5">
        <v>10</v>
      </c>
      <c r="I169" s="6">
        <v>46098</v>
      </c>
      <c r="J169" s="6">
        <v>46108</v>
      </c>
      <c r="K169" s="10" t="s">
        <v>15</v>
      </c>
      <c r="L169" s="14" t="str">
        <f t="shared" si="6"/>
        <v>Kom1030</v>
      </c>
      <c r="M169" s="15" t="str">
        <f t="shared" si="7"/>
        <v>Diary</v>
      </c>
      <c r="N169" s="16" t="str">
        <f t="shared" si="8"/>
        <v>iary</v>
      </c>
    </row>
    <row r="170" spans="1:14" ht="15" thickBot="1" x14ac:dyDescent="0.4">
      <c r="A170" s="5">
        <v>1391</v>
      </c>
      <c r="B170" s="5" t="s">
        <v>30</v>
      </c>
      <c r="C170" s="5" t="s">
        <v>31</v>
      </c>
      <c r="D170" s="5" t="s">
        <v>34</v>
      </c>
      <c r="E170" s="5" t="s">
        <v>35</v>
      </c>
      <c r="F170" s="5">
        <v>5</v>
      </c>
      <c r="G170" s="5">
        <v>65270</v>
      </c>
      <c r="H170" s="5">
        <v>5</v>
      </c>
      <c r="I170" s="6">
        <v>46100</v>
      </c>
      <c r="J170" s="6">
        <v>46103</v>
      </c>
      <c r="K170" s="10" t="s">
        <v>24</v>
      </c>
      <c r="L170" s="14" t="str">
        <f t="shared" si="6"/>
        <v>Neh1391</v>
      </c>
      <c r="M170" s="15" t="str">
        <f t="shared" si="7"/>
        <v>Prier</v>
      </c>
      <c r="N170" s="16" t="str">
        <f t="shared" si="8"/>
        <v>rint</v>
      </c>
    </row>
    <row r="171" spans="1:14" ht="15" thickBot="1" x14ac:dyDescent="0.4">
      <c r="A171" s="5">
        <v>1162</v>
      </c>
      <c r="B171" s="5" t="s">
        <v>57</v>
      </c>
      <c r="C171" s="5" t="s">
        <v>31</v>
      </c>
      <c r="D171" s="5" t="s">
        <v>34</v>
      </c>
      <c r="E171" s="5" t="s">
        <v>45</v>
      </c>
      <c r="F171" s="5">
        <v>2</v>
      </c>
      <c r="G171" s="5">
        <v>28176</v>
      </c>
      <c r="H171" s="5">
        <v>10</v>
      </c>
      <c r="I171" s="6">
        <v>46100</v>
      </c>
      <c r="J171" s="6">
        <v>46101</v>
      </c>
      <c r="K171" s="10" t="s">
        <v>20</v>
      </c>
      <c r="L171" s="14" t="str">
        <f t="shared" si="6"/>
        <v>Sar1162</v>
      </c>
      <c r="M171" s="15" t="str">
        <f t="shared" si="7"/>
        <v>Monor</v>
      </c>
      <c r="N171" s="16" t="str">
        <f t="shared" si="8"/>
        <v>onit</v>
      </c>
    </row>
    <row r="172" spans="1:14" ht="15" thickBot="1" x14ac:dyDescent="0.4">
      <c r="A172" s="5">
        <v>1283</v>
      </c>
      <c r="B172" s="5" t="s">
        <v>40</v>
      </c>
      <c r="C172" s="5" t="s">
        <v>12</v>
      </c>
      <c r="D172" s="5" t="s">
        <v>18</v>
      </c>
      <c r="E172" s="5" t="s">
        <v>23</v>
      </c>
      <c r="F172" s="5">
        <v>6</v>
      </c>
      <c r="G172" s="5">
        <v>1167</v>
      </c>
      <c r="H172" s="5">
        <v>2</v>
      </c>
      <c r="I172" s="6">
        <v>46100</v>
      </c>
      <c r="J172" s="6">
        <v>46106</v>
      </c>
      <c r="K172" s="10" t="s">
        <v>15</v>
      </c>
      <c r="L172" s="14" t="str">
        <f t="shared" si="6"/>
        <v>Dee1283</v>
      </c>
      <c r="M172" s="15" t="str">
        <f t="shared" si="7"/>
        <v>Table</v>
      </c>
      <c r="N172" s="16" t="str">
        <f t="shared" si="8"/>
        <v>able</v>
      </c>
    </row>
    <row r="173" spans="1:14" ht="15" thickBot="1" x14ac:dyDescent="0.4">
      <c r="A173" s="5">
        <v>1094</v>
      </c>
      <c r="B173" s="5" t="s">
        <v>47</v>
      </c>
      <c r="C173" s="5" t="s">
        <v>43</v>
      </c>
      <c r="D173" s="5" t="s">
        <v>34</v>
      </c>
      <c r="E173" s="5" t="s">
        <v>61</v>
      </c>
      <c r="F173" s="5">
        <v>4</v>
      </c>
      <c r="G173" s="5">
        <v>7073</v>
      </c>
      <c r="H173" s="5">
        <v>0</v>
      </c>
      <c r="I173" s="6">
        <v>46101</v>
      </c>
      <c r="J173" s="6">
        <v>46105</v>
      </c>
      <c r="K173" s="10" t="s">
        <v>29</v>
      </c>
      <c r="L173" s="14" t="str">
        <f t="shared" si="6"/>
        <v>Yas1094</v>
      </c>
      <c r="M173" s="15" t="str">
        <f t="shared" si="7"/>
        <v>Mouse</v>
      </c>
      <c r="N173" s="16" t="str">
        <f t="shared" si="8"/>
        <v>ouse</v>
      </c>
    </row>
    <row r="174" spans="1:14" ht="15" thickBot="1" x14ac:dyDescent="0.4">
      <c r="A174" s="5">
        <v>1387</v>
      </c>
      <c r="B174" s="5" t="s">
        <v>54</v>
      </c>
      <c r="C174" s="5" t="s">
        <v>33</v>
      </c>
      <c r="D174" s="5" t="s">
        <v>34</v>
      </c>
      <c r="E174" s="5" t="s">
        <v>35</v>
      </c>
      <c r="F174" s="5">
        <v>11</v>
      </c>
      <c r="G174" s="5">
        <v>56515</v>
      </c>
      <c r="H174" s="5">
        <v>5</v>
      </c>
      <c r="I174" s="6">
        <v>46102</v>
      </c>
      <c r="J174" s="6">
        <v>46112</v>
      </c>
      <c r="K174" s="10" t="s">
        <v>24</v>
      </c>
      <c r="L174" s="14" t="str">
        <f t="shared" si="6"/>
        <v>Man1387</v>
      </c>
      <c r="M174" s="15" t="str">
        <f t="shared" si="7"/>
        <v>Prier</v>
      </c>
      <c r="N174" s="16" t="str">
        <f t="shared" si="8"/>
        <v>rint</v>
      </c>
    </row>
    <row r="175" spans="1:14" ht="15" thickBot="1" x14ac:dyDescent="0.4">
      <c r="A175" s="5">
        <v>1049</v>
      </c>
      <c r="B175" s="5" t="s">
        <v>52</v>
      </c>
      <c r="C175" s="5" t="s">
        <v>25</v>
      </c>
      <c r="D175" s="5" t="s">
        <v>34</v>
      </c>
      <c r="E175" s="5" t="s">
        <v>45</v>
      </c>
      <c r="F175" s="5">
        <v>2</v>
      </c>
      <c r="G175" s="5">
        <v>40789</v>
      </c>
      <c r="H175" s="5">
        <v>0</v>
      </c>
      <c r="I175" s="6">
        <v>46102</v>
      </c>
      <c r="J175" s="6">
        <v>46108</v>
      </c>
      <c r="K175" s="10" t="s">
        <v>24</v>
      </c>
      <c r="L175" s="14" t="str">
        <f t="shared" si="6"/>
        <v>Kom1049</v>
      </c>
      <c r="M175" s="15" t="str">
        <f t="shared" si="7"/>
        <v>Monor</v>
      </c>
      <c r="N175" s="16" t="str">
        <f t="shared" si="8"/>
        <v>onit</v>
      </c>
    </row>
    <row r="176" spans="1:14" ht="15" thickBot="1" x14ac:dyDescent="0.4">
      <c r="A176" s="5">
        <v>1145</v>
      </c>
      <c r="B176" s="5" t="s">
        <v>42</v>
      </c>
      <c r="C176" s="5" t="s">
        <v>33</v>
      </c>
      <c r="D176" s="5" t="s">
        <v>34</v>
      </c>
      <c r="E176" s="5" t="s">
        <v>39</v>
      </c>
      <c r="F176" s="5">
        <v>2</v>
      </c>
      <c r="G176" s="5">
        <v>34429</v>
      </c>
      <c r="H176" s="5">
        <v>12</v>
      </c>
      <c r="I176" s="6">
        <v>46102</v>
      </c>
      <c r="J176" s="6">
        <v>46112</v>
      </c>
      <c r="K176" s="10" t="s">
        <v>24</v>
      </c>
      <c r="L176" s="14" t="str">
        <f t="shared" si="6"/>
        <v>Nis1145</v>
      </c>
      <c r="M176" s="15" t="str">
        <f t="shared" si="7"/>
        <v>Keyrd</v>
      </c>
      <c r="N176" s="16" t="str">
        <f t="shared" si="8"/>
        <v>eybo</v>
      </c>
    </row>
    <row r="177" spans="1:14" ht="15" thickBot="1" x14ac:dyDescent="0.4">
      <c r="A177" s="5">
        <v>1121</v>
      </c>
      <c r="B177" s="5" t="s">
        <v>29</v>
      </c>
      <c r="C177" s="5" t="s">
        <v>12</v>
      </c>
      <c r="D177" s="5" t="s">
        <v>34</v>
      </c>
      <c r="E177" s="5" t="s">
        <v>39</v>
      </c>
      <c r="F177" s="5">
        <v>4</v>
      </c>
      <c r="G177" s="5">
        <v>55809</v>
      </c>
      <c r="H177" s="5">
        <v>2</v>
      </c>
      <c r="I177" s="6">
        <v>46103</v>
      </c>
      <c r="J177" s="6">
        <v>46108</v>
      </c>
      <c r="K177" s="10" t="s">
        <v>29</v>
      </c>
      <c r="L177" s="14" t="str">
        <f t="shared" si="6"/>
        <v>Pri1121</v>
      </c>
      <c r="M177" s="15" t="str">
        <f t="shared" si="7"/>
        <v>Keyrd</v>
      </c>
      <c r="N177" s="16" t="str">
        <f t="shared" si="8"/>
        <v>eybo</v>
      </c>
    </row>
    <row r="178" spans="1:14" ht="15" thickBot="1" x14ac:dyDescent="0.4">
      <c r="A178" s="5">
        <v>1209</v>
      </c>
      <c r="B178" s="5" t="s">
        <v>48</v>
      </c>
      <c r="C178" s="5" t="s">
        <v>38</v>
      </c>
      <c r="D178" s="5" t="s">
        <v>34</v>
      </c>
      <c r="E178" s="5" t="s">
        <v>35</v>
      </c>
      <c r="F178" s="5">
        <v>19</v>
      </c>
      <c r="G178" s="5">
        <v>20284</v>
      </c>
      <c r="H178" s="5">
        <v>10</v>
      </c>
      <c r="I178" s="6">
        <v>46103</v>
      </c>
      <c r="J178" s="6">
        <v>46110</v>
      </c>
      <c r="K178" s="10" t="s">
        <v>20</v>
      </c>
      <c r="L178" s="14" t="str">
        <f t="shared" si="6"/>
        <v>Nit1209</v>
      </c>
      <c r="M178" s="15" t="str">
        <f t="shared" si="7"/>
        <v>Prier</v>
      </c>
      <c r="N178" s="16" t="str">
        <f t="shared" si="8"/>
        <v>rint</v>
      </c>
    </row>
    <row r="179" spans="1:14" ht="15" thickBot="1" x14ac:dyDescent="0.4">
      <c r="A179" s="5">
        <v>1161</v>
      </c>
      <c r="B179" s="5" t="s">
        <v>27</v>
      </c>
      <c r="C179" s="5" t="s">
        <v>25</v>
      </c>
      <c r="D179" s="5" t="s">
        <v>34</v>
      </c>
      <c r="E179" s="5" t="s">
        <v>39</v>
      </c>
      <c r="F179" s="5">
        <v>4</v>
      </c>
      <c r="G179" s="5">
        <v>54659</v>
      </c>
      <c r="H179" s="5">
        <v>7</v>
      </c>
      <c r="I179" s="6">
        <v>46105</v>
      </c>
      <c r="J179" s="6">
        <v>46109</v>
      </c>
      <c r="K179" s="10" t="s">
        <v>20</v>
      </c>
      <c r="L179" s="14" t="str">
        <f t="shared" si="6"/>
        <v>Arj1161</v>
      </c>
      <c r="M179" s="15" t="str">
        <f t="shared" si="7"/>
        <v>Keyrd</v>
      </c>
      <c r="N179" s="16" t="str">
        <f t="shared" si="8"/>
        <v>eybo</v>
      </c>
    </row>
    <row r="180" spans="1:14" ht="15" thickBot="1" x14ac:dyDescent="0.4">
      <c r="A180" s="5">
        <v>1377</v>
      </c>
      <c r="B180" s="5" t="s">
        <v>32</v>
      </c>
      <c r="C180" s="5" t="s">
        <v>38</v>
      </c>
      <c r="D180" s="5" t="s">
        <v>18</v>
      </c>
      <c r="E180" s="5" t="s">
        <v>19</v>
      </c>
      <c r="F180" s="5">
        <v>3</v>
      </c>
      <c r="G180" s="5">
        <v>5480</v>
      </c>
      <c r="H180" s="5">
        <v>12</v>
      </c>
      <c r="I180" s="6">
        <v>46105</v>
      </c>
      <c r="J180" s="6">
        <v>46111</v>
      </c>
      <c r="K180" s="10" t="s">
        <v>24</v>
      </c>
      <c r="L180" s="14" t="str">
        <f t="shared" si="6"/>
        <v>Ash1377</v>
      </c>
      <c r="M180" s="15" t="str">
        <f t="shared" si="7"/>
        <v>Dessk</v>
      </c>
      <c r="N180" s="16" t="str">
        <f t="shared" si="8"/>
        <v>esk</v>
      </c>
    </row>
    <row r="181" spans="1:14" ht="15" thickBot="1" x14ac:dyDescent="0.4">
      <c r="A181" s="5">
        <v>1170</v>
      </c>
      <c r="B181" s="5" t="s">
        <v>49</v>
      </c>
      <c r="C181" s="5" t="s">
        <v>38</v>
      </c>
      <c r="D181" s="5" t="s">
        <v>13</v>
      </c>
      <c r="E181" s="5" t="s">
        <v>14</v>
      </c>
      <c r="F181" s="5">
        <v>6</v>
      </c>
      <c r="G181" s="5">
        <v>339</v>
      </c>
      <c r="H181" s="5">
        <v>12</v>
      </c>
      <c r="I181" s="6">
        <v>46105</v>
      </c>
      <c r="J181" s="6">
        <v>46106</v>
      </c>
      <c r="K181" s="10" t="s">
        <v>24</v>
      </c>
      <c r="L181" s="14" t="str">
        <f t="shared" si="6"/>
        <v>Aja1170</v>
      </c>
      <c r="M181" s="15" t="str">
        <f t="shared" si="7"/>
        <v>Notok</v>
      </c>
      <c r="N181" s="16" t="str">
        <f t="shared" si="8"/>
        <v>oteb</v>
      </c>
    </row>
    <row r="182" spans="1:14" ht="15" thickBot="1" x14ac:dyDescent="0.4">
      <c r="A182" s="5">
        <v>1102</v>
      </c>
      <c r="B182" s="5" t="s">
        <v>54</v>
      </c>
      <c r="C182" s="5" t="s">
        <v>25</v>
      </c>
      <c r="D182" s="5" t="s">
        <v>34</v>
      </c>
      <c r="E182" s="5" t="s">
        <v>45</v>
      </c>
      <c r="F182" s="5">
        <v>12</v>
      </c>
      <c r="G182" s="5">
        <v>63402</v>
      </c>
      <c r="H182" s="5">
        <v>7</v>
      </c>
      <c r="I182" s="6">
        <v>46106</v>
      </c>
      <c r="J182" s="6">
        <v>46113</v>
      </c>
      <c r="K182" s="10" t="s">
        <v>51</v>
      </c>
      <c r="L182" s="14" t="str">
        <f t="shared" si="6"/>
        <v>Man1102</v>
      </c>
      <c r="M182" s="15" t="str">
        <f t="shared" si="7"/>
        <v>Monor</v>
      </c>
      <c r="N182" s="16" t="str">
        <f t="shared" si="8"/>
        <v>onit</v>
      </c>
    </row>
    <row r="183" spans="1:14" ht="15" thickBot="1" x14ac:dyDescent="0.4">
      <c r="A183" s="5">
        <v>1198</v>
      </c>
      <c r="B183" s="5" t="s">
        <v>58</v>
      </c>
      <c r="C183" s="5" t="s">
        <v>12</v>
      </c>
      <c r="D183" s="5" t="s">
        <v>13</v>
      </c>
      <c r="E183" s="5" t="s">
        <v>14</v>
      </c>
      <c r="F183" s="5">
        <v>12</v>
      </c>
      <c r="G183" s="5">
        <v>491</v>
      </c>
      <c r="H183" s="5">
        <v>2</v>
      </c>
      <c r="I183" s="6">
        <v>46106</v>
      </c>
      <c r="J183" s="6">
        <v>46109</v>
      </c>
      <c r="K183" s="10" t="s">
        <v>51</v>
      </c>
      <c r="L183" s="14" t="str">
        <f t="shared" si="6"/>
        <v>Roh1198</v>
      </c>
      <c r="M183" s="15" t="str">
        <f t="shared" si="7"/>
        <v>Notok</v>
      </c>
      <c r="N183" s="16" t="str">
        <f t="shared" si="8"/>
        <v>oteb</v>
      </c>
    </row>
    <row r="184" spans="1:14" ht="15" thickBot="1" x14ac:dyDescent="0.4">
      <c r="A184" s="5">
        <v>1379</v>
      </c>
      <c r="B184" s="5" t="s">
        <v>47</v>
      </c>
      <c r="C184" s="5" t="s">
        <v>17</v>
      </c>
      <c r="D184" s="5" t="s">
        <v>13</v>
      </c>
      <c r="E184" s="5" t="s">
        <v>14</v>
      </c>
      <c r="F184" s="5">
        <v>11</v>
      </c>
      <c r="G184" s="5">
        <v>136</v>
      </c>
      <c r="H184" s="5">
        <v>15</v>
      </c>
      <c r="I184" s="6">
        <v>46106</v>
      </c>
      <c r="J184" s="6">
        <v>46107</v>
      </c>
      <c r="K184" s="10" t="s">
        <v>20</v>
      </c>
      <c r="L184" s="14" t="str">
        <f t="shared" si="6"/>
        <v>Yas1379</v>
      </c>
      <c r="M184" s="15" t="str">
        <f t="shared" si="7"/>
        <v>Notok</v>
      </c>
      <c r="N184" s="16" t="str">
        <f t="shared" si="8"/>
        <v>oteb</v>
      </c>
    </row>
    <row r="185" spans="1:14" ht="15" thickBot="1" x14ac:dyDescent="0.4">
      <c r="A185" s="5">
        <v>1039</v>
      </c>
      <c r="B185" s="5" t="s">
        <v>48</v>
      </c>
      <c r="C185" s="5" t="s">
        <v>38</v>
      </c>
      <c r="D185" s="5" t="s">
        <v>34</v>
      </c>
      <c r="E185" s="5" t="s">
        <v>45</v>
      </c>
      <c r="F185" s="5">
        <v>5</v>
      </c>
      <c r="G185" s="5">
        <v>60236</v>
      </c>
      <c r="H185" s="5">
        <v>10</v>
      </c>
      <c r="I185" s="6">
        <v>46107</v>
      </c>
      <c r="J185" s="6">
        <v>46110</v>
      </c>
      <c r="K185" s="10" t="s">
        <v>20</v>
      </c>
      <c r="L185" s="14" t="str">
        <f t="shared" si="6"/>
        <v>Nit1039</v>
      </c>
      <c r="M185" s="15" t="str">
        <f t="shared" si="7"/>
        <v>Monor</v>
      </c>
      <c r="N185" s="16" t="str">
        <f t="shared" si="8"/>
        <v>onit</v>
      </c>
    </row>
    <row r="186" spans="1:14" ht="15" thickBot="1" x14ac:dyDescent="0.4">
      <c r="A186" s="5">
        <v>1321</v>
      </c>
      <c r="B186" s="5" t="s">
        <v>32</v>
      </c>
      <c r="C186" s="5" t="s">
        <v>22</v>
      </c>
      <c r="D186" s="5" t="s">
        <v>18</v>
      </c>
      <c r="E186" s="5" t="s">
        <v>19</v>
      </c>
      <c r="F186" s="5">
        <v>8</v>
      </c>
      <c r="G186" s="5">
        <v>5619</v>
      </c>
      <c r="H186" s="5">
        <v>7</v>
      </c>
      <c r="I186" s="6">
        <v>46107</v>
      </c>
      <c r="J186" s="6">
        <v>46109</v>
      </c>
      <c r="K186" s="10" t="s">
        <v>51</v>
      </c>
      <c r="L186" s="14" t="str">
        <f t="shared" si="6"/>
        <v>Ash1321</v>
      </c>
      <c r="M186" s="15" t="str">
        <f t="shared" si="7"/>
        <v>Dessk</v>
      </c>
      <c r="N186" s="16" t="str">
        <f t="shared" si="8"/>
        <v>esk</v>
      </c>
    </row>
    <row r="187" spans="1:14" ht="15" thickBot="1" x14ac:dyDescent="0.4">
      <c r="A187" s="5">
        <v>1123</v>
      </c>
      <c r="B187" s="5" t="s">
        <v>32</v>
      </c>
      <c r="C187" s="5" t="s">
        <v>31</v>
      </c>
      <c r="D187" s="5" t="s">
        <v>34</v>
      </c>
      <c r="E187" s="5" t="s">
        <v>45</v>
      </c>
      <c r="F187" s="5">
        <v>16</v>
      </c>
      <c r="G187" s="5">
        <v>1332</v>
      </c>
      <c r="H187" s="5">
        <v>7</v>
      </c>
      <c r="I187" s="6">
        <v>46107</v>
      </c>
      <c r="J187" s="6">
        <v>46109</v>
      </c>
      <c r="K187" s="10" t="s">
        <v>29</v>
      </c>
      <c r="L187" s="14" t="str">
        <f t="shared" si="6"/>
        <v>Ash1123</v>
      </c>
      <c r="M187" s="15" t="str">
        <f t="shared" si="7"/>
        <v>Monor</v>
      </c>
      <c r="N187" s="16" t="str">
        <f t="shared" si="8"/>
        <v>onit</v>
      </c>
    </row>
    <row r="188" spans="1:14" ht="15" thickBot="1" x14ac:dyDescent="0.4">
      <c r="A188" s="5">
        <v>1182</v>
      </c>
      <c r="B188" s="5" t="s">
        <v>42</v>
      </c>
      <c r="C188" s="5" t="s">
        <v>12</v>
      </c>
      <c r="D188" s="5" t="s">
        <v>34</v>
      </c>
      <c r="E188" s="5" t="s">
        <v>39</v>
      </c>
      <c r="F188" s="5">
        <v>8</v>
      </c>
      <c r="G188" s="5">
        <v>66022</v>
      </c>
      <c r="H188" s="5">
        <v>12</v>
      </c>
      <c r="I188" s="6">
        <v>46108</v>
      </c>
      <c r="J188" s="6">
        <v>46114</v>
      </c>
      <c r="K188" s="10" t="s">
        <v>24</v>
      </c>
      <c r="L188" s="14" t="str">
        <f t="shared" si="6"/>
        <v>Nis1182</v>
      </c>
      <c r="M188" s="15" t="str">
        <f t="shared" si="7"/>
        <v>Keyrd</v>
      </c>
      <c r="N188" s="16" t="str">
        <f t="shared" si="8"/>
        <v>eybo</v>
      </c>
    </row>
    <row r="189" spans="1:14" ht="15" thickBot="1" x14ac:dyDescent="0.4">
      <c r="A189" s="5">
        <v>1183</v>
      </c>
      <c r="B189" s="5" t="s">
        <v>52</v>
      </c>
      <c r="C189" s="5" t="s">
        <v>43</v>
      </c>
      <c r="D189" s="5" t="s">
        <v>13</v>
      </c>
      <c r="E189" s="5" t="s">
        <v>14</v>
      </c>
      <c r="F189" s="5">
        <v>2</v>
      </c>
      <c r="G189" s="5">
        <v>309</v>
      </c>
      <c r="H189" s="5">
        <v>2</v>
      </c>
      <c r="I189" s="6">
        <v>46109</v>
      </c>
      <c r="J189" s="6">
        <v>46111</v>
      </c>
      <c r="K189" s="10" t="s">
        <v>20</v>
      </c>
      <c r="L189" s="14" t="str">
        <f t="shared" si="6"/>
        <v>Kom1183</v>
      </c>
      <c r="M189" s="15" t="str">
        <f t="shared" si="7"/>
        <v>Notok</v>
      </c>
      <c r="N189" s="16" t="str">
        <f t="shared" si="8"/>
        <v>oteb</v>
      </c>
    </row>
    <row r="190" spans="1:14" ht="15" thickBot="1" x14ac:dyDescent="0.4">
      <c r="A190" s="5">
        <v>1328</v>
      </c>
      <c r="B190" s="5" t="s">
        <v>16</v>
      </c>
      <c r="C190" s="5" t="s">
        <v>38</v>
      </c>
      <c r="D190" s="5" t="s">
        <v>13</v>
      </c>
      <c r="E190" s="5" t="s">
        <v>36</v>
      </c>
      <c r="F190" s="5">
        <v>4</v>
      </c>
      <c r="G190" s="5">
        <v>132</v>
      </c>
      <c r="H190" s="5">
        <v>0</v>
      </c>
      <c r="I190" s="6">
        <v>46109</v>
      </c>
      <c r="J190" s="6">
        <v>46114</v>
      </c>
      <c r="K190" s="10" t="s">
        <v>29</v>
      </c>
      <c r="L190" s="14" t="str">
        <f t="shared" si="6"/>
        <v>Poo1328</v>
      </c>
      <c r="M190" s="15" t="str">
        <f t="shared" si="7"/>
        <v>Staer</v>
      </c>
      <c r="N190" s="16" t="str">
        <f t="shared" si="8"/>
        <v>tapl</v>
      </c>
    </row>
    <row r="191" spans="1:14" ht="15" thickBot="1" x14ac:dyDescent="0.4">
      <c r="A191" s="5">
        <v>1290</v>
      </c>
      <c r="B191" s="5" t="s">
        <v>26</v>
      </c>
      <c r="C191" s="5" t="s">
        <v>22</v>
      </c>
      <c r="D191" s="5" t="s">
        <v>34</v>
      </c>
      <c r="E191" s="5" t="s">
        <v>35</v>
      </c>
      <c r="F191" s="5">
        <v>3</v>
      </c>
      <c r="G191" s="5">
        <v>69793</v>
      </c>
      <c r="H191" s="5">
        <v>15</v>
      </c>
      <c r="I191" s="6">
        <v>46110</v>
      </c>
      <c r="J191" s="6">
        <v>46111</v>
      </c>
      <c r="K191" s="10" t="s">
        <v>29</v>
      </c>
      <c r="L191" s="14" t="str">
        <f t="shared" si="6"/>
        <v>Vik1290</v>
      </c>
      <c r="M191" s="15" t="str">
        <f t="shared" si="7"/>
        <v>Prier</v>
      </c>
      <c r="N191" s="16" t="str">
        <f t="shared" si="8"/>
        <v>rint</v>
      </c>
    </row>
    <row r="192" spans="1:14" ht="15" thickBot="1" x14ac:dyDescent="0.4">
      <c r="A192" s="5">
        <v>1193</v>
      </c>
      <c r="B192" s="5" t="s">
        <v>57</v>
      </c>
      <c r="C192" s="5" t="s">
        <v>12</v>
      </c>
      <c r="D192" s="5" t="s">
        <v>18</v>
      </c>
      <c r="E192" s="5" t="s">
        <v>23</v>
      </c>
      <c r="F192" s="5">
        <v>19</v>
      </c>
      <c r="G192" s="5">
        <v>2699</v>
      </c>
      <c r="H192" s="5">
        <v>7</v>
      </c>
      <c r="I192" s="6">
        <v>46110</v>
      </c>
      <c r="J192" s="6">
        <v>46112</v>
      </c>
      <c r="K192" s="10" t="s">
        <v>29</v>
      </c>
      <c r="L192" s="14" t="str">
        <f t="shared" si="6"/>
        <v>Sar1193</v>
      </c>
      <c r="M192" s="15" t="str">
        <f t="shared" si="7"/>
        <v>Table</v>
      </c>
      <c r="N192" s="16" t="str">
        <f t="shared" si="8"/>
        <v>able</v>
      </c>
    </row>
    <row r="193" spans="1:14" ht="15" thickBot="1" x14ac:dyDescent="0.4">
      <c r="A193" s="5">
        <v>1300</v>
      </c>
      <c r="B193" s="5" t="s">
        <v>47</v>
      </c>
      <c r="C193" s="5" t="s">
        <v>33</v>
      </c>
      <c r="D193" s="5" t="s">
        <v>34</v>
      </c>
      <c r="E193" s="5" t="s">
        <v>45</v>
      </c>
      <c r="F193" s="5">
        <v>20</v>
      </c>
      <c r="G193" s="5">
        <v>1392</v>
      </c>
      <c r="H193" s="5">
        <v>2</v>
      </c>
      <c r="I193" s="6">
        <v>46110</v>
      </c>
      <c r="J193" s="6">
        <v>46117</v>
      </c>
      <c r="K193" s="10" t="s">
        <v>24</v>
      </c>
      <c r="L193" s="14" t="str">
        <f t="shared" si="6"/>
        <v>Yas1300</v>
      </c>
      <c r="M193" s="15" t="str">
        <f t="shared" si="7"/>
        <v>Monor</v>
      </c>
      <c r="N193" s="16" t="str">
        <f t="shared" si="8"/>
        <v>onit</v>
      </c>
    </row>
    <row r="194" spans="1:14" ht="15" thickBot="1" x14ac:dyDescent="0.4">
      <c r="A194" s="5">
        <v>1180</v>
      </c>
      <c r="B194" s="5" t="s">
        <v>40</v>
      </c>
      <c r="C194" s="5" t="s">
        <v>31</v>
      </c>
      <c r="D194" s="5" t="s">
        <v>18</v>
      </c>
      <c r="E194" s="5" t="s">
        <v>28</v>
      </c>
      <c r="F194" s="5">
        <v>2</v>
      </c>
      <c r="G194" s="5">
        <v>2076</v>
      </c>
      <c r="H194" s="5">
        <v>2</v>
      </c>
      <c r="I194" s="6">
        <v>46111</v>
      </c>
      <c r="J194" s="6">
        <v>46121</v>
      </c>
      <c r="K194" s="10" t="s">
        <v>29</v>
      </c>
      <c r="L194" s="14" t="str">
        <f t="shared" si="6"/>
        <v>Dee1180</v>
      </c>
      <c r="M194" s="15" t="str">
        <f t="shared" si="7"/>
        <v>Chair</v>
      </c>
      <c r="N194" s="16" t="str">
        <f t="shared" si="8"/>
        <v>hair</v>
      </c>
    </row>
    <row r="195" spans="1:14" ht="15" thickBot="1" x14ac:dyDescent="0.4">
      <c r="A195" s="5">
        <v>1178</v>
      </c>
      <c r="B195" s="5" t="s">
        <v>57</v>
      </c>
      <c r="C195" s="5" t="s">
        <v>17</v>
      </c>
      <c r="D195" s="5" t="s">
        <v>13</v>
      </c>
      <c r="E195" s="5" t="s">
        <v>50</v>
      </c>
      <c r="F195" s="5">
        <v>5</v>
      </c>
      <c r="G195" s="5">
        <v>50</v>
      </c>
      <c r="H195" s="5">
        <v>0</v>
      </c>
      <c r="I195" s="6">
        <v>46111</v>
      </c>
      <c r="J195" s="6">
        <v>46117</v>
      </c>
      <c r="K195" s="10" t="s">
        <v>20</v>
      </c>
      <c r="L195" s="14" t="str">
        <f t="shared" ref="L195:L258" si="9">LEFT(B195,3)&amp;A195</f>
        <v>Sar1178</v>
      </c>
      <c r="M195" s="15" t="str">
        <f t="shared" ref="M195:M258" si="10">LEFT(E195,3)&amp;RIGHT(E195,2)</f>
        <v>Marer</v>
      </c>
      <c r="N195" s="16" t="str">
        <f t="shared" ref="N195:N258" si="11">MID(E195,2,4)</f>
        <v>arke</v>
      </c>
    </row>
    <row r="196" spans="1:14" ht="15" thickBot="1" x14ac:dyDescent="0.4">
      <c r="A196" s="5">
        <v>1251</v>
      </c>
      <c r="B196" s="5" t="s">
        <v>55</v>
      </c>
      <c r="C196" s="5" t="s">
        <v>38</v>
      </c>
      <c r="D196" s="5" t="s">
        <v>34</v>
      </c>
      <c r="E196" s="5" t="s">
        <v>61</v>
      </c>
      <c r="F196" s="5">
        <v>19</v>
      </c>
      <c r="G196" s="5">
        <v>48548</v>
      </c>
      <c r="H196" s="5">
        <v>0</v>
      </c>
      <c r="I196" s="6">
        <v>46112</v>
      </c>
      <c r="J196" s="6">
        <v>46121</v>
      </c>
      <c r="K196" s="10" t="s">
        <v>51</v>
      </c>
      <c r="L196" s="14" t="str">
        <f t="shared" si="9"/>
        <v>Sne1251</v>
      </c>
      <c r="M196" s="15" t="str">
        <f t="shared" si="10"/>
        <v>Mouse</v>
      </c>
      <c r="N196" s="16" t="str">
        <f t="shared" si="11"/>
        <v>ouse</v>
      </c>
    </row>
    <row r="197" spans="1:14" ht="15" thickBot="1" x14ac:dyDescent="0.4">
      <c r="A197" s="5">
        <v>1133</v>
      </c>
      <c r="B197" s="5" t="s">
        <v>11</v>
      </c>
      <c r="C197" s="5" t="s">
        <v>12</v>
      </c>
      <c r="D197" s="5" t="s">
        <v>18</v>
      </c>
      <c r="E197" s="5" t="s">
        <v>56</v>
      </c>
      <c r="F197" s="5">
        <v>6</v>
      </c>
      <c r="G197" s="5">
        <v>9037</v>
      </c>
      <c r="H197" s="5">
        <v>2</v>
      </c>
      <c r="I197" s="6">
        <v>46112</v>
      </c>
      <c r="J197" s="6">
        <v>46121</v>
      </c>
      <c r="K197" s="10" t="s">
        <v>51</v>
      </c>
      <c r="L197" s="14" t="str">
        <f t="shared" si="9"/>
        <v>Rit1133</v>
      </c>
      <c r="M197" s="15" t="str">
        <f t="shared" si="10"/>
        <v>Cabet</v>
      </c>
      <c r="N197" s="16" t="str">
        <f t="shared" si="11"/>
        <v>abin</v>
      </c>
    </row>
    <row r="198" spans="1:14" ht="15" thickBot="1" x14ac:dyDescent="0.4">
      <c r="A198" s="5">
        <v>1227</v>
      </c>
      <c r="B198" s="5" t="s">
        <v>58</v>
      </c>
      <c r="C198" s="5" t="s">
        <v>22</v>
      </c>
      <c r="D198" s="5" t="s">
        <v>34</v>
      </c>
      <c r="E198" s="5" t="s">
        <v>45</v>
      </c>
      <c r="F198" s="5">
        <v>16</v>
      </c>
      <c r="G198" s="5">
        <v>1321</v>
      </c>
      <c r="H198" s="5">
        <v>12</v>
      </c>
      <c r="I198" s="6">
        <v>46113</v>
      </c>
      <c r="J198" s="6">
        <v>46116</v>
      </c>
      <c r="K198" s="10" t="s">
        <v>15</v>
      </c>
      <c r="L198" s="14" t="str">
        <f t="shared" si="9"/>
        <v>Roh1227</v>
      </c>
      <c r="M198" s="15" t="str">
        <f t="shared" si="10"/>
        <v>Monor</v>
      </c>
      <c r="N198" s="16" t="str">
        <f t="shared" si="11"/>
        <v>onit</v>
      </c>
    </row>
    <row r="199" spans="1:14" ht="15" thickBot="1" x14ac:dyDescent="0.4">
      <c r="A199" s="5">
        <v>1077</v>
      </c>
      <c r="B199" s="5" t="s">
        <v>55</v>
      </c>
      <c r="C199" s="5" t="s">
        <v>25</v>
      </c>
      <c r="D199" s="5" t="s">
        <v>13</v>
      </c>
      <c r="E199" s="5" t="s">
        <v>14</v>
      </c>
      <c r="F199" s="5">
        <v>1</v>
      </c>
      <c r="G199" s="5">
        <v>123</v>
      </c>
      <c r="H199" s="5">
        <v>10</v>
      </c>
      <c r="I199" s="6">
        <v>46113</v>
      </c>
      <c r="J199" s="6">
        <v>46121</v>
      </c>
      <c r="K199" s="10" t="s">
        <v>51</v>
      </c>
      <c r="L199" s="14" t="str">
        <f t="shared" si="9"/>
        <v>Sne1077</v>
      </c>
      <c r="M199" s="15" t="str">
        <f t="shared" si="10"/>
        <v>Notok</v>
      </c>
      <c r="N199" s="16" t="str">
        <f t="shared" si="11"/>
        <v>oteb</v>
      </c>
    </row>
    <row r="200" spans="1:14" ht="15" thickBot="1" x14ac:dyDescent="0.4">
      <c r="A200" s="5">
        <v>1059</v>
      </c>
      <c r="B200" s="5" t="s">
        <v>54</v>
      </c>
      <c r="C200" s="5" t="s">
        <v>25</v>
      </c>
      <c r="D200" s="5" t="s">
        <v>13</v>
      </c>
      <c r="E200" s="5" t="s">
        <v>50</v>
      </c>
      <c r="F200" s="5">
        <v>20</v>
      </c>
      <c r="G200" s="5">
        <v>112</v>
      </c>
      <c r="H200" s="5">
        <v>10</v>
      </c>
      <c r="I200" s="6">
        <v>46113</v>
      </c>
      <c r="J200" s="6">
        <v>46122</v>
      </c>
      <c r="K200" s="10" t="s">
        <v>51</v>
      </c>
      <c r="L200" s="14" t="str">
        <f t="shared" si="9"/>
        <v>Man1059</v>
      </c>
      <c r="M200" s="15" t="str">
        <f t="shared" si="10"/>
        <v>Marer</v>
      </c>
      <c r="N200" s="16" t="str">
        <f t="shared" si="11"/>
        <v>arke</v>
      </c>
    </row>
    <row r="201" spans="1:14" ht="15" thickBot="1" x14ac:dyDescent="0.4">
      <c r="A201" s="5">
        <v>1234</v>
      </c>
      <c r="B201" s="5" t="s">
        <v>11</v>
      </c>
      <c r="C201" s="5" t="s">
        <v>25</v>
      </c>
      <c r="D201" s="5" t="s">
        <v>18</v>
      </c>
      <c r="E201" s="5" t="s">
        <v>28</v>
      </c>
      <c r="F201" s="5">
        <v>1</v>
      </c>
      <c r="G201" s="5">
        <v>14320</v>
      </c>
      <c r="H201" s="5">
        <v>12</v>
      </c>
      <c r="I201" s="6">
        <v>46114</v>
      </c>
      <c r="J201" s="6">
        <v>46121</v>
      </c>
      <c r="K201" s="10" t="s">
        <v>51</v>
      </c>
      <c r="L201" s="14" t="str">
        <f t="shared" si="9"/>
        <v>Rit1234</v>
      </c>
      <c r="M201" s="15" t="str">
        <f t="shared" si="10"/>
        <v>Chair</v>
      </c>
      <c r="N201" s="16" t="str">
        <f t="shared" si="11"/>
        <v>hair</v>
      </c>
    </row>
    <row r="202" spans="1:14" ht="15" thickBot="1" x14ac:dyDescent="0.4">
      <c r="A202" s="5">
        <v>1074</v>
      </c>
      <c r="B202" s="5" t="s">
        <v>26</v>
      </c>
      <c r="C202" s="5" t="s">
        <v>31</v>
      </c>
      <c r="D202" s="5" t="s">
        <v>13</v>
      </c>
      <c r="E202" s="5" t="s">
        <v>50</v>
      </c>
      <c r="F202" s="5">
        <v>11</v>
      </c>
      <c r="G202" s="5">
        <v>390</v>
      </c>
      <c r="H202" s="5">
        <v>15</v>
      </c>
      <c r="I202" s="6">
        <v>46114</v>
      </c>
      <c r="J202" s="6">
        <v>46123</v>
      </c>
      <c r="K202" s="10" t="s">
        <v>29</v>
      </c>
      <c r="L202" s="14" t="str">
        <f t="shared" si="9"/>
        <v>Vik1074</v>
      </c>
      <c r="M202" s="15" t="str">
        <f t="shared" si="10"/>
        <v>Marer</v>
      </c>
      <c r="N202" s="16" t="str">
        <f t="shared" si="11"/>
        <v>arke</v>
      </c>
    </row>
    <row r="203" spans="1:14" ht="15" thickBot="1" x14ac:dyDescent="0.4">
      <c r="A203" s="5">
        <v>1213</v>
      </c>
      <c r="B203" s="5" t="s">
        <v>32</v>
      </c>
      <c r="C203" s="5" t="s">
        <v>38</v>
      </c>
      <c r="D203" s="5" t="s">
        <v>34</v>
      </c>
      <c r="E203" s="5" t="s">
        <v>45</v>
      </c>
      <c r="F203" s="5">
        <v>16</v>
      </c>
      <c r="G203" s="5">
        <v>27741</v>
      </c>
      <c r="H203" s="5">
        <v>12</v>
      </c>
      <c r="I203" s="6">
        <v>46116</v>
      </c>
      <c r="J203" s="6">
        <v>46119</v>
      </c>
      <c r="K203" s="10" t="s">
        <v>15</v>
      </c>
      <c r="L203" s="14" t="str">
        <f t="shared" si="9"/>
        <v>Ash1213</v>
      </c>
      <c r="M203" s="15" t="str">
        <f t="shared" si="10"/>
        <v>Monor</v>
      </c>
      <c r="N203" s="16" t="str">
        <f t="shared" si="11"/>
        <v>onit</v>
      </c>
    </row>
    <row r="204" spans="1:14" ht="15" thickBot="1" x14ac:dyDescent="0.4">
      <c r="A204" s="5">
        <v>1028</v>
      </c>
      <c r="B204" s="5" t="s">
        <v>47</v>
      </c>
      <c r="C204" s="5" t="s">
        <v>22</v>
      </c>
      <c r="D204" s="5" t="s">
        <v>13</v>
      </c>
      <c r="E204" s="5" t="s">
        <v>36</v>
      </c>
      <c r="F204" s="5">
        <v>13</v>
      </c>
      <c r="G204" s="5">
        <v>433</v>
      </c>
      <c r="H204" s="5">
        <v>2</v>
      </c>
      <c r="I204" s="6">
        <v>46116</v>
      </c>
      <c r="J204" s="6">
        <v>46121</v>
      </c>
      <c r="K204" s="10" t="s">
        <v>24</v>
      </c>
      <c r="L204" s="14" t="str">
        <f t="shared" si="9"/>
        <v>Yas1028</v>
      </c>
      <c r="M204" s="15" t="str">
        <f t="shared" si="10"/>
        <v>Staer</v>
      </c>
      <c r="N204" s="16" t="str">
        <f t="shared" si="11"/>
        <v>tapl</v>
      </c>
    </row>
    <row r="205" spans="1:14" ht="15" thickBot="1" x14ac:dyDescent="0.4">
      <c r="A205" s="5">
        <v>1287</v>
      </c>
      <c r="B205" s="5" t="s">
        <v>59</v>
      </c>
      <c r="C205" s="5" t="s">
        <v>31</v>
      </c>
      <c r="D205" s="5" t="s">
        <v>13</v>
      </c>
      <c r="E205" s="5" t="s">
        <v>14</v>
      </c>
      <c r="F205" s="5">
        <v>15</v>
      </c>
      <c r="G205" s="5">
        <v>251</v>
      </c>
      <c r="H205" s="5">
        <v>2</v>
      </c>
      <c r="I205" s="6">
        <v>46116</v>
      </c>
      <c r="J205" s="6">
        <v>46122</v>
      </c>
      <c r="K205" s="10" t="s">
        <v>51</v>
      </c>
      <c r="L205" s="14" t="str">
        <f t="shared" si="9"/>
        <v>Ani1287</v>
      </c>
      <c r="M205" s="15" t="str">
        <f t="shared" si="10"/>
        <v>Notok</v>
      </c>
      <c r="N205" s="16" t="str">
        <f t="shared" si="11"/>
        <v>oteb</v>
      </c>
    </row>
    <row r="206" spans="1:14" ht="15" thickBot="1" x14ac:dyDescent="0.4">
      <c r="A206" s="5">
        <v>1022</v>
      </c>
      <c r="B206" s="5" t="s">
        <v>26</v>
      </c>
      <c r="C206" s="5" t="s">
        <v>17</v>
      </c>
      <c r="D206" s="5" t="s">
        <v>34</v>
      </c>
      <c r="E206" s="5" t="s">
        <v>45</v>
      </c>
      <c r="F206" s="5">
        <v>15</v>
      </c>
      <c r="G206" s="5">
        <v>11596</v>
      </c>
      <c r="H206" s="5">
        <v>0</v>
      </c>
      <c r="I206" s="6">
        <v>46117</v>
      </c>
      <c r="J206" s="6">
        <v>46121</v>
      </c>
      <c r="K206" s="10" t="s">
        <v>29</v>
      </c>
      <c r="L206" s="14" t="str">
        <f t="shared" si="9"/>
        <v>Vik1022</v>
      </c>
      <c r="M206" s="15" t="str">
        <f t="shared" si="10"/>
        <v>Monor</v>
      </c>
      <c r="N206" s="16" t="str">
        <f t="shared" si="11"/>
        <v>onit</v>
      </c>
    </row>
    <row r="207" spans="1:14" ht="15" thickBot="1" x14ac:dyDescent="0.4">
      <c r="A207" s="5">
        <v>1265</v>
      </c>
      <c r="B207" s="5" t="s">
        <v>58</v>
      </c>
      <c r="C207" s="5" t="s">
        <v>22</v>
      </c>
      <c r="D207" s="5" t="s">
        <v>18</v>
      </c>
      <c r="E207" s="5" t="s">
        <v>19</v>
      </c>
      <c r="F207" s="5">
        <v>1</v>
      </c>
      <c r="G207" s="5">
        <v>1052</v>
      </c>
      <c r="H207" s="5">
        <v>7</v>
      </c>
      <c r="I207" s="6">
        <v>46117</v>
      </c>
      <c r="J207" s="6">
        <v>46127</v>
      </c>
      <c r="K207" s="10" t="s">
        <v>51</v>
      </c>
      <c r="L207" s="14" t="str">
        <f t="shared" si="9"/>
        <v>Roh1265</v>
      </c>
      <c r="M207" s="15" t="str">
        <f t="shared" si="10"/>
        <v>Dessk</v>
      </c>
      <c r="N207" s="16" t="str">
        <f t="shared" si="11"/>
        <v>esk</v>
      </c>
    </row>
    <row r="208" spans="1:14" ht="15" thickBot="1" x14ac:dyDescent="0.4">
      <c r="A208" s="5">
        <v>1354</v>
      </c>
      <c r="B208" s="5" t="s">
        <v>47</v>
      </c>
      <c r="C208" s="5" t="s">
        <v>43</v>
      </c>
      <c r="D208" s="5" t="s">
        <v>34</v>
      </c>
      <c r="E208" s="5" t="s">
        <v>35</v>
      </c>
      <c r="F208" s="5">
        <v>15</v>
      </c>
      <c r="G208" s="5">
        <v>14927</v>
      </c>
      <c r="H208" s="5">
        <v>15</v>
      </c>
      <c r="I208" s="6">
        <v>46118</v>
      </c>
      <c r="J208" s="6">
        <v>46120</v>
      </c>
      <c r="K208" s="10" t="s">
        <v>51</v>
      </c>
      <c r="L208" s="14" t="str">
        <f t="shared" si="9"/>
        <v>Yas1354</v>
      </c>
      <c r="M208" s="15" t="str">
        <f t="shared" si="10"/>
        <v>Prier</v>
      </c>
      <c r="N208" s="16" t="str">
        <f t="shared" si="11"/>
        <v>rint</v>
      </c>
    </row>
    <row r="209" spans="1:14" ht="15" thickBot="1" x14ac:dyDescent="0.4">
      <c r="A209" s="5">
        <v>1108</v>
      </c>
      <c r="B209" s="5" t="s">
        <v>42</v>
      </c>
      <c r="C209" s="5" t="s">
        <v>33</v>
      </c>
      <c r="D209" s="5" t="s">
        <v>18</v>
      </c>
      <c r="E209" s="5" t="s">
        <v>28</v>
      </c>
      <c r="F209" s="5">
        <v>15</v>
      </c>
      <c r="G209" s="5">
        <v>13843</v>
      </c>
      <c r="H209" s="5">
        <v>7</v>
      </c>
      <c r="I209" s="6">
        <v>46119</v>
      </c>
      <c r="J209" s="6">
        <v>46127</v>
      </c>
      <c r="K209" s="10" t="s">
        <v>20</v>
      </c>
      <c r="L209" s="14" t="str">
        <f t="shared" si="9"/>
        <v>Nis1108</v>
      </c>
      <c r="M209" s="15" t="str">
        <f t="shared" si="10"/>
        <v>Chair</v>
      </c>
      <c r="N209" s="16" t="str">
        <f t="shared" si="11"/>
        <v>hair</v>
      </c>
    </row>
    <row r="210" spans="1:14" ht="15" thickBot="1" x14ac:dyDescent="0.4">
      <c r="A210" s="5">
        <v>1241</v>
      </c>
      <c r="B210" s="5" t="s">
        <v>46</v>
      </c>
      <c r="C210" s="5" t="s">
        <v>31</v>
      </c>
      <c r="D210" s="5" t="s">
        <v>18</v>
      </c>
      <c r="E210" s="5" t="s">
        <v>44</v>
      </c>
      <c r="F210" s="5">
        <v>1</v>
      </c>
      <c r="G210" s="5">
        <v>12537</v>
      </c>
      <c r="H210" s="5">
        <v>0</v>
      </c>
      <c r="I210" s="6">
        <v>46119</v>
      </c>
      <c r="J210" s="6">
        <v>46122</v>
      </c>
      <c r="K210" s="10" t="s">
        <v>15</v>
      </c>
      <c r="L210" s="14" t="str">
        <f t="shared" si="9"/>
        <v>Kir1241</v>
      </c>
      <c r="M210" s="15" t="str">
        <f t="shared" si="10"/>
        <v>Boolf</v>
      </c>
      <c r="N210" s="16" t="str">
        <f t="shared" si="11"/>
        <v>ooks</v>
      </c>
    </row>
    <row r="211" spans="1:14" ht="15" thickBot="1" x14ac:dyDescent="0.4">
      <c r="A211" s="5">
        <v>1203</v>
      </c>
      <c r="B211" s="5" t="s">
        <v>40</v>
      </c>
      <c r="C211" s="5" t="s">
        <v>22</v>
      </c>
      <c r="D211" s="5" t="s">
        <v>18</v>
      </c>
      <c r="E211" s="5" t="s">
        <v>23</v>
      </c>
      <c r="F211" s="5">
        <v>17</v>
      </c>
      <c r="G211" s="5">
        <v>6695</v>
      </c>
      <c r="H211" s="5">
        <v>2</v>
      </c>
      <c r="I211" s="6">
        <v>46119</v>
      </c>
      <c r="J211" s="6">
        <v>46122</v>
      </c>
      <c r="K211" s="10" t="s">
        <v>51</v>
      </c>
      <c r="L211" s="14" t="str">
        <f t="shared" si="9"/>
        <v>Dee1203</v>
      </c>
      <c r="M211" s="15" t="str">
        <f t="shared" si="10"/>
        <v>Table</v>
      </c>
      <c r="N211" s="16" t="str">
        <f t="shared" si="11"/>
        <v>able</v>
      </c>
    </row>
    <row r="212" spans="1:14" ht="15" thickBot="1" x14ac:dyDescent="0.4">
      <c r="A212" s="5">
        <v>1261</v>
      </c>
      <c r="B212" s="5" t="s">
        <v>40</v>
      </c>
      <c r="C212" s="5" t="s">
        <v>17</v>
      </c>
      <c r="D212" s="5" t="s">
        <v>13</v>
      </c>
      <c r="E212" s="5" t="s">
        <v>50</v>
      </c>
      <c r="F212" s="5">
        <v>20</v>
      </c>
      <c r="G212" s="5">
        <v>162</v>
      </c>
      <c r="H212" s="5">
        <v>7</v>
      </c>
      <c r="I212" s="6">
        <v>46119</v>
      </c>
      <c r="J212" s="6">
        <v>46120</v>
      </c>
      <c r="K212" s="10" t="s">
        <v>51</v>
      </c>
      <c r="L212" s="14" t="str">
        <f t="shared" si="9"/>
        <v>Dee1261</v>
      </c>
      <c r="M212" s="15" t="str">
        <f t="shared" si="10"/>
        <v>Marer</v>
      </c>
      <c r="N212" s="16" t="str">
        <f t="shared" si="11"/>
        <v>arke</v>
      </c>
    </row>
    <row r="213" spans="1:14" ht="15" thickBot="1" x14ac:dyDescent="0.4">
      <c r="A213" s="5">
        <v>1172</v>
      </c>
      <c r="B213" s="5" t="s">
        <v>16</v>
      </c>
      <c r="C213" s="5" t="s">
        <v>12</v>
      </c>
      <c r="D213" s="5" t="s">
        <v>34</v>
      </c>
      <c r="E213" s="5" t="s">
        <v>45</v>
      </c>
      <c r="F213" s="5">
        <v>13</v>
      </c>
      <c r="G213" s="5">
        <v>43163</v>
      </c>
      <c r="H213" s="5">
        <v>12</v>
      </c>
      <c r="I213" s="6">
        <v>46120</v>
      </c>
      <c r="J213" s="6">
        <v>46129</v>
      </c>
      <c r="K213" s="10" t="s">
        <v>24</v>
      </c>
      <c r="L213" s="14" t="str">
        <f t="shared" si="9"/>
        <v>Poo1172</v>
      </c>
      <c r="M213" s="15" t="str">
        <f t="shared" si="10"/>
        <v>Monor</v>
      </c>
      <c r="N213" s="16" t="str">
        <f t="shared" si="11"/>
        <v>onit</v>
      </c>
    </row>
    <row r="214" spans="1:14" ht="15" thickBot="1" x14ac:dyDescent="0.4">
      <c r="A214" s="5">
        <v>1169</v>
      </c>
      <c r="B214" s="5" t="s">
        <v>47</v>
      </c>
      <c r="C214" s="5" t="s">
        <v>12</v>
      </c>
      <c r="D214" s="5" t="s">
        <v>18</v>
      </c>
      <c r="E214" s="5" t="s">
        <v>56</v>
      </c>
      <c r="F214" s="5">
        <v>12</v>
      </c>
      <c r="G214" s="5">
        <v>12104</v>
      </c>
      <c r="H214" s="5">
        <v>7</v>
      </c>
      <c r="I214" s="6">
        <v>46121</v>
      </c>
      <c r="J214" s="6">
        <v>46130</v>
      </c>
      <c r="K214" s="10" t="s">
        <v>24</v>
      </c>
      <c r="L214" s="14" t="str">
        <f t="shared" si="9"/>
        <v>Yas1169</v>
      </c>
      <c r="M214" s="15" t="str">
        <f t="shared" si="10"/>
        <v>Cabet</v>
      </c>
      <c r="N214" s="16" t="str">
        <f t="shared" si="11"/>
        <v>abin</v>
      </c>
    </row>
    <row r="215" spans="1:14" ht="15" thickBot="1" x14ac:dyDescent="0.4">
      <c r="A215" s="5">
        <v>1363</v>
      </c>
      <c r="B215" s="5" t="s">
        <v>27</v>
      </c>
      <c r="C215" s="5" t="s">
        <v>25</v>
      </c>
      <c r="D215" s="5" t="s">
        <v>34</v>
      </c>
      <c r="E215" s="5" t="s">
        <v>35</v>
      </c>
      <c r="F215" s="5">
        <v>7</v>
      </c>
      <c r="G215" s="5">
        <v>45381</v>
      </c>
      <c r="H215" s="5">
        <v>0</v>
      </c>
      <c r="I215" s="6">
        <v>46122</v>
      </c>
      <c r="J215" s="6">
        <v>46128</v>
      </c>
      <c r="K215" s="10" t="s">
        <v>15</v>
      </c>
      <c r="L215" s="14" t="str">
        <f t="shared" si="9"/>
        <v>Arj1363</v>
      </c>
      <c r="M215" s="15" t="str">
        <f t="shared" si="10"/>
        <v>Prier</v>
      </c>
      <c r="N215" s="16" t="str">
        <f t="shared" si="11"/>
        <v>rint</v>
      </c>
    </row>
    <row r="216" spans="1:14" ht="15" thickBot="1" x14ac:dyDescent="0.4">
      <c r="A216" s="5">
        <v>1289</v>
      </c>
      <c r="B216" s="5" t="s">
        <v>26</v>
      </c>
      <c r="C216" s="5" t="s">
        <v>22</v>
      </c>
      <c r="D216" s="5" t="s">
        <v>34</v>
      </c>
      <c r="E216" s="5" t="s">
        <v>45</v>
      </c>
      <c r="F216" s="5">
        <v>19</v>
      </c>
      <c r="G216" s="5">
        <v>25336</v>
      </c>
      <c r="H216" s="5">
        <v>2</v>
      </c>
      <c r="I216" s="6">
        <v>46122</v>
      </c>
      <c r="J216" s="6">
        <v>46130</v>
      </c>
      <c r="K216" s="10" t="s">
        <v>24</v>
      </c>
      <c r="L216" s="14" t="str">
        <f t="shared" si="9"/>
        <v>Vik1289</v>
      </c>
      <c r="M216" s="15" t="str">
        <f t="shared" si="10"/>
        <v>Monor</v>
      </c>
      <c r="N216" s="16" t="str">
        <f t="shared" si="11"/>
        <v>onit</v>
      </c>
    </row>
    <row r="217" spans="1:14" ht="15" thickBot="1" x14ac:dyDescent="0.4">
      <c r="A217" s="5">
        <v>1239</v>
      </c>
      <c r="B217" s="5" t="s">
        <v>48</v>
      </c>
      <c r="C217" s="5" t="s">
        <v>17</v>
      </c>
      <c r="D217" s="5" t="s">
        <v>18</v>
      </c>
      <c r="E217" s="5" t="s">
        <v>56</v>
      </c>
      <c r="F217" s="5">
        <v>2</v>
      </c>
      <c r="G217" s="5">
        <v>12330</v>
      </c>
      <c r="H217" s="5">
        <v>12</v>
      </c>
      <c r="I217" s="6">
        <v>46122</v>
      </c>
      <c r="J217" s="6">
        <v>46125</v>
      </c>
      <c r="K217" s="10" t="s">
        <v>15</v>
      </c>
      <c r="L217" s="14" t="str">
        <f t="shared" si="9"/>
        <v>Nit1239</v>
      </c>
      <c r="M217" s="15" t="str">
        <f t="shared" si="10"/>
        <v>Cabet</v>
      </c>
      <c r="N217" s="16" t="str">
        <f t="shared" si="11"/>
        <v>abin</v>
      </c>
    </row>
    <row r="218" spans="1:14" ht="15" thickBot="1" x14ac:dyDescent="0.4">
      <c r="A218" s="5">
        <v>1221</v>
      </c>
      <c r="B218" s="5" t="s">
        <v>11</v>
      </c>
      <c r="C218" s="5" t="s">
        <v>31</v>
      </c>
      <c r="D218" s="5" t="s">
        <v>18</v>
      </c>
      <c r="E218" s="5" t="s">
        <v>56</v>
      </c>
      <c r="F218" s="5">
        <v>18</v>
      </c>
      <c r="G218" s="5">
        <v>2681</v>
      </c>
      <c r="H218" s="5">
        <v>10</v>
      </c>
      <c r="I218" s="6">
        <v>46122</v>
      </c>
      <c r="J218" s="6">
        <v>46125</v>
      </c>
      <c r="K218" s="10" t="s">
        <v>51</v>
      </c>
      <c r="L218" s="14" t="str">
        <f t="shared" si="9"/>
        <v>Rit1221</v>
      </c>
      <c r="M218" s="15" t="str">
        <f t="shared" si="10"/>
        <v>Cabet</v>
      </c>
      <c r="N218" s="16" t="str">
        <f t="shared" si="11"/>
        <v>abin</v>
      </c>
    </row>
    <row r="219" spans="1:14" ht="15" thickBot="1" x14ac:dyDescent="0.4">
      <c r="A219" s="5">
        <v>1299</v>
      </c>
      <c r="B219" s="5" t="s">
        <v>26</v>
      </c>
      <c r="C219" s="5" t="s">
        <v>17</v>
      </c>
      <c r="D219" s="5" t="s">
        <v>18</v>
      </c>
      <c r="E219" s="5" t="s">
        <v>56</v>
      </c>
      <c r="F219" s="5">
        <v>8</v>
      </c>
      <c r="G219" s="5">
        <v>8783</v>
      </c>
      <c r="H219" s="5">
        <v>2</v>
      </c>
      <c r="I219" s="6">
        <v>46123</v>
      </c>
      <c r="J219" s="6">
        <v>46132</v>
      </c>
      <c r="K219" s="10" t="s">
        <v>15</v>
      </c>
      <c r="L219" s="14" t="str">
        <f t="shared" si="9"/>
        <v>Vik1299</v>
      </c>
      <c r="M219" s="15" t="str">
        <f t="shared" si="10"/>
        <v>Cabet</v>
      </c>
      <c r="N219" s="16" t="str">
        <f t="shared" si="11"/>
        <v>abin</v>
      </c>
    </row>
    <row r="220" spans="1:14" ht="15" thickBot="1" x14ac:dyDescent="0.4">
      <c r="A220" s="5">
        <v>1204</v>
      </c>
      <c r="B220" s="5" t="s">
        <v>16</v>
      </c>
      <c r="C220" s="5" t="s">
        <v>31</v>
      </c>
      <c r="D220" s="5" t="s">
        <v>13</v>
      </c>
      <c r="E220" s="5" t="s">
        <v>37</v>
      </c>
      <c r="F220" s="5">
        <v>13</v>
      </c>
      <c r="G220" s="5">
        <v>416</v>
      </c>
      <c r="H220" s="5">
        <v>10</v>
      </c>
      <c r="I220" s="6">
        <v>46123</v>
      </c>
      <c r="J220" s="6">
        <v>46132</v>
      </c>
      <c r="K220" s="10" t="s">
        <v>20</v>
      </c>
      <c r="L220" s="14" t="str">
        <f t="shared" si="9"/>
        <v>Poo1204</v>
      </c>
      <c r="M220" s="15" t="str">
        <f t="shared" si="10"/>
        <v>Penck</v>
      </c>
      <c r="N220" s="16" t="str">
        <f t="shared" si="11"/>
        <v>en P</v>
      </c>
    </row>
    <row r="221" spans="1:14" ht="15" thickBot="1" x14ac:dyDescent="0.4">
      <c r="A221" s="5">
        <v>1279</v>
      </c>
      <c r="B221" s="5" t="s">
        <v>55</v>
      </c>
      <c r="C221" s="5" t="s">
        <v>33</v>
      </c>
      <c r="D221" s="5" t="s">
        <v>34</v>
      </c>
      <c r="E221" s="5" t="s">
        <v>45</v>
      </c>
      <c r="F221" s="5">
        <v>20</v>
      </c>
      <c r="G221" s="5">
        <v>49042</v>
      </c>
      <c r="H221" s="5">
        <v>2</v>
      </c>
      <c r="I221" s="6">
        <v>46124</v>
      </c>
      <c r="J221" s="6">
        <v>46126</v>
      </c>
      <c r="K221" s="10" t="s">
        <v>15</v>
      </c>
      <c r="L221" s="14" t="str">
        <f t="shared" si="9"/>
        <v>Sne1279</v>
      </c>
      <c r="M221" s="15" t="str">
        <f t="shared" si="10"/>
        <v>Monor</v>
      </c>
      <c r="N221" s="16" t="str">
        <f t="shared" si="11"/>
        <v>onit</v>
      </c>
    </row>
    <row r="222" spans="1:14" ht="15" thickBot="1" x14ac:dyDescent="0.4">
      <c r="A222" s="5">
        <v>1392</v>
      </c>
      <c r="B222" s="5" t="s">
        <v>29</v>
      </c>
      <c r="C222" s="5" t="s">
        <v>43</v>
      </c>
      <c r="D222" s="5" t="s">
        <v>34</v>
      </c>
      <c r="E222" s="5" t="s">
        <v>35</v>
      </c>
      <c r="F222" s="5">
        <v>13</v>
      </c>
      <c r="G222" s="5">
        <v>23903</v>
      </c>
      <c r="H222" s="5">
        <v>5</v>
      </c>
      <c r="I222" s="6">
        <v>46124</v>
      </c>
      <c r="J222" s="6">
        <v>46125</v>
      </c>
      <c r="K222" s="10" t="s">
        <v>29</v>
      </c>
      <c r="L222" s="14" t="str">
        <f t="shared" si="9"/>
        <v>Pri1392</v>
      </c>
      <c r="M222" s="15" t="str">
        <f t="shared" si="10"/>
        <v>Prier</v>
      </c>
      <c r="N222" s="16" t="str">
        <f t="shared" si="11"/>
        <v>rint</v>
      </c>
    </row>
    <row r="223" spans="1:14" ht="15" thickBot="1" x14ac:dyDescent="0.4">
      <c r="A223" s="5">
        <v>1303</v>
      </c>
      <c r="B223" s="5" t="s">
        <v>57</v>
      </c>
      <c r="C223" s="5" t="s">
        <v>38</v>
      </c>
      <c r="D223" s="5" t="s">
        <v>34</v>
      </c>
      <c r="E223" s="5" t="s">
        <v>35</v>
      </c>
      <c r="F223" s="5">
        <v>13</v>
      </c>
      <c r="G223" s="5">
        <v>5170</v>
      </c>
      <c r="H223" s="5">
        <v>2</v>
      </c>
      <c r="I223" s="6">
        <v>46124</v>
      </c>
      <c r="J223" s="6">
        <v>46127</v>
      </c>
      <c r="K223" s="10" t="s">
        <v>15</v>
      </c>
      <c r="L223" s="14" t="str">
        <f t="shared" si="9"/>
        <v>Sar1303</v>
      </c>
      <c r="M223" s="15" t="str">
        <f t="shared" si="10"/>
        <v>Prier</v>
      </c>
      <c r="N223" s="16" t="str">
        <f t="shared" si="11"/>
        <v>rint</v>
      </c>
    </row>
    <row r="224" spans="1:14" ht="15" thickBot="1" x14ac:dyDescent="0.4">
      <c r="A224" s="5">
        <v>1225</v>
      </c>
      <c r="B224" s="5" t="s">
        <v>42</v>
      </c>
      <c r="C224" s="5" t="s">
        <v>31</v>
      </c>
      <c r="D224" s="5" t="s">
        <v>34</v>
      </c>
      <c r="E224" s="5" t="s">
        <v>35</v>
      </c>
      <c r="F224" s="5">
        <v>16</v>
      </c>
      <c r="G224" s="5">
        <v>32262</v>
      </c>
      <c r="H224" s="5">
        <v>12</v>
      </c>
      <c r="I224" s="6">
        <v>46125</v>
      </c>
      <c r="J224" s="6">
        <v>46126</v>
      </c>
      <c r="K224" s="10" t="s">
        <v>20</v>
      </c>
      <c r="L224" s="14" t="str">
        <f t="shared" si="9"/>
        <v>Nis1225</v>
      </c>
      <c r="M224" s="15" t="str">
        <f t="shared" si="10"/>
        <v>Prier</v>
      </c>
      <c r="N224" s="16" t="str">
        <f t="shared" si="11"/>
        <v>rint</v>
      </c>
    </row>
    <row r="225" spans="1:14" ht="15" thickBot="1" x14ac:dyDescent="0.4">
      <c r="A225" s="5">
        <v>1130</v>
      </c>
      <c r="B225" s="5" t="s">
        <v>48</v>
      </c>
      <c r="C225" s="5" t="s">
        <v>33</v>
      </c>
      <c r="D225" s="5" t="s">
        <v>13</v>
      </c>
      <c r="E225" s="5" t="s">
        <v>14</v>
      </c>
      <c r="F225" s="5">
        <v>12</v>
      </c>
      <c r="G225" s="5">
        <v>50</v>
      </c>
      <c r="H225" s="5">
        <v>2</v>
      </c>
      <c r="I225" s="6">
        <v>46125</v>
      </c>
      <c r="J225" s="6">
        <v>46131</v>
      </c>
      <c r="K225" s="10" t="s">
        <v>24</v>
      </c>
      <c r="L225" s="14" t="str">
        <f t="shared" si="9"/>
        <v>Nit1130</v>
      </c>
      <c r="M225" s="15" t="str">
        <f t="shared" si="10"/>
        <v>Notok</v>
      </c>
      <c r="N225" s="16" t="str">
        <f t="shared" si="11"/>
        <v>oteb</v>
      </c>
    </row>
    <row r="226" spans="1:14" ht="15" thickBot="1" x14ac:dyDescent="0.4">
      <c r="A226" s="5">
        <v>1073</v>
      </c>
      <c r="B226" s="5" t="s">
        <v>58</v>
      </c>
      <c r="C226" s="5" t="s">
        <v>17</v>
      </c>
      <c r="D226" s="5" t="s">
        <v>18</v>
      </c>
      <c r="E226" s="5" t="s">
        <v>56</v>
      </c>
      <c r="F226" s="5">
        <v>4</v>
      </c>
      <c r="G226" s="5">
        <v>2453</v>
      </c>
      <c r="H226" s="5">
        <v>7</v>
      </c>
      <c r="I226" s="6">
        <v>46126</v>
      </c>
      <c r="J226" s="6">
        <v>46129</v>
      </c>
      <c r="K226" s="10" t="s">
        <v>51</v>
      </c>
      <c r="L226" s="14" t="str">
        <f t="shared" si="9"/>
        <v>Roh1073</v>
      </c>
      <c r="M226" s="15" t="str">
        <f t="shared" si="10"/>
        <v>Cabet</v>
      </c>
      <c r="N226" s="16" t="str">
        <f t="shared" si="11"/>
        <v>abin</v>
      </c>
    </row>
    <row r="227" spans="1:14" ht="15" thickBot="1" x14ac:dyDescent="0.4">
      <c r="A227" s="5">
        <v>1098</v>
      </c>
      <c r="B227" s="5" t="s">
        <v>26</v>
      </c>
      <c r="C227" s="5" t="s">
        <v>25</v>
      </c>
      <c r="D227" s="5" t="s">
        <v>13</v>
      </c>
      <c r="E227" s="5" t="s">
        <v>53</v>
      </c>
      <c r="F227" s="5">
        <v>17</v>
      </c>
      <c r="G227" s="5">
        <v>345</v>
      </c>
      <c r="H227" s="5">
        <v>2</v>
      </c>
      <c r="I227" s="6">
        <v>46126</v>
      </c>
      <c r="J227" s="6">
        <v>46127</v>
      </c>
      <c r="K227" s="10" t="s">
        <v>51</v>
      </c>
      <c r="L227" s="14" t="str">
        <f t="shared" si="9"/>
        <v>Vik1098</v>
      </c>
      <c r="M227" s="15" t="str">
        <f t="shared" si="10"/>
        <v>Diary</v>
      </c>
      <c r="N227" s="16" t="str">
        <f t="shared" si="11"/>
        <v>iary</v>
      </c>
    </row>
    <row r="228" spans="1:14" ht="15" thickBot="1" x14ac:dyDescent="0.4">
      <c r="A228" s="5">
        <v>1329</v>
      </c>
      <c r="B228" s="5" t="s">
        <v>30</v>
      </c>
      <c r="C228" s="5" t="s">
        <v>43</v>
      </c>
      <c r="D228" s="5" t="s">
        <v>13</v>
      </c>
      <c r="E228" s="5" t="s">
        <v>53</v>
      </c>
      <c r="F228" s="5">
        <v>18</v>
      </c>
      <c r="G228" s="5">
        <v>227</v>
      </c>
      <c r="H228" s="5">
        <v>5</v>
      </c>
      <c r="I228" s="6">
        <v>46126</v>
      </c>
      <c r="J228" s="6">
        <v>46136</v>
      </c>
      <c r="K228" s="10" t="s">
        <v>29</v>
      </c>
      <c r="L228" s="14" t="str">
        <f t="shared" si="9"/>
        <v>Neh1329</v>
      </c>
      <c r="M228" s="15" t="str">
        <f t="shared" si="10"/>
        <v>Diary</v>
      </c>
      <c r="N228" s="16" t="str">
        <f t="shared" si="11"/>
        <v>iary</v>
      </c>
    </row>
    <row r="229" spans="1:14" ht="15" thickBot="1" x14ac:dyDescent="0.4">
      <c r="A229" s="5">
        <v>1358</v>
      </c>
      <c r="B229" s="5" t="s">
        <v>40</v>
      </c>
      <c r="C229" s="5" t="s">
        <v>38</v>
      </c>
      <c r="D229" s="5" t="s">
        <v>18</v>
      </c>
      <c r="E229" s="5" t="s">
        <v>19</v>
      </c>
      <c r="F229" s="5">
        <v>7</v>
      </c>
      <c r="G229" s="5">
        <v>6618</v>
      </c>
      <c r="H229" s="5">
        <v>0</v>
      </c>
      <c r="I229" s="6">
        <v>46127</v>
      </c>
      <c r="J229" s="6">
        <v>46129</v>
      </c>
      <c r="K229" s="10" t="s">
        <v>20</v>
      </c>
      <c r="L229" s="14" t="str">
        <f t="shared" si="9"/>
        <v>Dee1358</v>
      </c>
      <c r="M229" s="15" t="str">
        <f t="shared" si="10"/>
        <v>Dessk</v>
      </c>
      <c r="N229" s="16" t="str">
        <f t="shared" si="11"/>
        <v>esk</v>
      </c>
    </row>
    <row r="230" spans="1:14" ht="15" thickBot="1" x14ac:dyDescent="0.4">
      <c r="A230" s="5">
        <v>1050</v>
      </c>
      <c r="B230" s="5" t="s">
        <v>32</v>
      </c>
      <c r="C230" s="5" t="s">
        <v>25</v>
      </c>
      <c r="D230" s="5" t="s">
        <v>13</v>
      </c>
      <c r="E230" s="5" t="s">
        <v>53</v>
      </c>
      <c r="F230" s="5">
        <v>12</v>
      </c>
      <c r="G230" s="5">
        <v>360</v>
      </c>
      <c r="H230" s="5">
        <v>5</v>
      </c>
      <c r="I230" s="6">
        <v>46127</v>
      </c>
      <c r="J230" s="6">
        <v>46137</v>
      </c>
      <c r="K230" s="10" t="s">
        <v>29</v>
      </c>
      <c r="L230" s="14" t="str">
        <f t="shared" si="9"/>
        <v>Ash1050</v>
      </c>
      <c r="M230" s="15" t="str">
        <f t="shared" si="10"/>
        <v>Diary</v>
      </c>
      <c r="N230" s="16" t="str">
        <f t="shared" si="11"/>
        <v>iary</v>
      </c>
    </row>
    <row r="231" spans="1:14" ht="15" thickBot="1" x14ac:dyDescent="0.4">
      <c r="A231" s="5">
        <v>1380</v>
      </c>
      <c r="B231" s="5" t="s">
        <v>52</v>
      </c>
      <c r="C231" s="5" t="s">
        <v>43</v>
      </c>
      <c r="D231" s="5" t="s">
        <v>13</v>
      </c>
      <c r="E231" s="5" t="s">
        <v>53</v>
      </c>
      <c r="F231" s="5">
        <v>3</v>
      </c>
      <c r="G231" s="5">
        <v>412</v>
      </c>
      <c r="H231" s="5">
        <v>7</v>
      </c>
      <c r="I231" s="6">
        <v>46128</v>
      </c>
      <c r="J231" s="6">
        <v>46138</v>
      </c>
      <c r="K231" s="10" t="s">
        <v>24</v>
      </c>
      <c r="L231" s="14" t="str">
        <f t="shared" si="9"/>
        <v>Kom1380</v>
      </c>
      <c r="M231" s="15" t="str">
        <f t="shared" si="10"/>
        <v>Diary</v>
      </c>
      <c r="N231" s="16" t="str">
        <f t="shared" si="11"/>
        <v>iary</v>
      </c>
    </row>
    <row r="232" spans="1:14" ht="15" thickBot="1" x14ac:dyDescent="0.4">
      <c r="A232" s="5">
        <v>1308</v>
      </c>
      <c r="B232" s="5" t="s">
        <v>30</v>
      </c>
      <c r="C232" s="5" t="s">
        <v>22</v>
      </c>
      <c r="D232" s="5" t="s">
        <v>34</v>
      </c>
      <c r="E232" s="5" t="s">
        <v>41</v>
      </c>
      <c r="F232" s="5">
        <v>12</v>
      </c>
      <c r="G232" s="5">
        <v>66075</v>
      </c>
      <c r="H232" s="5">
        <v>5</v>
      </c>
      <c r="I232" s="6">
        <v>46129</v>
      </c>
      <c r="J232" s="6">
        <v>46135</v>
      </c>
      <c r="K232" s="10" t="s">
        <v>20</v>
      </c>
      <c r="L232" s="14" t="str">
        <f t="shared" si="9"/>
        <v>Neh1308</v>
      </c>
      <c r="M232" s="15" t="str">
        <f t="shared" si="10"/>
        <v>Heaet</v>
      </c>
      <c r="N232" s="16" t="str">
        <f t="shared" si="11"/>
        <v>eads</v>
      </c>
    </row>
    <row r="233" spans="1:14" ht="15" thickBot="1" x14ac:dyDescent="0.4">
      <c r="A233" s="5">
        <v>1014</v>
      </c>
      <c r="B233" s="5" t="s">
        <v>40</v>
      </c>
      <c r="C233" s="5" t="s">
        <v>17</v>
      </c>
      <c r="D233" s="5" t="s">
        <v>34</v>
      </c>
      <c r="E233" s="5" t="s">
        <v>41</v>
      </c>
      <c r="F233" s="5">
        <v>19</v>
      </c>
      <c r="G233" s="5">
        <v>53683</v>
      </c>
      <c r="H233" s="5">
        <v>12</v>
      </c>
      <c r="I233" s="6">
        <v>46129</v>
      </c>
      <c r="J233" s="6">
        <v>46134</v>
      </c>
      <c r="K233" s="10" t="s">
        <v>29</v>
      </c>
      <c r="L233" s="14" t="str">
        <f t="shared" si="9"/>
        <v>Dee1014</v>
      </c>
      <c r="M233" s="15" t="str">
        <f t="shared" si="10"/>
        <v>Heaet</v>
      </c>
      <c r="N233" s="16" t="str">
        <f t="shared" si="11"/>
        <v>eads</v>
      </c>
    </row>
    <row r="234" spans="1:14" ht="15" thickBot="1" x14ac:dyDescent="0.4">
      <c r="A234" s="5">
        <v>1071</v>
      </c>
      <c r="B234" s="5" t="s">
        <v>59</v>
      </c>
      <c r="C234" s="5" t="s">
        <v>22</v>
      </c>
      <c r="D234" s="5" t="s">
        <v>34</v>
      </c>
      <c r="E234" s="5" t="s">
        <v>61</v>
      </c>
      <c r="F234" s="5">
        <v>18</v>
      </c>
      <c r="G234" s="5">
        <v>32197</v>
      </c>
      <c r="H234" s="5">
        <v>5</v>
      </c>
      <c r="I234" s="6">
        <v>46129</v>
      </c>
      <c r="J234" s="6">
        <v>46137</v>
      </c>
      <c r="K234" s="10" t="s">
        <v>20</v>
      </c>
      <c r="L234" s="14" t="str">
        <f t="shared" si="9"/>
        <v>Ani1071</v>
      </c>
      <c r="M234" s="15" t="str">
        <f t="shared" si="10"/>
        <v>Mouse</v>
      </c>
      <c r="N234" s="16" t="str">
        <f t="shared" si="11"/>
        <v>ouse</v>
      </c>
    </row>
    <row r="235" spans="1:14" ht="15" thickBot="1" x14ac:dyDescent="0.4">
      <c r="A235" s="5">
        <v>1194</v>
      </c>
      <c r="B235" s="5" t="s">
        <v>57</v>
      </c>
      <c r="C235" s="5" t="s">
        <v>43</v>
      </c>
      <c r="D235" s="5" t="s">
        <v>18</v>
      </c>
      <c r="E235" s="5" t="s">
        <v>28</v>
      </c>
      <c r="F235" s="5">
        <v>13</v>
      </c>
      <c r="G235" s="5">
        <v>12856</v>
      </c>
      <c r="H235" s="5">
        <v>15</v>
      </c>
      <c r="I235" s="6">
        <v>46129</v>
      </c>
      <c r="J235" s="6">
        <v>46133</v>
      </c>
      <c r="K235" s="10" t="s">
        <v>51</v>
      </c>
      <c r="L235" s="14" t="str">
        <f t="shared" si="9"/>
        <v>Sar1194</v>
      </c>
      <c r="M235" s="15" t="str">
        <f t="shared" si="10"/>
        <v>Chair</v>
      </c>
      <c r="N235" s="16" t="str">
        <f t="shared" si="11"/>
        <v>hair</v>
      </c>
    </row>
    <row r="236" spans="1:14" ht="15" thickBot="1" x14ac:dyDescent="0.4">
      <c r="A236" s="5">
        <v>1269</v>
      </c>
      <c r="B236" s="5" t="s">
        <v>52</v>
      </c>
      <c r="C236" s="5" t="s">
        <v>43</v>
      </c>
      <c r="D236" s="5" t="s">
        <v>18</v>
      </c>
      <c r="E236" s="5" t="s">
        <v>19</v>
      </c>
      <c r="F236" s="5">
        <v>14</v>
      </c>
      <c r="G236" s="5">
        <v>5704</v>
      </c>
      <c r="H236" s="5">
        <v>2</v>
      </c>
      <c r="I236" s="6">
        <v>46129</v>
      </c>
      <c r="J236" s="6">
        <v>46131</v>
      </c>
      <c r="K236" s="10" t="s">
        <v>15</v>
      </c>
      <c r="L236" s="14" t="str">
        <f t="shared" si="9"/>
        <v>Kom1269</v>
      </c>
      <c r="M236" s="15" t="str">
        <f t="shared" si="10"/>
        <v>Dessk</v>
      </c>
      <c r="N236" s="16" t="str">
        <f t="shared" si="11"/>
        <v>esk</v>
      </c>
    </row>
    <row r="237" spans="1:14" ht="15" thickBot="1" x14ac:dyDescent="0.4">
      <c r="A237" s="5">
        <v>1267</v>
      </c>
      <c r="B237" s="5" t="s">
        <v>27</v>
      </c>
      <c r="C237" s="5" t="s">
        <v>38</v>
      </c>
      <c r="D237" s="5" t="s">
        <v>13</v>
      </c>
      <c r="E237" s="5" t="s">
        <v>50</v>
      </c>
      <c r="F237" s="5">
        <v>1</v>
      </c>
      <c r="G237" s="5">
        <v>50</v>
      </c>
      <c r="H237" s="5">
        <v>0</v>
      </c>
      <c r="I237" s="6">
        <v>46129</v>
      </c>
      <c r="J237" s="6">
        <v>46138</v>
      </c>
      <c r="K237" s="10" t="s">
        <v>20</v>
      </c>
      <c r="L237" s="14" t="str">
        <f t="shared" si="9"/>
        <v>Arj1267</v>
      </c>
      <c r="M237" s="15" t="str">
        <f t="shared" si="10"/>
        <v>Marer</v>
      </c>
      <c r="N237" s="16" t="str">
        <f t="shared" si="11"/>
        <v>arke</v>
      </c>
    </row>
    <row r="238" spans="1:14" ht="15" thickBot="1" x14ac:dyDescent="0.4">
      <c r="A238" s="5">
        <v>1382</v>
      </c>
      <c r="B238" s="5" t="s">
        <v>49</v>
      </c>
      <c r="C238" s="5" t="s">
        <v>33</v>
      </c>
      <c r="D238" s="5" t="s">
        <v>34</v>
      </c>
      <c r="E238" s="5" t="s">
        <v>60</v>
      </c>
      <c r="F238" s="5">
        <v>11</v>
      </c>
      <c r="G238" s="5">
        <v>36198</v>
      </c>
      <c r="H238" s="5">
        <v>0</v>
      </c>
      <c r="I238" s="6">
        <v>46130</v>
      </c>
      <c r="J238" s="6">
        <v>46134</v>
      </c>
      <c r="K238" s="10" t="s">
        <v>15</v>
      </c>
      <c r="L238" s="14" t="str">
        <f t="shared" si="9"/>
        <v>Aja1382</v>
      </c>
      <c r="M238" s="15" t="str">
        <f t="shared" si="10"/>
        <v>Lapop</v>
      </c>
      <c r="N238" s="16" t="str">
        <f t="shared" si="11"/>
        <v>apto</v>
      </c>
    </row>
    <row r="239" spans="1:14" ht="15" thickBot="1" x14ac:dyDescent="0.4">
      <c r="A239" s="5">
        <v>1263</v>
      </c>
      <c r="B239" s="5" t="s">
        <v>29</v>
      </c>
      <c r="C239" s="5" t="s">
        <v>38</v>
      </c>
      <c r="D239" s="5" t="s">
        <v>18</v>
      </c>
      <c r="E239" s="5" t="s">
        <v>28</v>
      </c>
      <c r="F239" s="5">
        <v>10</v>
      </c>
      <c r="G239" s="5">
        <v>1505</v>
      </c>
      <c r="H239" s="5">
        <v>0</v>
      </c>
      <c r="I239" s="6">
        <v>46130</v>
      </c>
      <c r="J239" s="6">
        <v>46138</v>
      </c>
      <c r="K239" s="10" t="s">
        <v>51</v>
      </c>
      <c r="L239" s="14" t="str">
        <f t="shared" si="9"/>
        <v>Pri1263</v>
      </c>
      <c r="M239" s="15" t="str">
        <f t="shared" si="10"/>
        <v>Chair</v>
      </c>
      <c r="N239" s="16" t="str">
        <f t="shared" si="11"/>
        <v>hair</v>
      </c>
    </row>
    <row r="240" spans="1:14" ht="15" thickBot="1" x14ac:dyDescent="0.4">
      <c r="A240" s="5">
        <v>1168</v>
      </c>
      <c r="B240" s="5" t="s">
        <v>54</v>
      </c>
      <c r="C240" s="5" t="s">
        <v>12</v>
      </c>
      <c r="D240" s="5" t="s">
        <v>13</v>
      </c>
      <c r="E240" s="5" t="s">
        <v>37</v>
      </c>
      <c r="F240" s="5">
        <v>18</v>
      </c>
      <c r="G240" s="5">
        <v>335</v>
      </c>
      <c r="H240" s="5">
        <v>15</v>
      </c>
      <c r="I240" s="6">
        <v>46130</v>
      </c>
      <c r="J240" s="6">
        <v>46140</v>
      </c>
      <c r="K240" s="10" t="s">
        <v>29</v>
      </c>
      <c r="L240" s="14" t="str">
        <f t="shared" si="9"/>
        <v>Man1168</v>
      </c>
      <c r="M240" s="15" t="str">
        <f t="shared" si="10"/>
        <v>Penck</v>
      </c>
      <c r="N240" s="16" t="str">
        <f t="shared" si="11"/>
        <v>en P</v>
      </c>
    </row>
    <row r="241" spans="1:14" ht="15" thickBot="1" x14ac:dyDescent="0.4">
      <c r="A241" s="5">
        <v>1215</v>
      </c>
      <c r="B241" s="5" t="s">
        <v>27</v>
      </c>
      <c r="C241" s="5" t="s">
        <v>12</v>
      </c>
      <c r="D241" s="5" t="s">
        <v>18</v>
      </c>
      <c r="E241" s="5" t="s">
        <v>28</v>
      </c>
      <c r="F241" s="5">
        <v>6</v>
      </c>
      <c r="G241" s="5">
        <v>1254</v>
      </c>
      <c r="H241" s="5">
        <v>0</v>
      </c>
      <c r="I241" s="6">
        <v>46131</v>
      </c>
      <c r="J241" s="6">
        <v>46136</v>
      </c>
      <c r="K241" s="10" t="s">
        <v>29</v>
      </c>
      <c r="L241" s="14" t="str">
        <f t="shared" si="9"/>
        <v>Arj1215</v>
      </c>
      <c r="M241" s="15" t="str">
        <f t="shared" si="10"/>
        <v>Chair</v>
      </c>
      <c r="N241" s="16" t="str">
        <f t="shared" si="11"/>
        <v>hair</v>
      </c>
    </row>
    <row r="242" spans="1:14" ht="15" thickBot="1" x14ac:dyDescent="0.4">
      <c r="A242" s="5">
        <v>1122</v>
      </c>
      <c r="B242" s="5" t="s">
        <v>40</v>
      </c>
      <c r="C242" s="5" t="s">
        <v>22</v>
      </c>
      <c r="D242" s="5" t="s">
        <v>34</v>
      </c>
      <c r="E242" s="5" t="s">
        <v>39</v>
      </c>
      <c r="F242" s="5">
        <v>14</v>
      </c>
      <c r="G242" s="5">
        <v>49990</v>
      </c>
      <c r="H242" s="5">
        <v>10</v>
      </c>
      <c r="I242" s="6">
        <v>46132</v>
      </c>
      <c r="J242" s="6">
        <v>46135</v>
      </c>
      <c r="K242" s="10" t="s">
        <v>29</v>
      </c>
      <c r="L242" s="14" t="str">
        <f t="shared" si="9"/>
        <v>Dee1122</v>
      </c>
      <c r="M242" s="15" t="str">
        <f t="shared" si="10"/>
        <v>Keyrd</v>
      </c>
      <c r="N242" s="16" t="str">
        <f t="shared" si="11"/>
        <v>eybo</v>
      </c>
    </row>
    <row r="243" spans="1:14" ht="15" thickBot="1" x14ac:dyDescent="0.4">
      <c r="A243" s="5">
        <v>1342</v>
      </c>
      <c r="B243" s="5" t="s">
        <v>59</v>
      </c>
      <c r="C243" s="5" t="s">
        <v>31</v>
      </c>
      <c r="D243" s="5" t="s">
        <v>34</v>
      </c>
      <c r="E243" s="5" t="s">
        <v>35</v>
      </c>
      <c r="F243" s="5">
        <v>13</v>
      </c>
      <c r="G243" s="5">
        <v>47881</v>
      </c>
      <c r="H243" s="5">
        <v>15</v>
      </c>
      <c r="I243" s="6">
        <v>46132</v>
      </c>
      <c r="J243" s="6">
        <v>46139</v>
      </c>
      <c r="K243" s="10" t="s">
        <v>29</v>
      </c>
      <c r="L243" s="14" t="str">
        <f t="shared" si="9"/>
        <v>Ani1342</v>
      </c>
      <c r="M243" s="15" t="str">
        <f t="shared" si="10"/>
        <v>Prier</v>
      </c>
      <c r="N243" s="16" t="str">
        <f t="shared" si="11"/>
        <v>rint</v>
      </c>
    </row>
    <row r="244" spans="1:14" ht="15" thickBot="1" x14ac:dyDescent="0.4">
      <c r="A244" s="5">
        <v>1080</v>
      </c>
      <c r="B244" s="5" t="s">
        <v>21</v>
      </c>
      <c r="C244" s="5" t="s">
        <v>22</v>
      </c>
      <c r="D244" s="5" t="s">
        <v>34</v>
      </c>
      <c r="E244" s="5" t="s">
        <v>41</v>
      </c>
      <c r="F244" s="5">
        <v>12</v>
      </c>
      <c r="G244" s="5">
        <v>54161</v>
      </c>
      <c r="H244" s="5">
        <v>15</v>
      </c>
      <c r="I244" s="6">
        <v>46133</v>
      </c>
      <c r="J244" s="6">
        <v>46143</v>
      </c>
      <c r="K244" s="10" t="s">
        <v>24</v>
      </c>
      <c r="L244" s="14" t="str">
        <f t="shared" si="9"/>
        <v>Mee1080</v>
      </c>
      <c r="M244" s="15" t="str">
        <f t="shared" si="10"/>
        <v>Heaet</v>
      </c>
      <c r="N244" s="16" t="str">
        <f t="shared" si="11"/>
        <v>eads</v>
      </c>
    </row>
    <row r="245" spans="1:14" ht="15" thickBot="1" x14ac:dyDescent="0.4">
      <c r="A245" s="5">
        <v>1111</v>
      </c>
      <c r="B245" s="5" t="s">
        <v>47</v>
      </c>
      <c r="C245" s="5" t="s">
        <v>17</v>
      </c>
      <c r="D245" s="5" t="s">
        <v>34</v>
      </c>
      <c r="E245" s="5" t="s">
        <v>35</v>
      </c>
      <c r="F245" s="5">
        <v>5</v>
      </c>
      <c r="G245" s="5">
        <v>49945</v>
      </c>
      <c r="H245" s="5">
        <v>12</v>
      </c>
      <c r="I245" s="6">
        <v>46133</v>
      </c>
      <c r="J245" s="6">
        <v>46141</v>
      </c>
      <c r="K245" s="10" t="s">
        <v>29</v>
      </c>
      <c r="L245" s="14" t="str">
        <f t="shared" si="9"/>
        <v>Yas1111</v>
      </c>
      <c r="M245" s="15" t="str">
        <f t="shared" si="10"/>
        <v>Prier</v>
      </c>
      <c r="N245" s="16" t="str">
        <f t="shared" si="11"/>
        <v>rint</v>
      </c>
    </row>
    <row r="246" spans="1:14" ht="15" thickBot="1" x14ac:dyDescent="0.4">
      <c r="A246" s="5">
        <v>1056</v>
      </c>
      <c r="B246" s="5" t="s">
        <v>11</v>
      </c>
      <c r="C246" s="5" t="s">
        <v>22</v>
      </c>
      <c r="D246" s="5" t="s">
        <v>18</v>
      </c>
      <c r="E246" s="5" t="s">
        <v>19</v>
      </c>
      <c r="F246" s="5">
        <v>3</v>
      </c>
      <c r="G246" s="5">
        <v>9771</v>
      </c>
      <c r="H246" s="5">
        <v>5</v>
      </c>
      <c r="I246" s="6">
        <v>46133</v>
      </c>
      <c r="J246" s="6">
        <v>46139</v>
      </c>
      <c r="K246" s="10" t="s">
        <v>24</v>
      </c>
      <c r="L246" s="14" t="str">
        <f t="shared" si="9"/>
        <v>Rit1056</v>
      </c>
      <c r="M246" s="15" t="str">
        <f t="shared" si="10"/>
        <v>Dessk</v>
      </c>
      <c r="N246" s="16" t="str">
        <f t="shared" si="11"/>
        <v>esk</v>
      </c>
    </row>
    <row r="247" spans="1:14" ht="15" thickBot="1" x14ac:dyDescent="0.4">
      <c r="A247" s="5">
        <v>1357</v>
      </c>
      <c r="B247" s="5" t="s">
        <v>59</v>
      </c>
      <c r="C247" s="5" t="s">
        <v>25</v>
      </c>
      <c r="D247" s="5" t="s">
        <v>13</v>
      </c>
      <c r="E247" s="5" t="s">
        <v>37</v>
      </c>
      <c r="F247" s="5">
        <v>6</v>
      </c>
      <c r="G247" s="5">
        <v>365</v>
      </c>
      <c r="H247" s="5">
        <v>7</v>
      </c>
      <c r="I247" s="6">
        <v>46133</v>
      </c>
      <c r="J247" s="6">
        <v>46140</v>
      </c>
      <c r="K247" s="10" t="s">
        <v>51</v>
      </c>
      <c r="L247" s="14" t="str">
        <f t="shared" si="9"/>
        <v>Ani1357</v>
      </c>
      <c r="M247" s="15" t="str">
        <f t="shared" si="10"/>
        <v>Penck</v>
      </c>
      <c r="N247" s="16" t="str">
        <f t="shared" si="11"/>
        <v>en P</v>
      </c>
    </row>
    <row r="248" spans="1:14" ht="15" thickBot="1" x14ac:dyDescent="0.4">
      <c r="A248" s="5">
        <v>1125</v>
      </c>
      <c r="B248" s="5" t="s">
        <v>49</v>
      </c>
      <c r="C248" s="5" t="s">
        <v>33</v>
      </c>
      <c r="D248" s="5" t="s">
        <v>13</v>
      </c>
      <c r="E248" s="5" t="s">
        <v>14</v>
      </c>
      <c r="F248" s="5">
        <v>6</v>
      </c>
      <c r="G248" s="5">
        <v>30</v>
      </c>
      <c r="H248" s="5">
        <v>2</v>
      </c>
      <c r="I248" s="6">
        <v>46133</v>
      </c>
      <c r="J248" s="6">
        <v>46138</v>
      </c>
      <c r="K248" s="10" t="s">
        <v>24</v>
      </c>
      <c r="L248" s="14" t="str">
        <f t="shared" si="9"/>
        <v>Aja1125</v>
      </c>
      <c r="M248" s="15" t="str">
        <f t="shared" si="10"/>
        <v>Notok</v>
      </c>
      <c r="N248" s="16" t="str">
        <f t="shared" si="11"/>
        <v>oteb</v>
      </c>
    </row>
    <row r="249" spans="1:14" ht="15" thickBot="1" x14ac:dyDescent="0.4">
      <c r="A249" s="5">
        <v>1200</v>
      </c>
      <c r="B249" s="5" t="s">
        <v>29</v>
      </c>
      <c r="C249" s="5" t="s">
        <v>31</v>
      </c>
      <c r="D249" s="5" t="s">
        <v>34</v>
      </c>
      <c r="E249" s="5" t="s">
        <v>45</v>
      </c>
      <c r="F249" s="5">
        <v>13</v>
      </c>
      <c r="G249" s="5">
        <v>69422</v>
      </c>
      <c r="H249" s="5">
        <v>0</v>
      </c>
      <c r="I249" s="6">
        <v>46134</v>
      </c>
      <c r="J249" s="6">
        <v>46143</v>
      </c>
      <c r="K249" s="10" t="s">
        <v>29</v>
      </c>
      <c r="L249" s="14" t="str">
        <f t="shared" si="9"/>
        <v>Pri1200</v>
      </c>
      <c r="M249" s="15" t="str">
        <f t="shared" si="10"/>
        <v>Monor</v>
      </c>
      <c r="N249" s="16" t="str">
        <f t="shared" si="11"/>
        <v>onit</v>
      </c>
    </row>
    <row r="250" spans="1:14" ht="15" thickBot="1" x14ac:dyDescent="0.4">
      <c r="A250" s="5">
        <v>1270</v>
      </c>
      <c r="B250" s="5" t="s">
        <v>49</v>
      </c>
      <c r="C250" s="5" t="s">
        <v>43</v>
      </c>
      <c r="D250" s="5" t="s">
        <v>34</v>
      </c>
      <c r="E250" s="5" t="s">
        <v>35</v>
      </c>
      <c r="F250" s="5">
        <v>16</v>
      </c>
      <c r="G250" s="5">
        <v>62941</v>
      </c>
      <c r="H250" s="5">
        <v>7</v>
      </c>
      <c r="I250" s="6">
        <v>46135</v>
      </c>
      <c r="J250" s="6">
        <v>46141</v>
      </c>
      <c r="K250" s="10" t="s">
        <v>51</v>
      </c>
      <c r="L250" s="14" t="str">
        <f t="shared" si="9"/>
        <v>Aja1270</v>
      </c>
      <c r="M250" s="15" t="str">
        <f t="shared" si="10"/>
        <v>Prier</v>
      </c>
      <c r="N250" s="16" t="str">
        <f t="shared" si="11"/>
        <v>rint</v>
      </c>
    </row>
    <row r="251" spans="1:14" ht="15" thickBot="1" x14ac:dyDescent="0.4">
      <c r="A251" s="5">
        <v>1216</v>
      </c>
      <c r="B251" s="5" t="s">
        <v>40</v>
      </c>
      <c r="C251" s="5" t="s">
        <v>22</v>
      </c>
      <c r="D251" s="5" t="s">
        <v>34</v>
      </c>
      <c r="E251" s="5" t="s">
        <v>45</v>
      </c>
      <c r="F251" s="5">
        <v>10</v>
      </c>
      <c r="G251" s="5">
        <v>56709</v>
      </c>
      <c r="H251" s="5">
        <v>15</v>
      </c>
      <c r="I251" s="6">
        <v>46135</v>
      </c>
      <c r="J251" s="6">
        <v>46139</v>
      </c>
      <c r="K251" s="10" t="s">
        <v>29</v>
      </c>
      <c r="L251" s="14" t="str">
        <f t="shared" si="9"/>
        <v>Dee1216</v>
      </c>
      <c r="M251" s="15" t="str">
        <f t="shared" si="10"/>
        <v>Monor</v>
      </c>
      <c r="N251" s="16" t="str">
        <f t="shared" si="11"/>
        <v>onit</v>
      </c>
    </row>
    <row r="252" spans="1:14" ht="15" thickBot="1" x14ac:dyDescent="0.4">
      <c r="A252" s="5">
        <v>1091</v>
      </c>
      <c r="B252" s="5" t="s">
        <v>55</v>
      </c>
      <c r="C252" s="5" t="s">
        <v>17</v>
      </c>
      <c r="D252" s="5" t="s">
        <v>13</v>
      </c>
      <c r="E252" s="5" t="s">
        <v>53</v>
      </c>
      <c r="F252" s="5">
        <v>2</v>
      </c>
      <c r="G252" s="5">
        <v>305</v>
      </c>
      <c r="H252" s="5">
        <v>0</v>
      </c>
      <c r="I252" s="6">
        <v>46136</v>
      </c>
      <c r="J252" s="6">
        <v>46144</v>
      </c>
      <c r="K252" s="10" t="s">
        <v>15</v>
      </c>
      <c r="L252" s="14" t="str">
        <f t="shared" si="9"/>
        <v>Sne1091</v>
      </c>
      <c r="M252" s="15" t="str">
        <f t="shared" si="10"/>
        <v>Diary</v>
      </c>
      <c r="N252" s="16" t="str">
        <f t="shared" si="11"/>
        <v>iary</v>
      </c>
    </row>
    <row r="253" spans="1:14" ht="15" thickBot="1" x14ac:dyDescent="0.4">
      <c r="A253" s="5">
        <v>1016</v>
      </c>
      <c r="B253" s="5" t="s">
        <v>32</v>
      </c>
      <c r="C253" s="5" t="s">
        <v>33</v>
      </c>
      <c r="D253" s="5" t="s">
        <v>34</v>
      </c>
      <c r="E253" s="5" t="s">
        <v>45</v>
      </c>
      <c r="F253" s="5">
        <v>16</v>
      </c>
      <c r="G253" s="5">
        <v>30234</v>
      </c>
      <c r="H253" s="5">
        <v>15</v>
      </c>
      <c r="I253" s="6">
        <v>46137</v>
      </c>
      <c r="J253" s="6">
        <v>46140</v>
      </c>
      <c r="K253" s="10" t="s">
        <v>24</v>
      </c>
      <c r="L253" s="14" t="str">
        <f t="shared" si="9"/>
        <v>Ash1016</v>
      </c>
      <c r="M253" s="15" t="str">
        <f t="shared" si="10"/>
        <v>Monor</v>
      </c>
      <c r="N253" s="16" t="str">
        <f t="shared" si="11"/>
        <v>onit</v>
      </c>
    </row>
    <row r="254" spans="1:14" ht="15" thickBot="1" x14ac:dyDescent="0.4">
      <c r="A254" s="5">
        <v>1237</v>
      </c>
      <c r="B254" s="5" t="s">
        <v>46</v>
      </c>
      <c r="C254" s="5" t="s">
        <v>38</v>
      </c>
      <c r="D254" s="5" t="s">
        <v>18</v>
      </c>
      <c r="E254" s="5" t="s">
        <v>56</v>
      </c>
      <c r="F254" s="5">
        <v>8</v>
      </c>
      <c r="G254" s="5">
        <v>12123</v>
      </c>
      <c r="H254" s="5">
        <v>2</v>
      </c>
      <c r="I254" s="6">
        <v>46137</v>
      </c>
      <c r="J254" s="6">
        <v>46145</v>
      </c>
      <c r="K254" s="10" t="s">
        <v>15</v>
      </c>
      <c r="L254" s="14" t="str">
        <f t="shared" si="9"/>
        <v>Kir1237</v>
      </c>
      <c r="M254" s="15" t="str">
        <f t="shared" si="10"/>
        <v>Cabet</v>
      </c>
      <c r="N254" s="16" t="str">
        <f t="shared" si="11"/>
        <v>abin</v>
      </c>
    </row>
    <row r="255" spans="1:14" ht="15" thickBot="1" x14ac:dyDescent="0.4">
      <c r="A255" s="5">
        <v>1258</v>
      </c>
      <c r="B255" s="5" t="s">
        <v>32</v>
      </c>
      <c r="C255" s="5" t="s">
        <v>31</v>
      </c>
      <c r="D255" s="5" t="s">
        <v>34</v>
      </c>
      <c r="E255" s="5" t="s">
        <v>60</v>
      </c>
      <c r="F255" s="5">
        <v>1</v>
      </c>
      <c r="G255" s="5">
        <v>10600</v>
      </c>
      <c r="H255" s="5">
        <v>5</v>
      </c>
      <c r="I255" s="6">
        <v>46137</v>
      </c>
      <c r="J255" s="6">
        <v>46138</v>
      </c>
      <c r="K255" s="10" t="s">
        <v>29</v>
      </c>
      <c r="L255" s="14" t="str">
        <f t="shared" si="9"/>
        <v>Ash1258</v>
      </c>
      <c r="M255" s="15" t="str">
        <f t="shared" si="10"/>
        <v>Lapop</v>
      </c>
      <c r="N255" s="16" t="str">
        <f t="shared" si="11"/>
        <v>apto</v>
      </c>
    </row>
    <row r="256" spans="1:14" ht="15" thickBot="1" x14ac:dyDescent="0.4">
      <c r="A256" s="5">
        <v>1188</v>
      </c>
      <c r="B256" s="5" t="s">
        <v>29</v>
      </c>
      <c r="C256" s="5" t="s">
        <v>22</v>
      </c>
      <c r="D256" s="5" t="s">
        <v>18</v>
      </c>
      <c r="E256" s="5" t="s">
        <v>56</v>
      </c>
      <c r="F256" s="5">
        <v>6</v>
      </c>
      <c r="G256" s="5">
        <v>10368</v>
      </c>
      <c r="H256" s="5">
        <v>7</v>
      </c>
      <c r="I256" s="6">
        <v>46137</v>
      </c>
      <c r="J256" s="6">
        <v>46142</v>
      </c>
      <c r="K256" s="10" t="s">
        <v>15</v>
      </c>
      <c r="L256" s="14" t="str">
        <f t="shared" si="9"/>
        <v>Pri1188</v>
      </c>
      <c r="M256" s="15" t="str">
        <f t="shared" si="10"/>
        <v>Cabet</v>
      </c>
      <c r="N256" s="16" t="str">
        <f t="shared" si="11"/>
        <v>abin</v>
      </c>
    </row>
    <row r="257" spans="1:14" ht="15" thickBot="1" x14ac:dyDescent="0.4">
      <c r="A257" s="5">
        <v>1291</v>
      </c>
      <c r="B257" s="5" t="s">
        <v>21</v>
      </c>
      <c r="C257" s="5" t="s">
        <v>17</v>
      </c>
      <c r="D257" s="5" t="s">
        <v>13</v>
      </c>
      <c r="E257" s="5" t="s">
        <v>36</v>
      </c>
      <c r="F257" s="5">
        <v>17</v>
      </c>
      <c r="G257" s="5">
        <v>415</v>
      </c>
      <c r="H257" s="5">
        <v>5</v>
      </c>
      <c r="I257" s="6">
        <v>46137</v>
      </c>
      <c r="J257" s="6">
        <v>46141</v>
      </c>
      <c r="K257" s="10" t="s">
        <v>20</v>
      </c>
      <c r="L257" s="14" t="str">
        <f t="shared" si="9"/>
        <v>Mee1291</v>
      </c>
      <c r="M257" s="15" t="str">
        <f t="shared" si="10"/>
        <v>Staer</v>
      </c>
      <c r="N257" s="16" t="str">
        <f t="shared" si="11"/>
        <v>tapl</v>
      </c>
    </row>
    <row r="258" spans="1:14" ht="15" thickBot="1" x14ac:dyDescent="0.4">
      <c r="A258" s="5">
        <v>1144</v>
      </c>
      <c r="B258" s="5" t="s">
        <v>42</v>
      </c>
      <c r="C258" s="5" t="s">
        <v>25</v>
      </c>
      <c r="D258" s="5" t="s">
        <v>13</v>
      </c>
      <c r="E258" s="5" t="s">
        <v>14</v>
      </c>
      <c r="F258" s="5">
        <v>16</v>
      </c>
      <c r="G258" s="5">
        <v>219</v>
      </c>
      <c r="H258" s="5">
        <v>7</v>
      </c>
      <c r="I258" s="6">
        <v>46138</v>
      </c>
      <c r="J258" s="6">
        <v>46140</v>
      </c>
      <c r="K258" s="10" t="s">
        <v>20</v>
      </c>
      <c r="L258" s="14" t="str">
        <f t="shared" si="9"/>
        <v>Nis1144</v>
      </c>
      <c r="M258" s="15" t="str">
        <f t="shared" si="10"/>
        <v>Notok</v>
      </c>
      <c r="N258" s="16" t="str">
        <f t="shared" si="11"/>
        <v>oteb</v>
      </c>
    </row>
    <row r="259" spans="1:14" ht="15" thickBot="1" x14ac:dyDescent="0.4">
      <c r="A259" s="5">
        <v>1214</v>
      </c>
      <c r="B259" s="5" t="s">
        <v>42</v>
      </c>
      <c r="C259" s="5" t="s">
        <v>25</v>
      </c>
      <c r="D259" s="5" t="s">
        <v>18</v>
      </c>
      <c r="E259" s="5" t="s">
        <v>28</v>
      </c>
      <c r="F259" s="5">
        <v>19</v>
      </c>
      <c r="G259" s="5">
        <v>13832</v>
      </c>
      <c r="H259" s="5">
        <v>0</v>
      </c>
      <c r="I259" s="6">
        <v>46140</v>
      </c>
      <c r="J259" s="6">
        <v>46145</v>
      </c>
      <c r="K259" s="10" t="s">
        <v>51</v>
      </c>
      <c r="L259" s="14" t="str">
        <f t="shared" ref="L259:L322" si="12">LEFT(B259,3)&amp;A259</f>
        <v>Nis1214</v>
      </c>
      <c r="M259" s="15" t="str">
        <f t="shared" ref="M259:M322" si="13">LEFT(E259,3)&amp;RIGHT(E259,2)</f>
        <v>Chair</v>
      </c>
      <c r="N259" s="16" t="str">
        <f t="shared" ref="N259:N322" si="14">MID(E259,2,4)</f>
        <v>hair</v>
      </c>
    </row>
    <row r="260" spans="1:14" ht="15" thickBot="1" x14ac:dyDescent="0.4">
      <c r="A260" s="5">
        <v>1346</v>
      </c>
      <c r="B260" s="5" t="s">
        <v>32</v>
      </c>
      <c r="C260" s="5" t="s">
        <v>22</v>
      </c>
      <c r="D260" s="5" t="s">
        <v>18</v>
      </c>
      <c r="E260" s="5" t="s">
        <v>19</v>
      </c>
      <c r="F260" s="5">
        <v>16</v>
      </c>
      <c r="G260" s="5">
        <v>6910</v>
      </c>
      <c r="H260" s="5">
        <v>15</v>
      </c>
      <c r="I260" s="6">
        <v>46140</v>
      </c>
      <c r="J260" s="6">
        <v>46142</v>
      </c>
      <c r="K260" s="10" t="s">
        <v>29</v>
      </c>
      <c r="L260" s="14" t="str">
        <f t="shared" si="12"/>
        <v>Ash1346</v>
      </c>
      <c r="M260" s="15" t="str">
        <f t="shared" si="13"/>
        <v>Dessk</v>
      </c>
      <c r="N260" s="16" t="str">
        <f t="shared" si="14"/>
        <v>esk</v>
      </c>
    </row>
    <row r="261" spans="1:14" ht="15" thickBot="1" x14ac:dyDescent="0.4">
      <c r="A261" s="5">
        <v>1101</v>
      </c>
      <c r="B261" s="5" t="s">
        <v>27</v>
      </c>
      <c r="C261" s="5" t="s">
        <v>22</v>
      </c>
      <c r="D261" s="5" t="s">
        <v>34</v>
      </c>
      <c r="E261" s="5" t="s">
        <v>61</v>
      </c>
      <c r="F261" s="5">
        <v>9</v>
      </c>
      <c r="G261" s="5">
        <v>37361</v>
      </c>
      <c r="H261" s="5">
        <v>10</v>
      </c>
      <c r="I261" s="6">
        <v>46141</v>
      </c>
      <c r="J261" s="6">
        <v>46142</v>
      </c>
      <c r="K261" s="10" t="s">
        <v>24</v>
      </c>
      <c r="L261" s="14" t="str">
        <f t="shared" si="12"/>
        <v>Arj1101</v>
      </c>
      <c r="M261" s="15" t="str">
        <f t="shared" si="13"/>
        <v>Mouse</v>
      </c>
      <c r="N261" s="16" t="str">
        <f t="shared" si="14"/>
        <v>ouse</v>
      </c>
    </row>
    <row r="262" spans="1:14" ht="15" thickBot="1" x14ac:dyDescent="0.4">
      <c r="A262" s="5">
        <v>1322</v>
      </c>
      <c r="B262" s="5" t="s">
        <v>27</v>
      </c>
      <c r="C262" s="5" t="s">
        <v>12</v>
      </c>
      <c r="D262" s="5" t="s">
        <v>18</v>
      </c>
      <c r="E262" s="5" t="s">
        <v>23</v>
      </c>
      <c r="F262" s="5">
        <v>14</v>
      </c>
      <c r="G262" s="5">
        <v>9081</v>
      </c>
      <c r="H262" s="5">
        <v>15</v>
      </c>
      <c r="I262" s="6">
        <v>46141</v>
      </c>
      <c r="J262" s="6">
        <v>46146</v>
      </c>
      <c r="K262" s="10" t="s">
        <v>15</v>
      </c>
      <c r="L262" s="14" t="str">
        <f t="shared" si="12"/>
        <v>Arj1322</v>
      </c>
      <c r="M262" s="15" t="str">
        <f t="shared" si="13"/>
        <v>Table</v>
      </c>
      <c r="N262" s="16" t="str">
        <f t="shared" si="14"/>
        <v>able</v>
      </c>
    </row>
    <row r="263" spans="1:14" ht="15" thickBot="1" x14ac:dyDescent="0.4">
      <c r="A263" s="5">
        <v>1361</v>
      </c>
      <c r="B263" s="5" t="s">
        <v>42</v>
      </c>
      <c r="C263" s="5" t="s">
        <v>17</v>
      </c>
      <c r="D263" s="5" t="s">
        <v>18</v>
      </c>
      <c r="E263" s="5" t="s">
        <v>23</v>
      </c>
      <c r="F263" s="5">
        <v>2</v>
      </c>
      <c r="G263" s="5">
        <v>1822</v>
      </c>
      <c r="H263" s="5">
        <v>5</v>
      </c>
      <c r="I263" s="6">
        <v>46141</v>
      </c>
      <c r="J263" s="6">
        <v>46145</v>
      </c>
      <c r="K263" s="10" t="s">
        <v>20</v>
      </c>
      <c r="L263" s="14" t="str">
        <f t="shared" si="12"/>
        <v>Nis1361</v>
      </c>
      <c r="M263" s="15" t="str">
        <f t="shared" si="13"/>
        <v>Table</v>
      </c>
      <c r="N263" s="16" t="str">
        <f t="shared" si="14"/>
        <v>able</v>
      </c>
    </row>
    <row r="264" spans="1:14" ht="15" thickBot="1" x14ac:dyDescent="0.4">
      <c r="A264" s="5">
        <v>1254</v>
      </c>
      <c r="B264" s="5" t="s">
        <v>52</v>
      </c>
      <c r="C264" s="5" t="s">
        <v>22</v>
      </c>
      <c r="D264" s="5" t="s">
        <v>13</v>
      </c>
      <c r="E264" s="5" t="s">
        <v>50</v>
      </c>
      <c r="F264" s="5">
        <v>18</v>
      </c>
      <c r="G264" s="5">
        <v>447</v>
      </c>
      <c r="H264" s="5">
        <v>15</v>
      </c>
      <c r="I264" s="6">
        <v>46141</v>
      </c>
      <c r="J264" s="6">
        <v>46149</v>
      </c>
      <c r="K264" s="10" t="s">
        <v>24</v>
      </c>
      <c r="L264" s="14" t="str">
        <f t="shared" si="12"/>
        <v>Kom1254</v>
      </c>
      <c r="M264" s="15" t="str">
        <f t="shared" si="13"/>
        <v>Marer</v>
      </c>
      <c r="N264" s="16" t="str">
        <f t="shared" si="14"/>
        <v>arke</v>
      </c>
    </row>
    <row r="265" spans="1:14" ht="15" thickBot="1" x14ac:dyDescent="0.4">
      <c r="A265" s="5">
        <v>1160</v>
      </c>
      <c r="B265" s="5" t="s">
        <v>59</v>
      </c>
      <c r="C265" s="5" t="s">
        <v>22</v>
      </c>
      <c r="D265" s="5" t="s">
        <v>34</v>
      </c>
      <c r="E265" s="5" t="s">
        <v>39</v>
      </c>
      <c r="F265" s="5">
        <v>7</v>
      </c>
      <c r="G265" s="5">
        <v>53986</v>
      </c>
      <c r="H265" s="5">
        <v>10</v>
      </c>
      <c r="I265" s="6">
        <v>46142</v>
      </c>
      <c r="J265" s="6">
        <v>46147</v>
      </c>
      <c r="K265" s="10" t="s">
        <v>51</v>
      </c>
      <c r="L265" s="14" t="str">
        <f t="shared" si="12"/>
        <v>Ani1160</v>
      </c>
      <c r="M265" s="15" t="str">
        <f t="shared" si="13"/>
        <v>Keyrd</v>
      </c>
      <c r="N265" s="16" t="str">
        <f t="shared" si="14"/>
        <v>eybo</v>
      </c>
    </row>
    <row r="266" spans="1:14" ht="15" thickBot="1" x14ac:dyDescent="0.4">
      <c r="A266" s="5">
        <v>1240</v>
      </c>
      <c r="B266" s="5" t="s">
        <v>55</v>
      </c>
      <c r="C266" s="5" t="s">
        <v>33</v>
      </c>
      <c r="D266" s="5" t="s">
        <v>18</v>
      </c>
      <c r="E266" s="5" t="s">
        <v>23</v>
      </c>
      <c r="F266" s="5">
        <v>2</v>
      </c>
      <c r="G266" s="5">
        <v>5475</v>
      </c>
      <c r="H266" s="5">
        <v>2</v>
      </c>
      <c r="I266" s="6">
        <v>46142</v>
      </c>
      <c r="J266" s="6">
        <v>46146</v>
      </c>
      <c r="K266" s="10" t="s">
        <v>29</v>
      </c>
      <c r="L266" s="14" t="str">
        <f t="shared" si="12"/>
        <v>Sne1240</v>
      </c>
      <c r="M266" s="15" t="str">
        <f t="shared" si="13"/>
        <v>Table</v>
      </c>
      <c r="N266" s="16" t="str">
        <f t="shared" si="14"/>
        <v>able</v>
      </c>
    </row>
    <row r="267" spans="1:14" ht="15" thickBot="1" x14ac:dyDescent="0.4">
      <c r="A267" s="5">
        <v>1339</v>
      </c>
      <c r="B267" s="5" t="s">
        <v>32</v>
      </c>
      <c r="C267" s="5" t="s">
        <v>25</v>
      </c>
      <c r="D267" s="5" t="s">
        <v>13</v>
      </c>
      <c r="E267" s="5" t="s">
        <v>14</v>
      </c>
      <c r="F267" s="5">
        <v>6</v>
      </c>
      <c r="G267" s="5">
        <v>302</v>
      </c>
      <c r="H267" s="5">
        <v>5</v>
      </c>
      <c r="I267" s="6">
        <v>46142</v>
      </c>
      <c r="J267" s="6">
        <v>46148</v>
      </c>
      <c r="K267" s="10" t="s">
        <v>20</v>
      </c>
      <c r="L267" s="14" t="str">
        <f t="shared" si="12"/>
        <v>Ash1339</v>
      </c>
      <c r="M267" s="15" t="str">
        <f t="shared" si="13"/>
        <v>Notok</v>
      </c>
      <c r="N267" s="16" t="str">
        <f t="shared" si="14"/>
        <v>oteb</v>
      </c>
    </row>
    <row r="268" spans="1:14" ht="15" thickBot="1" x14ac:dyDescent="0.4">
      <c r="A268" s="5">
        <v>1150</v>
      </c>
      <c r="B268" s="5" t="s">
        <v>42</v>
      </c>
      <c r="C268" s="5" t="s">
        <v>12</v>
      </c>
      <c r="D268" s="5" t="s">
        <v>18</v>
      </c>
      <c r="E268" s="5" t="s">
        <v>56</v>
      </c>
      <c r="F268" s="5">
        <v>10</v>
      </c>
      <c r="G268" s="5">
        <v>5323</v>
      </c>
      <c r="H268" s="5">
        <v>7</v>
      </c>
      <c r="I268" s="6">
        <v>46143</v>
      </c>
      <c r="J268" s="6">
        <v>46153</v>
      </c>
      <c r="K268" s="10" t="s">
        <v>24</v>
      </c>
      <c r="L268" s="14" t="str">
        <f t="shared" si="12"/>
        <v>Nis1150</v>
      </c>
      <c r="M268" s="15" t="str">
        <f t="shared" si="13"/>
        <v>Cabet</v>
      </c>
      <c r="N268" s="16" t="str">
        <f t="shared" si="14"/>
        <v>abin</v>
      </c>
    </row>
    <row r="269" spans="1:14" ht="15" thickBot="1" x14ac:dyDescent="0.4">
      <c r="A269" s="5">
        <v>1218</v>
      </c>
      <c r="B269" s="5" t="s">
        <v>55</v>
      </c>
      <c r="C269" s="5" t="s">
        <v>38</v>
      </c>
      <c r="D269" s="5" t="s">
        <v>13</v>
      </c>
      <c r="E269" s="5" t="s">
        <v>14</v>
      </c>
      <c r="F269" s="5">
        <v>1</v>
      </c>
      <c r="G269" s="5">
        <v>134</v>
      </c>
      <c r="H269" s="5">
        <v>10</v>
      </c>
      <c r="I269" s="6">
        <v>46143</v>
      </c>
      <c r="J269" s="6">
        <v>46151</v>
      </c>
      <c r="K269" s="10" t="s">
        <v>51</v>
      </c>
      <c r="L269" s="14" t="str">
        <f t="shared" si="12"/>
        <v>Sne1218</v>
      </c>
      <c r="M269" s="15" t="str">
        <f t="shared" si="13"/>
        <v>Notok</v>
      </c>
      <c r="N269" s="16" t="str">
        <f t="shared" si="14"/>
        <v>oteb</v>
      </c>
    </row>
    <row r="270" spans="1:14" ht="15" thickBot="1" x14ac:dyDescent="0.4">
      <c r="A270" s="5">
        <v>1021</v>
      </c>
      <c r="B270" s="5" t="s">
        <v>48</v>
      </c>
      <c r="C270" s="5" t="s">
        <v>43</v>
      </c>
      <c r="D270" s="5" t="s">
        <v>13</v>
      </c>
      <c r="E270" s="5" t="s">
        <v>14</v>
      </c>
      <c r="F270" s="5">
        <v>3</v>
      </c>
      <c r="G270" s="5">
        <v>484</v>
      </c>
      <c r="H270" s="5">
        <v>2</v>
      </c>
      <c r="I270" s="6">
        <v>46144</v>
      </c>
      <c r="J270" s="6">
        <v>46148</v>
      </c>
      <c r="K270" s="10" t="s">
        <v>24</v>
      </c>
      <c r="L270" s="14" t="str">
        <f t="shared" si="12"/>
        <v>Nit1021</v>
      </c>
      <c r="M270" s="15" t="str">
        <f t="shared" si="13"/>
        <v>Notok</v>
      </c>
      <c r="N270" s="16" t="str">
        <f t="shared" si="14"/>
        <v>oteb</v>
      </c>
    </row>
    <row r="271" spans="1:14" ht="15" thickBot="1" x14ac:dyDescent="0.4">
      <c r="A271" s="5">
        <v>1184</v>
      </c>
      <c r="B271" s="5" t="s">
        <v>40</v>
      </c>
      <c r="C271" s="5" t="s">
        <v>31</v>
      </c>
      <c r="D271" s="5" t="s">
        <v>34</v>
      </c>
      <c r="E271" s="5" t="s">
        <v>39</v>
      </c>
      <c r="F271" s="5">
        <v>12</v>
      </c>
      <c r="G271" s="5">
        <v>50517</v>
      </c>
      <c r="H271" s="5">
        <v>15</v>
      </c>
      <c r="I271" s="6">
        <v>46145</v>
      </c>
      <c r="J271" s="6">
        <v>46153</v>
      </c>
      <c r="K271" s="10" t="s">
        <v>29</v>
      </c>
      <c r="L271" s="14" t="str">
        <f t="shared" si="12"/>
        <v>Dee1184</v>
      </c>
      <c r="M271" s="15" t="str">
        <f t="shared" si="13"/>
        <v>Keyrd</v>
      </c>
      <c r="N271" s="16" t="str">
        <f t="shared" si="14"/>
        <v>eybo</v>
      </c>
    </row>
    <row r="272" spans="1:14" ht="15" thickBot="1" x14ac:dyDescent="0.4">
      <c r="A272" s="5">
        <v>1333</v>
      </c>
      <c r="B272" s="5" t="s">
        <v>29</v>
      </c>
      <c r="C272" s="5" t="s">
        <v>38</v>
      </c>
      <c r="D272" s="5" t="s">
        <v>13</v>
      </c>
      <c r="E272" s="5" t="s">
        <v>53</v>
      </c>
      <c r="F272" s="5">
        <v>20</v>
      </c>
      <c r="G272" s="5">
        <v>416</v>
      </c>
      <c r="H272" s="5">
        <v>12</v>
      </c>
      <c r="I272" s="6">
        <v>46145</v>
      </c>
      <c r="J272" s="6">
        <v>46146</v>
      </c>
      <c r="K272" s="10" t="s">
        <v>51</v>
      </c>
      <c r="L272" s="14" t="str">
        <f t="shared" si="12"/>
        <v>Pri1333</v>
      </c>
      <c r="M272" s="15" t="str">
        <f t="shared" si="13"/>
        <v>Diary</v>
      </c>
      <c r="N272" s="16" t="str">
        <f t="shared" si="14"/>
        <v>iary</v>
      </c>
    </row>
    <row r="273" spans="1:14" ht="15" thickBot="1" x14ac:dyDescent="0.4">
      <c r="A273" s="5">
        <v>1085</v>
      </c>
      <c r="B273" s="5" t="s">
        <v>32</v>
      </c>
      <c r="C273" s="5" t="s">
        <v>38</v>
      </c>
      <c r="D273" s="5" t="s">
        <v>34</v>
      </c>
      <c r="E273" s="5" t="s">
        <v>60</v>
      </c>
      <c r="F273" s="5">
        <v>19</v>
      </c>
      <c r="G273" s="5">
        <v>45307</v>
      </c>
      <c r="H273" s="5">
        <v>12</v>
      </c>
      <c r="I273" s="6">
        <v>46146</v>
      </c>
      <c r="J273" s="6">
        <v>46150</v>
      </c>
      <c r="K273" s="10" t="s">
        <v>24</v>
      </c>
      <c r="L273" s="14" t="str">
        <f t="shared" si="12"/>
        <v>Ash1085</v>
      </c>
      <c r="M273" s="15" t="str">
        <f t="shared" si="13"/>
        <v>Lapop</v>
      </c>
      <c r="N273" s="16" t="str">
        <f t="shared" si="14"/>
        <v>apto</v>
      </c>
    </row>
    <row r="274" spans="1:14" ht="15" thickBot="1" x14ac:dyDescent="0.4">
      <c r="A274" s="5">
        <v>1305</v>
      </c>
      <c r="B274" s="5" t="s">
        <v>58</v>
      </c>
      <c r="C274" s="5" t="s">
        <v>31</v>
      </c>
      <c r="D274" s="5" t="s">
        <v>34</v>
      </c>
      <c r="E274" s="5" t="s">
        <v>60</v>
      </c>
      <c r="F274" s="5">
        <v>20</v>
      </c>
      <c r="G274" s="5">
        <v>31406</v>
      </c>
      <c r="H274" s="5">
        <v>15</v>
      </c>
      <c r="I274" s="6">
        <v>46146</v>
      </c>
      <c r="J274" s="6">
        <v>46154</v>
      </c>
      <c r="K274" s="10" t="s">
        <v>51</v>
      </c>
      <c r="L274" s="14" t="str">
        <f t="shared" si="12"/>
        <v>Roh1305</v>
      </c>
      <c r="M274" s="15" t="str">
        <f t="shared" si="13"/>
        <v>Lapop</v>
      </c>
      <c r="N274" s="16" t="str">
        <f t="shared" si="14"/>
        <v>apto</v>
      </c>
    </row>
    <row r="275" spans="1:14" ht="15" thickBot="1" x14ac:dyDescent="0.4">
      <c r="A275" s="5">
        <v>1360</v>
      </c>
      <c r="B275" s="5" t="s">
        <v>11</v>
      </c>
      <c r="C275" s="5" t="s">
        <v>43</v>
      </c>
      <c r="D275" s="5" t="s">
        <v>18</v>
      </c>
      <c r="E275" s="5" t="s">
        <v>23</v>
      </c>
      <c r="F275" s="5">
        <v>19</v>
      </c>
      <c r="G275" s="5">
        <v>6681</v>
      </c>
      <c r="H275" s="5">
        <v>2</v>
      </c>
      <c r="I275" s="6">
        <v>46146</v>
      </c>
      <c r="J275" s="6">
        <v>46150</v>
      </c>
      <c r="K275" s="10" t="s">
        <v>15</v>
      </c>
      <c r="L275" s="14" t="str">
        <f t="shared" si="12"/>
        <v>Rit1360</v>
      </c>
      <c r="M275" s="15" t="str">
        <f t="shared" si="13"/>
        <v>Table</v>
      </c>
      <c r="N275" s="16" t="str">
        <f t="shared" si="14"/>
        <v>able</v>
      </c>
    </row>
    <row r="276" spans="1:14" ht="15" thickBot="1" x14ac:dyDescent="0.4">
      <c r="A276" s="5">
        <v>1117</v>
      </c>
      <c r="B276" s="5" t="s">
        <v>55</v>
      </c>
      <c r="C276" s="5" t="s">
        <v>43</v>
      </c>
      <c r="D276" s="5" t="s">
        <v>34</v>
      </c>
      <c r="E276" s="5" t="s">
        <v>39</v>
      </c>
      <c r="F276" s="5">
        <v>16</v>
      </c>
      <c r="G276" s="5">
        <v>33162</v>
      </c>
      <c r="H276" s="5">
        <v>7</v>
      </c>
      <c r="I276" s="6">
        <v>46147</v>
      </c>
      <c r="J276" s="6">
        <v>46155</v>
      </c>
      <c r="K276" s="10" t="s">
        <v>29</v>
      </c>
      <c r="L276" s="14" t="str">
        <f t="shared" si="12"/>
        <v>Sne1117</v>
      </c>
      <c r="M276" s="15" t="str">
        <f t="shared" si="13"/>
        <v>Keyrd</v>
      </c>
      <c r="N276" s="16" t="str">
        <f t="shared" si="14"/>
        <v>eybo</v>
      </c>
    </row>
    <row r="277" spans="1:14" ht="15" thickBot="1" x14ac:dyDescent="0.4">
      <c r="A277" s="5">
        <v>1063</v>
      </c>
      <c r="B277" s="5" t="s">
        <v>54</v>
      </c>
      <c r="C277" s="5" t="s">
        <v>22</v>
      </c>
      <c r="D277" s="5" t="s">
        <v>34</v>
      </c>
      <c r="E277" s="5" t="s">
        <v>45</v>
      </c>
      <c r="F277" s="5">
        <v>7</v>
      </c>
      <c r="G277" s="5">
        <v>66744</v>
      </c>
      <c r="H277" s="5">
        <v>7</v>
      </c>
      <c r="I277" s="6">
        <v>46148</v>
      </c>
      <c r="J277" s="6">
        <v>46155</v>
      </c>
      <c r="K277" s="10" t="s">
        <v>15</v>
      </c>
      <c r="L277" s="14" t="str">
        <f t="shared" si="12"/>
        <v>Man1063</v>
      </c>
      <c r="M277" s="15" t="str">
        <f t="shared" si="13"/>
        <v>Monor</v>
      </c>
      <c r="N277" s="16" t="str">
        <f t="shared" si="14"/>
        <v>onit</v>
      </c>
    </row>
    <row r="278" spans="1:14" ht="15" thickBot="1" x14ac:dyDescent="0.4">
      <c r="A278" s="5">
        <v>1134</v>
      </c>
      <c r="B278" s="5" t="s">
        <v>57</v>
      </c>
      <c r="C278" s="5" t="s">
        <v>31</v>
      </c>
      <c r="D278" s="5" t="s">
        <v>34</v>
      </c>
      <c r="E278" s="5" t="s">
        <v>61</v>
      </c>
      <c r="F278" s="5">
        <v>10</v>
      </c>
      <c r="G278" s="5">
        <v>29217</v>
      </c>
      <c r="H278" s="5">
        <v>15</v>
      </c>
      <c r="I278" s="6">
        <v>46148</v>
      </c>
      <c r="J278" s="6">
        <v>46150</v>
      </c>
      <c r="K278" s="10" t="s">
        <v>24</v>
      </c>
      <c r="L278" s="14" t="str">
        <f t="shared" si="12"/>
        <v>Sar1134</v>
      </c>
      <c r="M278" s="15" t="str">
        <f t="shared" si="13"/>
        <v>Mouse</v>
      </c>
      <c r="N278" s="16" t="str">
        <f t="shared" si="14"/>
        <v>ouse</v>
      </c>
    </row>
    <row r="279" spans="1:14" ht="15" thickBot="1" x14ac:dyDescent="0.4">
      <c r="A279" s="5">
        <v>1312</v>
      </c>
      <c r="B279" s="5" t="s">
        <v>57</v>
      </c>
      <c r="C279" s="5" t="s">
        <v>22</v>
      </c>
      <c r="D279" s="5" t="s">
        <v>18</v>
      </c>
      <c r="E279" s="5" t="s">
        <v>56</v>
      </c>
      <c r="F279" s="5">
        <v>20</v>
      </c>
      <c r="G279" s="5">
        <v>3274</v>
      </c>
      <c r="H279" s="5">
        <v>2</v>
      </c>
      <c r="I279" s="6">
        <v>46148</v>
      </c>
      <c r="J279" s="6">
        <v>46156</v>
      </c>
      <c r="K279" s="10" t="s">
        <v>24</v>
      </c>
      <c r="L279" s="14" t="str">
        <f t="shared" si="12"/>
        <v>Sar1312</v>
      </c>
      <c r="M279" s="15" t="str">
        <f t="shared" si="13"/>
        <v>Cabet</v>
      </c>
      <c r="N279" s="16" t="str">
        <f t="shared" si="14"/>
        <v>abin</v>
      </c>
    </row>
    <row r="280" spans="1:14" ht="15" thickBot="1" x14ac:dyDescent="0.4">
      <c r="A280" s="5">
        <v>1191</v>
      </c>
      <c r="B280" s="5" t="s">
        <v>52</v>
      </c>
      <c r="C280" s="5" t="s">
        <v>33</v>
      </c>
      <c r="D280" s="5" t="s">
        <v>18</v>
      </c>
      <c r="E280" s="5" t="s">
        <v>56</v>
      </c>
      <c r="F280" s="5">
        <v>9</v>
      </c>
      <c r="G280" s="5">
        <v>8631</v>
      </c>
      <c r="H280" s="5">
        <v>10</v>
      </c>
      <c r="I280" s="6">
        <v>46149</v>
      </c>
      <c r="J280" s="6">
        <v>46156</v>
      </c>
      <c r="K280" s="10" t="s">
        <v>20</v>
      </c>
      <c r="L280" s="14" t="str">
        <f t="shared" si="12"/>
        <v>Kom1191</v>
      </c>
      <c r="M280" s="15" t="str">
        <f t="shared" si="13"/>
        <v>Cabet</v>
      </c>
      <c r="N280" s="16" t="str">
        <f t="shared" si="14"/>
        <v>abin</v>
      </c>
    </row>
    <row r="281" spans="1:14" ht="15" thickBot="1" x14ac:dyDescent="0.4">
      <c r="A281" s="5">
        <v>1115</v>
      </c>
      <c r="B281" s="5" t="s">
        <v>59</v>
      </c>
      <c r="C281" s="5" t="s">
        <v>43</v>
      </c>
      <c r="D281" s="5" t="s">
        <v>13</v>
      </c>
      <c r="E281" s="5" t="s">
        <v>50</v>
      </c>
      <c r="F281" s="5">
        <v>9</v>
      </c>
      <c r="G281" s="5">
        <v>303</v>
      </c>
      <c r="H281" s="5">
        <v>10</v>
      </c>
      <c r="I281" s="6">
        <v>46149</v>
      </c>
      <c r="J281" s="6">
        <v>46157</v>
      </c>
      <c r="K281" s="10" t="s">
        <v>29</v>
      </c>
      <c r="L281" s="14" t="str">
        <f t="shared" si="12"/>
        <v>Ani1115</v>
      </c>
      <c r="M281" s="15" t="str">
        <f t="shared" si="13"/>
        <v>Marer</v>
      </c>
      <c r="N281" s="16" t="str">
        <f t="shared" si="14"/>
        <v>arke</v>
      </c>
    </row>
    <row r="282" spans="1:14" ht="15" thickBot="1" x14ac:dyDescent="0.4">
      <c r="A282" s="5">
        <v>1327</v>
      </c>
      <c r="B282" s="5" t="s">
        <v>48</v>
      </c>
      <c r="C282" s="5" t="s">
        <v>12</v>
      </c>
      <c r="D282" s="5" t="s">
        <v>13</v>
      </c>
      <c r="E282" s="5" t="s">
        <v>53</v>
      </c>
      <c r="F282" s="5">
        <v>15</v>
      </c>
      <c r="G282" s="5">
        <v>449</v>
      </c>
      <c r="H282" s="5">
        <v>5</v>
      </c>
      <c r="I282" s="6">
        <v>46152</v>
      </c>
      <c r="J282" s="6">
        <v>46153</v>
      </c>
      <c r="K282" s="10" t="s">
        <v>15</v>
      </c>
      <c r="L282" s="14" t="str">
        <f t="shared" si="12"/>
        <v>Nit1327</v>
      </c>
      <c r="M282" s="15" t="str">
        <f t="shared" si="13"/>
        <v>Diary</v>
      </c>
      <c r="N282" s="16" t="str">
        <f t="shared" si="14"/>
        <v>iary</v>
      </c>
    </row>
    <row r="283" spans="1:14" ht="15" thickBot="1" x14ac:dyDescent="0.4">
      <c r="A283" s="5">
        <v>1046</v>
      </c>
      <c r="B283" s="5" t="s">
        <v>57</v>
      </c>
      <c r="C283" s="5" t="s">
        <v>38</v>
      </c>
      <c r="D283" s="5" t="s">
        <v>34</v>
      </c>
      <c r="E283" s="5" t="s">
        <v>45</v>
      </c>
      <c r="F283" s="5">
        <v>3</v>
      </c>
      <c r="G283" s="5">
        <v>19443</v>
      </c>
      <c r="H283" s="5">
        <v>10</v>
      </c>
      <c r="I283" s="6">
        <v>46153</v>
      </c>
      <c r="J283" s="6">
        <v>46158</v>
      </c>
      <c r="K283" s="10" t="s">
        <v>29</v>
      </c>
      <c r="L283" s="14" t="str">
        <f t="shared" si="12"/>
        <v>Sar1046</v>
      </c>
      <c r="M283" s="15" t="str">
        <f t="shared" si="13"/>
        <v>Monor</v>
      </c>
      <c r="N283" s="16" t="str">
        <f t="shared" si="14"/>
        <v>onit</v>
      </c>
    </row>
    <row r="284" spans="1:14" ht="15" thickBot="1" x14ac:dyDescent="0.4">
      <c r="A284" s="5">
        <v>1185</v>
      </c>
      <c r="B284" s="5" t="s">
        <v>58</v>
      </c>
      <c r="C284" s="5" t="s">
        <v>22</v>
      </c>
      <c r="D284" s="5" t="s">
        <v>34</v>
      </c>
      <c r="E284" s="5" t="s">
        <v>60</v>
      </c>
      <c r="F284" s="5">
        <v>16</v>
      </c>
      <c r="G284" s="5">
        <v>15536</v>
      </c>
      <c r="H284" s="5">
        <v>2</v>
      </c>
      <c r="I284" s="6">
        <v>46153</v>
      </c>
      <c r="J284" s="6">
        <v>46156</v>
      </c>
      <c r="K284" s="10" t="s">
        <v>15</v>
      </c>
      <c r="L284" s="14" t="str">
        <f t="shared" si="12"/>
        <v>Roh1185</v>
      </c>
      <c r="M284" s="15" t="str">
        <f t="shared" si="13"/>
        <v>Lapop</v>
      </c>
      <c r="N284" s="16" t="str">
        <f t="shared" si="14"/>
        <v>apto</v>
      </c>
    </row>
    <row r="285" spans="1:14" ht="15" thickBot="1" x14ac:dyDescent="0.4">
      <c r="A285" s="5">
        <v>1147</v>
      </c>
      <c r="B285" s="5" t="s">
        <v>11</v>
      </c>
      <c r="C285" s="5" t="s">
        <v>22</v>
      </c>
      <c r="D285" s="5" t="s">
        <v>18</v>
      </c>
      <c r="E285" s="5" t="s">
        <v>28</v>
      </c>
      <c r="F285" s="5">
        <v>7</v>
      </c>
      <c r="G285" s="5">
        <v>9581</v>
      </c>
      <c r="H285" s="5">
        <v>5</v>
      </c>
      <c r="I285" s="6">
        <v>46154</v>
      </c>
      <c r="J285" s="6">
        <v>46155</v>
      </c>
      <c r="K285" s="10" t="s">
        <v>20</v>
      </c>
      <c r="L285" s="14" t="str">
        <f t="shared" si="12"/>
        <v>Rit1147</v>
      </c>
      <c r="M285" s="15" t="str">
        <f t="shared" si="13"/>
        <v>Chair</v>
      </c>
      <c r="N285" s="16" t="str">
        <f t="shared" si="14"/>
        <v>hair</v>
      </c>
    </row>
    <row r="286" spans="1:14" ht="15" thickBot="1" x14ac:dyDescent="0.4">
      <c r="A286" s="5">
        <v>1222</v>
      </c>
      <c r="B286" s="5" t="s">
        <v>30</v>
      </c>
      <c r="C286" s="5" t="s">
        <v>33</v>
      </c>
      <c r="D286" s="5" t="s">
        <v>18</v>
      </c>
      <c r="E286" s="5" t="s">
        <v>23</v>
      </c>
      <c r="F286" s="5">
        <v>9</v>
      </c>
      <c r="G286" s="5">
        <v>2712</v>
      </c>
      <c r="H286" s="5">
        <v>12</v>
      </c>
      <c r="I286" s="6">
        <v>46154</v>
      </c>
      <c r="J286" s="6">
        <v>46163</v>
      </c>
      <c r="K286" s="10" t="s">
        <v>15</v>
      </c>
      <c r="L286" s="14" t="str">
        <f t="shared" si="12"/>
        <v>Neh1222</v>
      </c>
      <c r="M286" s="15" t="str">
        <f t="shared" si="13"/>
        <v>Table</v>
      </c>
      <c r="N286" s="16" t="str">
        <f t="shared" si="14"/>
        <v>able</v>
      </c>
    </row>
    <row r="287" spans="1:14" ht="15" thickBot="1" x14ac:dyDescent="0.4">
      <c r="A287" s="5">
        <v>1332</v>
      </c>
      <c r="B287" s="5" t="s">
        <v>29</v>
      </c>
      <c r="C287" s="5" t="s">
        <v>43</v>
      </c>
      <c r="D287" s="5" t="s">
        <v>13</v>
      </c>
      <c r="E287" s="5" t="s">
        <v>50</v>
      </c>
      <c r="F287" s="5">
        <v>7</v>
      </c>
      <c r="G287" s="5">
        <v>439</v>
      </c>
      <c r="H287" s="5">
        <v>2</v>
      </c>
      <c r="I287" s="6">
        <v>46154</v>
      </c>
      <c r="J287" s="6">
        <v>46157</v>
      </c>
      <c r="K287" s="10" t="s">
        <v>15</v>
      </c>
      <c r="L287" s="14" t="str">
        <f t="shared" si="12"/>
        <v>Pri1332</v>
      </c>
      <c r="M287" s="15" t="str">
        <f t="shared" si="13"/>
        <v>Marer</v>
      </c>
      <c r="N287" s="16" t="str">
        <f t="shared" si="14"/>
        <v>arke</v>
      </c>
    </row>
    <row r="288" spans="1:14" ht="15" thickBot="1" x14ac:dyDescent="0.4">
      <c r="A288" s="5">
        <v>1179</v>
      </c>
      <c r="B288" s="5" t="s">
        <v>47</v>
      </c>
      <c r="C288" s="5" t="s">
        <v>17</v>
      </c>
      <c r="D288" s="5" t="s">
        <v>34</v>
      </c>
      <c r="E288" s="5" t="s">
        <v>39</v>
      </c>
      <c r="F288" s="5">
        <v>6</v>
      </c>
      <c r="G288" s="5">
        <v>10400</v>
      </c>
      <c r="H288" s="5">
        <v>2</v>
      </c>
      <c r="I288" s="6">
        <v>46155</v>
      </c>
      <c r="J288" s="6">
        <v>46158</v>
      </c>
      <c r="K288" s="10" t="s">
        <v>15</v>
      </c>
      <c r="L288" s="14" t="str">
        <f t="shared" si="12"/>
        <v>Yas1179</v>
      </c>
      <c r="M288" s="15" t="str">
        <f t="shared" si="13"/>
        <v>Keyrd</v>
      </c>
      <c r="N288" s="16" t="str">
        <f t="shared" si="14"/>
        <v>eybo</v>
      </c>
    </row>
    <row r="289" spans="1:14" ht="15" thickBot="1" x14ac:dyDescent="0.4">
      <c r="A289" s="5">
        <v>1196</v>
      </c>
      <c r="B289" s="5" t="s">
        <v>48</v>
      </c>
      <c r="C289" s="5" t="s">
        <v>22</v>
      </c>
      <c r="D289" s="5" t="s">
        <v>34</v>
      </c>
      <c r="E289" s="5" t="s">
        <v>35</v>
      </c>
      <c r="F289" s="5">
        <v>20</v>
      </c>
      <c r="G289" s="5">
        <v>3172</v>
      </c>
      <c r="H289" s="5">
        <v>5</v>
      </c>
      <c r="I289" s="6">
        <v>46155</v>
      </c>
      <c r="J289" s="6">
        <v>46159</v>
      </c>
      <c r="K289" s="10" t="s">
        <v>20</v>
      </c>
      <c r="L289" s="14" t="str">
        <f t="shared" si="12"/>
        <v>Nit1196</v>
      </c>
      <c r="M289" s="15" t="str">
        <f t="shared" si="13"/>
        <v>Prier</v>
      </c>
      <c r="N289" s="16" t="str">
        <f t="shared" si="14"/>
        <v>rint</v>
      </c>
    </row>
    <row r="290" spans="1:14" ht="15" thickBot="1" x14ac:dyDescent="0.4">
      <c r="A290" s="5">
        <v>1027</v>
      </c>
      <c r="B290" s="5" t="s">
        <v>29</v>
      </c>
      <c r="C290" s="5" t="s">
        <v>43</v>
      </c>
      <c r="D290" s="5" t="s">
        <v>13</v>
      </c>
      <c r="E290" s="5" t="s">
        <v>50</v>
      </c>
      <c r="F290" s="5">
        <v>4</v>
      </c>
      <c r="G290" s="5">
        <v>264</v>
      </c>
      <c r="H290" s="5">
        <v>0</v>
      </c>
      <c r="I290" s="6">
        <v>46155</v>
      </c>
      <c r="J290" s="6">
        <v>46161</v>
      </c>
      <c r="K290" s="10" t="s">
        <v>51</v>
      </c>
      <c r="L290" s="14" t="str">
        <f t="shared" si="12"/>
        <v>Pri1027</v>
      </c>
      <c r="M290" s="15" t="str">
        <f t="shared" si="13"/>
        <v>Marer</v>
      </c>
      <c r="N290" s="16" t="str">
        <f t="shared" si="14"/>
        <v>arke</v>
      </c>
    </row>
    <row r="291" spans="1:14" ht="15" thickBot="1" x14ac:dyDescent="0.4">
      <c r="A291" s="5">
        <v>1344</v>
      </c>
      <c r="B291" s="5" t="s">
        <v>30</v>
      </c>
      <c r="C291" s="5" t="s">
        <v>17</v>
      </c>
      <c r="D291" s="5" t="s">
        <v>13</v>
      </c>
      <c r="E291" s="5" t="s">
        <v>53</v>
      </c>
      <c r="F291" s="5">
        <v>18</v>
      </c>
      <c r="G291" s="5">
        <v>240</v>
      </c>
      <c r="H291" s="5">
        <v>10</v>
      </c>
      <c r="I291" s="6">
        <v>46155</v>
      </c>
      <c r="J291" s="6">
        <v>46156</v>
      </c>
      <c r="K291" s="10" t="s">
        <v>24</v>
      </c>
      <c r="L291" s="14" t="str">
        <f t="shared" si="12"/>
        <v>Neh1344</v>
      </c>
      <c r="M291" s="15" t="str">
        <f t="shared" si="13"/>
        <v>Diary</v>
      </c>
      <c r="N291" s="16" t="str">
        <f t="shared" si="14"/>
        <v>iary</v>
      </c>
    </row>
    <row r="292" spans="1:14" ht="15" thickBot="1" x14ac:dyDescent="0.4">
      <c r="A292" s="5">
        <v>1171</v>
      </c>
      <c r="B292" s="5" t="s">
        <v>57</v>
      </c>
      <c r="C292" s="5" t="s">
        <v>25</v>
      </c>
      <c r="D292" s="5" t="s">
        <v>13</v>
      </c>
      <c r="E292" s="5" t="s">
        <v>50</v>
      </c>
      <c r="F292" s="5">
        <v>17</v>
      </c>
      <c r="G292" s="5">
        <v>147</v>
      </c>
      <c r="H292" s="5">
        <v>12</v>
      </c>
      <c r="I292" s="6">
        <v>46155</v>
      </c>
      <c r="J292" s="6">
        <v>46160</v>
      </c>
      <c r="K292" s="10" t="s">
        <v>20</v>
      </c>
      <c r="L292" s="14" t="str">
        <f t="shared" si="12"/>
        <v>Sar1171</v>
      </c>
      <c r="M292" s="15" t="str">
        <f t="shared" si="13"/>
        <v>Marer</v>
      </c>
      <c r="N292" s="16" t="str">
        <f t="shared" si="14"/>
        <v>arke</v>
      </c>
    </row>
    <row r="293" spans="1:14" ht="15" thickBot="1" x14ac:dyDescent="0.4">
      <c r="A293" s="5">
        <v>1295</v>
      </c>
      <c r="B293" s="5" t="s">
        <v>52</v>
      </c>
      <c r="C293" s="5" t="s">
        <v>38</v>
      </c>
      <c r="D293" s="5" t="s">
        <v>18</v>
      </c>
      <c r="E293" s="5" t="s">
        <v>28</v>
      </c>
      <c r="F293" s="5">
        <v>16</v>
      </c>
      <c r="G293" s="5">
        <v>11935</v>
      </c>
      <c r="H293" s="5">
        <v>12</v>
      </c>
      <c r="I293" s="6">
        <v>46157</v>
      </c>
      <c r="J293" s="6">
        <v>46162</v>
      </c>
      <c r="K293" s="10" t="s">
        <v>15</v>
      </c>
      <c r="L293" s="14" t="str">
        <f t="shared" si="12"/>
        <v>Kom1295</v>
      </c>
      <c r="M293" s="15" t="str">
        <f t="shared" si="13"/>
        <v>Chair</v>
      </c>
      <c r="N293" s="16" t="str">
        <f t="shared" si="14"/>
        <v>hair</v>
      </c>
    </row>
    <row r="294" spans="1:14" ht="15" thickBot="1" x14ac:dyDescent="0.4">
      <c r="A294" s="5">
        <v>1367</v>
      </c>
      <c r="B294" s="5" t="s">
        <v>54</v>
      </c>
      <c r="C294" s="5" t="s">
        <v>25</v>
      </c>
      <c r="D294" s="5" t="s">
        <v>13</v>
      </c>
      <c r="E294" s="5" t="s">
        <v>53</v>
      </c>
      <c r="F294" s="5">
        <v>1</v>
      </c>
      <c r="G294" s="5">
        <v>371</v>
      </c>
      <c r="H294" s="5">
        <v>5</v>
      </c>
      <c r="I294" s="6">
        <v>46158</v>
      </c>
      <c r="J294" s="6">
        <v>46168</v>
      </c>
      <c r="K294" s="10" t="s">
        <v>29</v>
      </c>
      <c r="L294" s="14" t="str">
        <f t="shared" si="12"/>
        <v>Man1367</v>
      </c>
      <c r="M294" s="15" t="str">
        <f t="shared" si="13"/>
        <v>Diary</v>
      </c>
      <c r="N294" s="16" t="str">
        <f t="shared" si="14"/>
        <v>iary</v>
      </c>
    </row>
    <row r="295" spans="1:14" ht="15" thickBot="1" x14ac:dyDescent="0.4">
      <c r="A295" s="5">
        <v>1317</v>
      </c>
      <c r="B295" s="5" t="s">
        <v>59</v>
      </c>
      <c r="C295" s="5" t="s">
        <v>33</v>
      </c>
      <c r="D295" s="5" t="s">
        <v>34</v>
      </c>
      <c r="E295" s="5" t="s">
        <v>41</v>
      </c>
      <c r="F295" s="5">
        <v>7</v>
      </c>
      <c r="G295" s="5">
        <v>67339</v>
      </c>
      <c r="H295" s="5">
        <v>5</v>
      </c>
      <c r="I295" s="6">
        <v>46159</v>
      </c>
      <c r="J295" s="6">
        <v>46169</v>
      </c>
      <c r="K295" s="10" t="s">
        <v>51</v>
      </c>
      <c r="L295" s="14" t="str">
        <f t="shared" si="12"/>
        <v>Ani1317</v>
      </c>
      <c r="M295" s="15" t="str">
        <f t="shared" si="13"/>
        <v>Heaet</v>
      </c>
      <c r="N295" s="16" t="str">
        <f t="shared" si="14"/>
        <v>eads</v>
      </c>
    </row>
    <row r="296" spans="1:14" ht="15" thickBot="1" x14ac:dyDescent="0.4">
      <c r="A296" s="5">
        <v>1052</v>
      </c>
      <c r="B296" s="5" t="s">
        <v>55</v>
      </c>
      <c r="C296" s="5" t="s">
        <v>12</v>
      </c>
      <c r="D296" s="5" t="s">
        <v>13</v>
      </c>
      <c r="E296" s="5" t="s">
        <v>14</v>
      </c>
      <c r="F296" s="5">
        <v>17</v>
      </c>
      <c r="G296" s="5">
        <v>172</v>
      </c>
      <c r="H296" s="5">
        <v>10</v>
      </c>
      <c r="I296" s="6">
        <v>46159</v>
      </c>
      <c r="J296" s="6">
        <v>46165</v>
      </c>
      <c r="K296" s="10" t="s">
        <v>20</v>
      </c>
      <c r="L296" s="14" t="str">
        <f t="shared" si="12"/>
        <v>Sne1052</v>
      </c>
      <c r="M296" s="15" t="str">
        <f t="shared" si="13"/>
        <v>Notok</v>
      </c>
      <c r="N296" s="16" t="str">
        <f t="shared" si="14"/>
        <v>oteb</v>
      </c>
    </row>
    <row r="297" spans="1:14" ht="15" thickBot="1" x14ac:dyDescent="0.4">
      <c r="A297" s="5">
        <v>1143</v>
      </c>
      <c r="B297" s="5" t="s">
        <v>29</v>
      </c>
      <c r="C297" s="5" t="s">
        <v>17</v>
      </c>
      <c r="D297" s="5" t="s">
        <v>13</v>
      </c>
      <c r="E297" s="5" t="s">
        <v>37</v>
      </c>
      <c r="F297" s="5">
        <v>13</v>
      </c>
      <c r="G297" s="5">
        <v>456</v>
      </c>
      <c r="H297" s="5">
        <v>2</v>
      </c>
      <c r="I297" s="6">
        <v>46160</v>
      </c>
      <c r="J297" s="6">
        <v>46167</v>
      </c>
      <c r="K297" s="10" t="s">
        <v>24</v>
      </c>
      <c r="L297" s="14" t="str">
        <f t="shared" si="12"/>
        <v>Pri1143</v>
      </c>
      <c r="M297" s="15" t="str">
        <f t="shared" si="13"/>
        <v>Penck</v>
      </c>
      <c r="N297" s="16" t="str">
        <f t="shared" si="14"/>
        <v>en P</v>
      </c>
    </row>
    <row r="298" spans="1:14" ht="15" thickBot="1" x14ac:dyDescent="0.4">
      <c r="A298" s="5">
        <v>1167</v>
      </c>
      <c r="B298" s="5" t="s">
        <v>48</v>
      </c>
      <c r="C298" s="5" t="s">
        <v>17</v>
      </c>
      <c r="D298" s="5" t="s">
        <v>13</v>
      </c>
      <c r="E298" s="5" t="s">
        <v>37</v>
      </c>
      <c r="F298" s="5">
        <v>20</v>
      </c>
      <c r="G298" s="5">
        <v>251</v>
      </c>
      <c r="H298" s="5">
        <v>5</v>
      </c>
      <c r="I298" s="6">
        <v>46160</v>
      </c>
      <c r="J298" s="6">
        <v>46170</v>
      </c>
      <c r="K298" s="10" t="s">
        <v>29</v>
      </c>
      <c r="L298" s="14" t="str">
        <f t="shared" si="12"/>
        <v>Nit1167</v>
      </c>
      <c r="M298" s="15" t="str">
        <f t="shared" si="13"/>
        <v>Penck</v>
      </c>
      <c r="N298" s="16" t="str">
        <f t="shared" si="14"/>
        <v>en P</v>
      </c>
    </row>
    <row r="299" spans="1:14" ht="15" thickBot="1" x14ac:dyDescent="0.4">
      <c r="A299" s="5">
        <v>1129</v>
      </c>
      <c r="B299" s="5" t="s">
        <v>58</v>
      </c>
      <c r="C299" s="5" t="s">
        <v>17</v>
      </c>
      <c r="D299" s="5" t="s">
        <v>13</v>
      </c>
      <c r="E299" s="5" t="s">
        <v>50</v>
      </c>
      <c r="F299" s="5">
        <v>15</v>
      </c>
      <c r="G299" s="5">
        <v>75</v>
      </c>
      <c r="H299" s="5">
        <v>7</v>
      </c>
      <c r="I299" s="6">
        <v>46160</v>
      </c>
      <c r="J299" s="6">
        <v>46164</v>
      </c>
      <c r="K299" s="10" t="s">
        <v>29</v>
      </c>
      <c r="L299" s="14" t="str">
        <f t="shared" si="12"/>
        <v>Roh1129</v>
      </c>
      <c r="M299" s="15" t="str">
        <f t="shared" si="13"/>
        <v>Marer</v>
      </c>
      <c r="N299" s="16" t="str">
        <f t="shared" si="14"/>
        <v>arke</v>
      </c>
    </row>
    <row r="300" spans="1:14" ht="15" thickBot="1" x14ac:dyDescent="0.4">
      <c r="A300" s="5">
        <v>1257</v>
      </c>
      <c r="B300" s="5" t="s">
        <v>54</v>
      </c>
      <c r="C300" s="5" t="s">
        <v>25</v>
      </c>
      <c r="D300" s="5" t="s">
        <v>34</v>
      </c>
      <c r="E300" s="5" t="s">
        <v>61</v>
      </c>
      <c r="F300" s="5">
        <v>7</v>
      </c>
      <c r="G300" s="5">
        <v>53243</v>
      </c>
      <c r="H300" s="5">
        <v>12</v>
      </c>
      <c r="I300" s="6">
        <v>46161</v>
      </c>
      <c r="J300" s="6">
        <v>46171</v>
      </c>
      <c r="K300" s="10" t="s">
        <v>15</v>
      </c>
      <c r="L300" s="14" t="str">
        <f t="shared" si="12"/>
        <v>Man1257</v>
      </c>
      <c r="M300" s="15" t="str">
        <f t="shared" si="13"/>
        <v>Mouse</v>
      </c>
      <c r="N300" s="16" t="str">
        <f t="shared" si="14"/>
        <v>ouse</v>
      </c>
    </row>
    <row r="301" spans="1:14" ht="15" thickBot="1" x14ac:dyDescent="0.4">
      <c r="A301" s="5">
        <v>1372</v>
      </c>
      <c r="B301" s="5" t="s">
        <v>48</v>
      </c>
      <c r="C301" s="5" t="s">
        <v>17</v>
      </c>
      <c r="D301" s="5" t="s">
        <v>34</v>
      </c>
      <c r="E301" s="5" t="s">
        <v>39</v>
      </c>
      <c r="F301" s="5">
        <v>9</v>
      </c>
      <c r="G301" s="5">
        <v>9551</v>
      </c>
      <c r="H301" s="5">
        <v>10</v>
      </c>
      <c r="I301" s="6">
        <v>46161</v>
      </c>
      <c r="J301" s="6">
        <v>46168</v>
      </c>
      <c r="K301" s="10" t="s">
        <v>15</v>
      </c>
      <c r="L301" s="14" t="str">
        <f t="shared" si="12"/>
        <v>Nit1372</v>
      </c>
      <c r="M301" s="15" t="str">
        <f t="shared" si="13"/>
        <v>Keyrd</v>
      </c>
      <c r="N301" s="16" t="str">
        <f t="shared" si="14"/>
        <v>eybo</v>
      </c>
    </row>
    <row r="302" spans="1:14" ht="15" thickBot="1" x14ac:dyDescent="0.4">
      <c r="A302" s="5">
        <v>1024</v>
      </c>
      <c r="B302" s="5" t="s">
        <v>32</v>
      </c>
      <c r="C302" s="5" t="s">
        <v>38</v>
      </c>
      <c r="D302" s="5" t="s">
        <v>34</v>
      </c>
      <c r="E302" s="5" t="s">
        <v>41</v>
      </c>
      <c r="F302" s="5">
        <v>12</v>
      </c>
      <c r="G302" s="5">
        <v>1682</v>
      </c>
      <c r="H302" s="5">
        <v>5</v>
      </c>
      <c r="I302" s="6">
        <v>46161</v>
      </c>
      <c r="J302" s="6">
        <v>46165</v>
      </c>
      <c r="K302" s="10" t="s">
        <v>15</v>
      </c>
      <c r="L302" s="14" t="str">
        <f t="shared" si="12"/>
        <v>Ash1024</v>
      </c>
      <c r="M302" s="15" t="str">
        <f t="shared" si="13"/>
        <v>Heaet</v>
      </c>
      <c r="N302" s="16" t="str">
        <f t="shared" si="14"/>
        <v>eads</v>
      </c>
    </row>
    <row r="303" spans="1:14" ht="15" thickBot="1" x14ac:dyDescent="0.4">
      <c r="A303" s="5">
        <v>1248</v>
      </c>
      <c r="B303" s="5" t="s">
        <v>27</v>
      </c>
      <c r="C303" s="5" t="s">
        <v>43</v>
      </c>
      <c r="D303" s="5" t="s">
        <v>13</v>
      </c>
      <c r="E303" s="5" t="s">
        <v>37</v>
      </c>
      <c r="F303" s="5">
        <v>5</v>
      </c>
      <c r="G303" s="5">
        <v>398</v>
      </c>
      <c r="H303" s="5">
        <v>7</v>
      </c>
      <c r="I303" s="6">
        <v>46161</v>
      </c>
      <c r="J303" s="6">
        <v>46171</v>
      </c>
      <c r="K303" s="10" t="s">
        <v>29</v>
      </c>
      <c r="L303" s="14" t="str">
        <f t="shared" si="12"/>
        <v>Arj1248</v>
      </c>
      <c r="M303" s="15" t="str">
        <f t="shared" si="13"/>
        <v>Penck</v>
      </c>
      <c r="N303" s="16" t="str">
        <f t="shared" si="14"/>
        <v>en P</v>
      </c>
    </row>
    <row r="304" spans="1:14" ht="15" thickBot="1" x14ac:dyDescent="0.4">
      <c r="A304" s="5">
        <v>1011</v>
      </c>
      <c r="B304" s="5" t="s">
        <v>11</v>
      </c>
      <c r="C304" s="5" t="s">
        <v>17</v>
      </c>
      <c r="D304" s="5" t="s">
        <v>13</v>
      </c>
      <c r="E304" s="5" t="s">
        <v>37</v>
      </c>
      <c r="F304" s="5">
        <v>14</v>
      </c>
      <c r="G304" s="5">
        <v>88</v>
      </c>
      <c r="H304" s="5">
        <v>12</v>
      </c>
      <c r="I304" s="6">
        <v>46161</v>
      </c>
      <c r="J304" s="6">
        <v>46163</v>
      </c>
      <c r="K304" s="10" t="s">
        <v>15</v>
      </c>
      <c r="L304" s="14" t="str">
        <f t="shared" si="12"/>
        <v>Rit1011</v>
      </c>
      <c r="M304" s="15" t="str">
        <f t="shared" si="13"/>
        <v>Penck</v>
      </c>
      <c r="N304" s="16" t="str">
        <f t="shared" si="14"/>
        <v>en P</v>
      </c>
    </row>
    <row r="305" spans="1:14" ht="15" thickBot="1" x14ac:dyDescent="0.4">
      <c r="A305" s="5">
        <v>1386</v>
      </c>
      <c r="B305" s="5" t="s">
        <v>27</v>
      </c>
      <c r="C305" s="5" t="s">
        <v>31</v>
      </c>
      <c r="D305" s="5" t="s">
        <v>18</v>
      </c>
      <c r="E305" s="5" t="s">
        <v>28</v>
      </c>
      <c r="F305" s="5">
        <v>9</v>
      </c>
      <c r="G305" s="5">
        <v>7509</v>
      </c>
      <c r="H305" s="5">
        <v>5</v>
      </c>
      <c r="I305" s="6">
        <v>46162</v>
      </c>
      <c r="J305" s="6">
        <v>46171</v>
      </c>
      <c r="K305" s="10" t="s">
        <v>51</v>
      </c>
      <c r="L305" s="14" t="str">
        <f t="shared" si="12"/>
        <v>Arj1386</v>
      </c>
      <c r="M305" s="15" t="str">
        <f t="shared" si="13"/>
        <v>Chair</v>
      </c>
      <c r="N305" s="16" t="str">
        <f t="shared" si="14"/>
        <v>hair</v>
      </c>
    </row>
    <row r="306" spans="1:14" ht="15" thickBot="1" x14ac:dyDescent="0.4">
      <c r="A306" s="5">
        <v>1007</v>
      </c>
      <c r="B306" s="5" t="s">
        <v>21</v>
      </c>
      <c r="C306" s="5" t="s">
        <v>22</v>
      </c>
      <c r="D306" s="5" t="s">
        <v>13</v>
      </c>
      <c r="E306" s="5" t="s">
        <v>14</v>
      </c>
      <c r="F306" s="5">
        <v>19</v>
      </c>
      <c r="G306" s="5">
        <v>149</v>
      </c>
      <c r="H306" s="5">
        <v>7</v>
      </c>
      <c r="I306" s="6">
        <v>46162</v>
      </c>
      <c r="J306" s="6">
        <v>46168</v>
      </c>
      <c r="K306" s="10" t="s">
        <v>24</v>
      </c>
      <c r="L306" s="14" t="str">
        <f t="shared" si="12"/>
        <v>Mee1007</v>
      </c>
      <c r="M306" s="15" t="str">
        <f t="shared" si="13"/>
        <v>Notok</v>
      </c>
      <c r="N306" s="16" t="str">
        <f t="shared" si="14"/>
        <v>oteb</v>
      </c>
    </row>
    <row r="307" spans="1:14" ht="15" thickBot="1" x14ac:dyDescent="0.4">
      <c r="A307" s="5">
        <v>1032</v>
      </c>
      <c r="B307" s="5" t="s">
        <v>54</v>
      </c>
      <c r="C307" s="5" t="s">
        <v>43</v>
      </c>
      <c r="D307" s="5" t="s">
        <v>34</v>
      </c>
      <c r="E307" s="5" t="s">
        <v>39</v>
      </c>
      <c r="F307" s="5">
        <v>20</v>
      </c>
      <c r="G307" s="5">
        <v>11305</v>
      </c>
      <c r="H307" s="5">
        <v>2</v>
      </c>
      <c r="I307" s="6">
        <v>46163</v>
      </c>
      <c r="J307" s="6">
        <v>46165</v>
      </c>
      <c r="K307" s="10" t="s">
        <v>29</v>
      </c>
      <c r="L307" s="14" t="str">
        <f t="shared" si="12"/>
        <v>Man1032</v>
      </c>
      <c r="M307" s="15" t="str">
        <f t="shared" si="13"/>
        <v>Keyrd</v>
      </c>
      <c r="N307" s="16" t="str">
        <f t="shared" si="14"/>
        <v>eybo</v>
      </c>
    </row>
    <row r="308" spans="1:14" ht="15" thickBot="1" x14ac:dyDescent="0.4">
      <c r="A308" s="5">
        <v>1302</v>
      </c>
      <c r="B308" s="5" t="s">
        <v>57</v>
      </c>
      <c r="C308" s="5" t="s">
        <v>12</v>
      </c>
      <c r="D308" s="5" t="s">
        <v>34</v>
      </c>
      <c r="E308" s="5" t="s">
        <v>35</v>
      </c>
      <c r="F308" s="5">
        <v>9</v>
      </c>
      <c r="G308" s="5">
        <v>8500</v>
      </c>
      <c r="H308" s="5">
        <v>15</v>
      </c>
      <c r="I308" s="6">
        <v>46163</v>
      </c>
      <c r="J308" s="6">
        <v>46172</v>
      </c>
      <c r="K308" s="10" t="s">
        <v>24</v>
      </c>
      <c r="L308" s="14" t="str">
        <f t="shared" si="12"/>
        <v>Sar1302</v>
      </c>
      <c r="M308" s="15" t="str">
        <f t="shared" si="13"/>
        <v>Prier</v>
      </c>
      <c r="N308" s="16" t="str">
        <f t="shared" si="14"/>
        <v>rint</v>
      </c>
    </row>
    <row r="309" spans="1:14" ht="15" thickBot="1" x14ac:dyDescent="0.4">
      <c r="A309" s="5">
        <v>1249</v>
      </c>
      <c r="B309" s="5" t="s">
        <v>16</v>
      </c>
      <c r="C309" s="5" t="s">
        <v>25</v>
      </c>
      <c r="D309" s="5" t="s">
        <v>34</v>
      </c>
      <c r="E309" s="5" t="s">
        <v>41</v>
      </c>
      <c r="F309" s="5">
        <v>18</v>
      </c>
      <c r="G309" s="5">
        <v>6360</v>
      </c>
      <c r="H309" s="5">
        <v>12</v>
      </c>
      <c r="I309" s="6">
        <v>46163</v>
      </c>
      <c r="J309" s="6">
        <v>46165</v>
      </c>
      <c r="K309" s="10" t="s">
        <v>20</v>
      </c>
      <c r="L309" s="14" t="str">
        <f t="shared" si="12"/>
        <v>Poo1249</v>
      </c>
      <c r="M309" s="15" t="str">
        <f t="shared" si="13"/>
        <v>Heaet</v>
      </c>
      <c r="N309" s="16" t="str">
        <f t="shared" si="14"/>
        <v>eads</v>
      </c>
    </row>
    <row r="310" spans="1:14" ht="15" thickBot="1" x14ac:dyDescent="0.4">
      <c r="A310" s="5">
        <v>1207</v>
      </c>
      <c r="B310" s="5" t="s">
        <v>55</v>
      </c>
      <c r="C310" s="5" t="s">
        <v>25</v>
      </c>
      <c r="D310" s="5" t="s">
        <v>13</v>
      </c>
      <c r="E310" s="5" t="s">
        <v>53</v>
      </c>
      <c r="F310" s="5">
        <v>7</v>
      </c>
      <c r="G310" s="5">
        <v>244</v>
      </c>
      <c r="H310" s="5">
        <v>2</v>
      </c>
      <c r="I310" s="6">
        <v>46164</v>
      </c>
      <c r="J310" s="6">
        <v>46173</v>
      </c>
      <c r="K310" s="10" t="s">
        <v>24</v>
      </c>
      <c r="L310" s="14" t="str">
        <f t="shared" si="12"/>
        <v>Sne1207</v>
      </c>
      <c r="M310" s="15" t="str">
        <f t="shared" si="13"/>
        <v>Diary</v>
      </c>
      <c r="N310" s="16" t="str">
        <f t="shared" si="14"/>
        <v>iary</v>
      </c>
    </row>
    <row r="311" spans="1:14" ht="15" thickBot="1" x14ac:dyDescent="0.4">
      <c r="A311" s="5">
        <v>1236</v>
      </c>
      <c r="B311" s="5" t="s">
        <v>54</v>
      </c>
      <c r="C311" s="5" t="s">
        <v>43</v>
      </c>
      <c r="D311" s="5" t="s">
        <v>13</v>
      </c>
      <c r="E311" s="5" t="s">
        <v>37</v>
      </c>
      <c r="F311" s="5">
        <v>12</v>
      </c>
      <c r="G311" s="5">
        <v>189</v>
      </c>
      <c r="H311" s="5">
        <v>7</v>
      </c>
      <c r="I311" s="6">
        <v>46164</v>
      </c>
      <c r="J311" s="6">
        <v>46169</v>
      </c>
      <c r="K311" s="10" t="s">
        <v>29</v>
      </c>
      <c r="L311" s="14" t="str">
        <f t="shared" si="12"/>
        <v>Man1236</v>
      </c>
      <c r="M311" s="15" t="str">
        <f t="shared" si="13"/>
        <v>Penck</v>
      </c>
      <c r="N311" s="16" t="str">
        <f t="shared" si="14"/>
        <v>en P</v>
      </c>
    </row>
    <row r="312" spans="1:14" ht="15" thickBot="1" x14ac:dyDescent="0.4">
      <c r="A312" s="5">
        <v>1326</v>
      </c>
      <c r="B312" s="5" t="s">
        <v>26</v>
      </c>
      <c r="C312" s="5" t="s">
        <v>17</v>
      </c>
      <c r="D312" s="5" t="s">
        <v>18</v>
      </c>
      <c r="E312" s="5" t="s">
        <v>44</v>
      </c>
      <c r="F312" s="5">
        <v>18</v>
      </c>
      <c r="G312" s="5">
        <v>1830</v>
      </c>
      <c r="H312" s="5">
        <v>10</v>
      </c>
      <c r="I312" s="6">
        <v>46165</v>
      </c>
      <c r="J312" s="6">
        <v>46172</v>
      </c>
      <c r="K312" s="10" t="s">
        <v>15</v>
      </c>
      <c r="L312" s="14" t="str">
        <f t="shared" si="12"/>
        <v>Vik1326</v>
      </c>
      <c r="M312" s="15" t="str">
        <f t="shared" si="13"/>
        <v>Boolf</v>
      </c>
      <c r="N312" s="16" t="str">
        <f t="shared" si="14"/>
        <v>ooks</v>
      </c>
    </row>
    <row r="313" spans="1:14" ht="15" thickBot="1" x14ac:dyDescent="0.4">
      <c r="A313" s="5">
        <v>1252</v>
      </c>
      <c r="B313" s="5" t="s">
        <v>47</v>
      </c>
      <c r="C313" s="5" t="s">
        <v>25</v>
      </c>
      <c r="D313" s="5" t="s">
        <v>13</v>
      </c>
      <c r="E313" s="5" t="s">
        <v>36</v>
      </c>
      <c r="F313" s="5">
        <v>15</v>
      </c>
      <c r="G313" s="5">
        <v>257</v>
      </c>
      <c r="H313" s="5">
        <v>5</v>
      </c>
      <c r="I313" s="6">
        <v>46166</v>
      </c>
      <c r="J313" s="6">
        <v>46173</v>
      </c>
      <c r="K313" s="10" t="s">
        <v>20</v>
      </c>
      <c r="L313" s="14" t="str">
        <f t="shared" si="12"/>
        <v>Yas1252</v>
      </c>
      <c r="M313" s="15" t="str">
        <f t="shared" si="13"/>
        <v>Staer</v>
      </c>
      <c r="N313" s="16" t="str">
        <f t="shared" si="14"/>
        <v>tapl</v>
      </c>
    </row>
    <row r="314" spans="1:14" ht="15" thickBot="1" x14ac:dyDescent="0.4">
      <c r="A314" s="5">
        <v>1206</v>
      </c>
      <c r="B314" s="5" t="s">
        <v>55</v>
      </c>
      <c r="C314" s="5" t="s">
        <v>33</v>
      </c>
      <c r="D314" s="5" t="s">
        <v>13</v>
      </c>
      <c r="E314" s="5" t="s">
        <v>14</v>
      </c>
      <c r="F314" s="5">
        <v>9</v>
      </c>
      <c r="G314" s="5">
        <v>60</v>
      </c>
      <c r="H314" s="5">
        <v>0</v>
      </c>
      <c r="I314" s="6">
        <v>46166</v>
      </c>
      <c r="J314" s="6">
        <v>46174</v>
      </c>
      <c r="K314" s="10" t="s">
        <v>15</v>
      </c>
      <c r="L314" s="14" t="str">
        <f t="shared" si="12"/>
        <v>Sne1206</v>
      </c>
      <c r="M314" s="15" t="str">
        <f t="shared" si="13"/>
        <v>Notok</v>
      </c>
      <c r="N314" s="16" t="str">
        <f t="shared" si="14"/>
        <v>oteb</v>
      </c>
    </row>
    <row r="315" spans="1:14" ht="15" thickBot="1" x14ac:dyDescent="0.4">
      <c r="A315" s="5">
        <v>1095</v>
      </c>
      <c r="B315" s="5" t="s">
        <v>47</v>
      </c>
      <c r="C315" s="5" t="s">
        <v>25</v>
      </c>
      <c r="D315" s="5" t="s">
        <v>34</v>
      </c>
      <c r="E315" s="5" t="s">
        <v>41</v>
      </c>
      <c r="F315" s="5">
        <v>18</v>
      </c>
      <c r="G315" s="5">
        <v>587</v>
      </c>
      <c r="H315" s="5">
        <v>2</v>
      </c>
      <c r="I315" s="6">
        <v>46167</v>
      </c>
      <c r="J315" s="6">
        <v>46171</v>
      </c>
      <c r="K315" s="10" t="s">
        <v>20</v>
      </c>
      <c r="L315" s="14" t="str">
        <f t="shared" si="12"/>
        <v>Yas1095</v>
      </c>
      <c r="M315" s="15" t="str">
        <f t="shared" si="13"/>
        <v>Heaet</v>
      </c>
      <c r="N315" s="16" t="str">
        <f t="shared" si="14"/>
        <v>eads</v>
      </c>
    </row>
    <row r="316" spans="1:14" ht="15" thickBot="1" x14ac:dyDescent="0.4">
      <c r="A316" s="5">
        <v>1131</v>
      </c>
      <c r="B316" s="5" t="s">
        <v>21</v>
      </c>
      <c r="C316" s="5" t="s">
        <v>31</v>
      </c>
      <c r="D316" s="5" t="s">
        <v>18</v>
      </c>
      <c r="E316" s="5" t="s">
        <v>23</v>
      </c>
      <c r="F316" s="5">
        <v>13</v>
      </c>
      <c r="G316" s="5">
        <v>3083</v>
      </c>
      <c r="H316" s="5">
        <v>7</v>
      </c>
      <c r="I316" s="6">
        <v>46168</v>
      </c>
      <c r="J316" s="6">
        <v>46173</v>
      </c>
      <c r="K316" s="10" t="s">
        <v>51</v>
      </c>
      <c r="L316" s="14" t="str">
        <f t="shared" si="12"/>
        <v>Mee1131</v>
      </c>
      <c r="M316" s="15" t="str">
        <f t="shared" si="13"/>
        <v>Table</v>
      </c>
      <c r="N316" s="16" t="str">
        <f t="shared" si="14"/>
        <v>able</v>
      </c>
    </row>
    <row r="317" spans="1:14" ht="15" thickBot="1" x14ac:dyDescent="0.4">
      <c r="A317" s="5">
        <v>1335</v>
      </c>
      <c r="B317" s="5" t="s">
        <v>47</v>
      </c>
      <c r="C317" s="5" t="s">
        <v>17</v>
      </c>
      <c r="D317" s="5" t="s">
        <v>18</v>
      </c>
      <c r="E317" s="5" t="s">
        <v>19</v>
      </c>
      <c r="F317" s="5">
        <v>9</v>
      </c>
      <c r="G317" s="5">
        <v>1495</v>
      </c>
      <c r="H317" s="5">
        <v>12</v>
      </c>
      <c r="I317" s="6">
        <v>46168</v>
      </c>
      <c r="J317" s="6">
        <v>46173</v>
      </c>
      <c r="K317" s="10" t="s">
        <v>15</v>
      </c>
      <c r="L317" s="14" t="str">
        <f t="shared" si="12"/>
        <v>Yas1335</v>
      </c>
      <c r="M317" s="15" t="str">
        <f t="shared" si="13"/>
        <v>Dessk</v>
      </c>
      <c r="N317" s="16" t="str">
        <f t="shared" si="14"/>
        <v>esk</v>
      </c>
    </row>
    <row r="318" spans="1:14" ht="15" thickBot="1" x14ac:dyDescent="0.4">
      <c r="A318" s="5">
        <v>1286</v>
      </c>
      <c r="B318" s="5" t="s">
        <v>46</v>
      </c>
      <c r="C318" s="5" t="s">
        <v>17</v>
      </c>
      <c r="D318" s="5" t="s">
        <v>18</v>
      </c>
      <c r="E318" s="5" t="s">
        <v>56</v>
      </c>
      <c r="F318" s="5">
        <v>9</v>
      </c>
      <c r="G318" s="5">
        <v>1340</v>
      </c>
      <c r="H318" s="5">
        <v>2</v>
      </c>
      <c r="I318" s="6">
        <v>46168</v>
      </c>
      <c r="J318" s="6">
        <v>46173</v>
      </c>
      <c r="K318" s="10" t="s">
        <v>15</v>
      </c>
      <c r="L318" s="14" t="str">
        <f t="shared" si="12"/>
        <v>Kir1286</v>
      </c>
      <c r="M318" s="15" t="str">
        <f t="shared" si="13"/>
        <v>Cabet</v>
      </c>
      <c r="N318" s="16" t="str">
        <f t="shared" si="14"/>
        <v>abin</v>
      </c>
    </row>
    <row r="319" spans="1:14" ht="15" thickBot="1" x14ac:dyDescent="0.4">
      <c r="A319" s="5">
        <v>1177</v>
      </c>
      <c r="B319" s="5" t="s">
        <v>29</v>
      </c>
      <c r="C319" s="5" t="s">
        <v>22</v>
      </c>
      <c r="D319" s="5" t="s">
        <v>18</v>
      </c>
      <c r="E319" s="5" t="s">
        <v>19</v>
      </c>
      <c r="F319" s="5">
        <v>14</v>
      </c>
      <c r="G319" s="5">
        <v>7501</v>
      </c>
      <c r="H319" s="5">
        <v>7</v>
      </c>
      <c r="I319" s="6">
        <v>46169</v>
      </c>
      <c r="J319" s="6">
        <v>46179</v>
      </c>
      <c r="K319" s="10" t="s">
        <v>20</v>
      </c>
      <c r="L319" s="14" t="str">
        <f t="shared" si="12"/>
        <v>Pri1177</v>
      </c>
      <c r="M319" s="15" t="str">
        <f t="shared" si="13"/>
        <v>Dessk</v>
      </c>
      <c r="N319" s="16" t="str">
        <f t="shared" si="14"/>
        <v>esk</v>
      </c>
    </row>
    <row r="320" spans="1:14" ht="15" thickBot="1" x14ac:dyDescent="0.4">
      <c r="A320" s="5">
        <v>1318</v>
      </c>
      <c r="B320" s="5" t="s">
        <v>11</v>
      </c>
      <c r="C320" s="5" t="s">
        <v>43</v>
      </c>
      <c r="D320" s="5" t="s">
        <v>13</v>
      </c>
      <c r="E320" s="5" t="s">
        <v>50</v>
      </c>
      <c r="F320" s="5">
        <v>4</v>
      </c>
      <c r="G320" s="5">
        <v>38</v>
      </c>
      <c r="H320" s="5">
        <v>12</v>
      </c>
      <c r="I320" s="6">
        <v>46169</v>
      </c>
      <c r="J320" s="6">
        <v>46175</v>
      </c>
      <c r="K320" s="10" t="s">
        <v>29</v>
      </c>
      <c r="L320" s="14" t="str">
        <f t="shared" si="12"/>
        <v>Rit1318</v>
      </c>
      <c r="M320" s="15" t="str">
        <f t="shared" si="13"/>
        <v>Marer</v>
      </c>
      <c r="N320" s="16" t="str">
        <f t="shared" si="14"/>
        <v>arke</v>
      </c>
    </row>
    <row r="321" spans="1:14" ht="15" thickBot="1" x14ac:dyDescent="0.4">
      <c r="A321" s="5">
        <v>1079</v>
      </c>
      <c r="B321" s="5" t="s">
        <v>26</v>
      </c>
      <c r="C321" s="5" t="s">
        <v>38</v>
      </c>
      <c r="D321" s="5" t="s">
        <v>34</v>
      </c>
      <c r="E321" s="5" t="s">
        <v>41</v>
      </c>
      <c r="F321" s="5">
        <v>19</v>
      </c>
      <c r="G321" s="5">
        <v>48956</v>
      </c>
      <c r="H321" s="5">
        <v>12</v>
      </c>
      <c r="I321" s="6">
        <v>46170</v>
      </c>
      <c r="J321" s="6">
        <v>46177</v>
      </c>
      <c r="K321" s="10" t="s">
        <v>51</v>
      </c>
      <c r="L321" s="14" t="str">
        <f t="shared" si="12"/>
        <v>Vik1079</v>
      </c>
      <c r="M321" s="15" t="str">
        <f t="shared" si="13"/>
        <v>Heaet</v>
      </c>
      <c r="N321" s="16" t="str">
        <f t="shared" si="14"/>
        <v>eads</v>
      </c>
    </row>
    <row r="322" spans="1:14" ht="15" thickBot="1" x14ac:dyDescent="0.4">
      <c r="A322" s="5">
        <v>1127</v>
      </c>
      <c r="B322" s="5" t="s">
        <v>26</v>
      </c>
      <c r="C322" s="5" t="s">
        <v>33</v>
      </c>
      <c r="D322" s="5" t="s">
        <v>18</v>
      </c>
      <c r="E322" s="5" t="s">
        <v>28</v>
      </c>
      <c r="F322" s="5">
        <v>15</v>
      </c>
      <c r="G322" s="5">
        <v>11694</v>
      </c>
      <c r="H322" s="5">
        <v>12</v>
      </c>
      <c r="I322" s="6">
        <v>46170</v>
      </c>
      <c r="J322" s="6">
        <v>46179</v>
      </c>
      <c r="K322" s="10" t="s">
        <v>29</v>
      </c>
      <c r="L322" s="14" t="str">
        <f t="shared" si="12"/>
        <v>Vik1127</v>
      </c>
      <c r="M322" s="15" t="str">
        <f t="shared" si="13"/>
        <v>Chair</v>
      </c>
      <c r="N322" s="16" t="str">
        <f t="shared" si="14"/>
        <v>hair</v>
      </c>
    </row>
    <row r="323" spans="1:14" ht="15" thickBot="1" x14ac:dyDescent="0.4">
      <c r="A323" s="5">
        <v>1398</v>
      </c>
      <c r="B323" s="5" t="s">
        <v>58</v>
      </c>
      <c r="C323" s="5" t="s">
        <v>43</v>
      </c>
      <c r="D323" s="5" t="s">
        <v>34</v>
      </c>
      <c r="E323" s="5" t="s">
        <v>39</v>
      </c>
      <c r="F323" s="5">
        <v>12</v>
      </c>
      <c r="G323" s="5">
        <v>10668</v>
      </c>
      <c r="H323" s="5">
        <v>0</v>
      </c>
      <c r="I323" s="6">
        <v>46170</v>
      </c>
      <c r="J323" s="6">
        <v>46176</v>
      </c>
      <c r="K323" s="10" t="s">
        <v>15</v>
      </c>
      <c r="L323" s="14" t="str">
        <f t="shared" ref="L323:L386" si="15">LEFT(B323,3)&amp;A323</f>
        <v>Roh1398</v>
      </c>
      <c r="M323" s="15" t="str">
        <f t="shared" ref="M323:M386" si="16">LEFT(E323,3)&amp;RIGHT(E323,2)</f>
        <v>Keyrd</v>
      </c>
      <c r="N323" s="16" t="str">
        <f t="shared" ref="N323:N386" si="17">MID(E323,2,4)</f>
        <v>eybo</v>
      </c>
    </row>
    <row r="324" spans="1:14" ht="15" thickBot="1" x14ac:dyDescent="0.4">
      <c r="A324" s="5">
        <v>1220</v>
      </c>
      <c r="B324" s="5" t="s">
        <v>11</v>
      </c>
      <c r="C324" s="5" t="s">
        <v>25</v>
      </c>
      <c r="D324" s="5" t="s">
        <v>18</v>
      </c>
      <c r="E324" s="5" t="s">
        <v>56</v>
      </c>
      <c r="F324" s="5">
        <v>2</v>
      </c>
      <c r="G324" s="5">
        <v>8861</v>
      </c>
      <c r="H324" s="5">
        <v>2</v>
      </c>
      <c r="I324" s="6">
        <v>46170</v>
      </c>
      <c r="J324" s="6">
        <v>46174</v>
      </c>
      <c r="K324" s="10" t="s">
        <v>24</v>
      </c>
      <c r="L324" s="14" t="str">
        <f t="shared" si="15"/>
        <v>Rit1220</v>
      </c>
      <c r="M324" s="15" t="str">
        <f t="shared" si="16"/>
        <v>Cabet</v>
      </c>
      <c r="N324" s="16" t="str">
        <f t="shared" si="17"/>
        <v>abin</v>
      </c>
    </row>
    <row r="325" spans="1:14" ht="15" thickBot="1" x14ac:dyDescent="0.4">
      <c r="A325" s="5">
        <v>1040</v>
      </c>
      <c r="B325" s="5" t="s">
        <v>49</v>
      </c>
      <c r="C325" s="5" t="s">
        <v>38</v>
      </c>
      <c r="D325" s="5" t="s">
        <v>18</v>
      </c>
      <c r="E325" s="5" t="s">
        <v>28</v>
      </c>
      <c r="F325" s="5">
        <v>10</v>
      </c>
      <c r="G325" s="5">
        <v>7531</v>
      </c>
      <c r="H325" s="5">
        <v>2</v>
      </c>
      <c r="I325" s="6">
        <v>46171</v>
      </c>
      <c r="J325" s="6">
        <v>46178</v>
      </c>
      <c r="K325" s="10" t="s">
        <v>24</v>
      </c>
      <c r="L325" s="14" t="str">
        <f t="shared" si="15"/>
        <v>Aja1040</v>
      </c>
      <c r="M325" s="15" t="str">
        <f t="shared" si="16"/>
        <v>Chair</v>
      </c>
      <c r="N325" s="16" t="str">
        <f t="shared" si="17"/>
        <v>hair</v>
      </c>
    </row>
    <row r="326" spans="1:14" ht="15" thickBot="1" x14ac:dyDescent="0.4">
      <c r="A326" s="5">
        <v>1087</v>
      </c>
      <c r="B326" s="5" t="s">
        <v>11</v>
      </c>
      <c r="C326" s="5" t="s">
        <v>31</v>
      </c>
      <c r="D326" s="5" t="s">
        <v>13</v>
      </c>
      <c r="E326" s="5" t="s">
        <v>37</v>
      </c>
      <c r="F326" s="5">
        <v>13</v>
      </c>
      <c r="G326" s="5">
        <v>387</v>
      </c>
      <c r="H326" s="5">
        <v>7</v>
      </c>
      <c r="I326" s="6">
        <v>46171</v>
      </c>
      <c r="J326" s="6">
        <v>46176</v>
      </c>
      <c r="K326" s="10" t="s">
        <v>24</v>
      </c>
      <c r="L326" s="14" t="str">
        <f t="shared" si="15"/>
        <v>Rit1087</v>
      </c>
      <c r="M326" s="15" t="str">
        <f t="shared" si="16"/>
        <v>Penck</v>
      </c>
      <c r="N326" s="16" t="str">
        <f t="shared" si="17"/>
        <v>en P</v>
      </c>
    </row>
    <row r="327" spans="1:14" ht="15" thickBot="1" x14ac:dyDescent="0.4">
      <c r="A327" s="5">
        <v>1005</v>
      </c>
      <c r="B327" s="5" t="s">
        <v>26</v>
      </c>
      <c r="C327" s="5" t="s">
        <v>17</v>
      </c>
      <c r="D327" s="5" t="s">
        <v>13</v>
      </c>
      <c r="E327" s="5" t="s">
        <v>14</v>
      </c>
      <c r="F327" s="5">
        <v>18</v>
      </c>
      <c r="G327" s="5">
        <v>70</v>
      </c>
      <c r="H327" s="5">
        <v>0</v>
      </c>
      <c r="I327" s="6">
        <v>46171</v>
      </c>
      <c r="J327" s="6">
        <v>46179</v>
      </c>
      <c r="K327" s="10" t="s">
        <v>24</v>
      </c>
      <c r="L327" s="14" t="str">
        <f t="shared" si="15"/>
        <v>Vik1005</v>
      </c>
      <c r="M327" s="15" t="str">
        <f t="shared" si="16"/>
        <v>Notok</v>
      </c>
      <c r="N327" s="16" t="str">
        <f t="shared" si="17"/>
        <v>oteb</v>
      </c>
    </row>
    <row r="328" spans="1:14" ht="15" thickBot="1" x14ac:dyDescent="0.4">
      <c r="A328" s="5">
        <v>1217</v>
      </c>
      <c r="B328" s="5" t="s">
        <v>30</v>
      </c>
      <c r="C328" s="5" t="s">
        <v>22</v>
      </c>
      <c r="D328" s="5" t="s">
        <v>13</v>
      </c>
      <c r="E328" s="5" t="s">
        <v>50</v>
      </c>
      <c r="F328" s="5">
        <v>18</v>
      </c>
      <c r="G328" s="5">
        <v>60</v>
      </c>
      <c r="H328" s="5">
        <v>0</v>
      </c>
      <c r="I328" s="6">
        <v>46171</v>
      </c>
      <c r="J328" s="6">
        <v>46172</v>
      </c>
      <c r="K328" s="10" t="s">
        <v>29</v>
      </c>
      <c r="L328" s="14" t="str">
        <f t="shared" si="15"/>
        <v>Neh1217</v>
      </c>
      <c r="M328" s="15" t="str">
        <f t="shared" si="16"/>
        <v>Marer</v>
      </c>
      <c r="N328" s="16" t="str">
        <f t="shared" si="17"/>
        <v>arke</v>
      </c>
    </row>
    <row r="329" spans="1:14" ht="15" thickBot="1" x14ac:dyDescent="0.4">
      <c r="A329" s="5">
        <v>1259</v>
      </c>
      <c r="B329" s="5" t="s">
        <v>42</v>
      </c>
      <c r="C329" s="5" t="s">
        <v>22</v>
      </c>
      <c r="D329" s="5" t="s">
        <v>34</v>
      </c>
      <c r="E329" s="5" t="s">
        <v>45</v>
      </c>
      <c r="F329" s="5">
        <v>10</v>
      </c>
      <c r="G329" s="5">
        <v>38771</v>
      </c>
      <c r="H329" s="5">
        <v>15</v>
      </c>
      <c r="I329" s="6">
        <v>46172</v>
      </c>
      <c r="J329" s="6">
        <v>46182</v>
      </c>
      <c r="K329" s="10" t="s">
        <v>15</v>
      </c>
      <c r="L329" s="14" t="str">
        <f t="shared" si="15"/>
        <v>Nis1259</v>
      </c>
      <c r="M329" s="15" t="str">
        <f t="shared" si="16"/>
        <v>Monor</v>
      </c>
      <c r="N329" s="16" t="str">
        <f t="shared" si="17"/>
        <v>onit</v>
      </c>
    </row>
    <row r="330" spans="1:14" ht="15" thickBot="1" x14ac:dyDescent="0.4">
      <c r="A330" s="5">
        <v>1273</v>
      </c>
      <c r="B330" s="5" t="s">
        <v>46</v>
      </c>
      <c r="C330" s="5" t="s">
        <v>25</v>
      </c>
      <c r="D330" s="5" t="s">
        <v>34</v>
      </c>
      <c r="E330" s="5" t="s">
        <v>39</v>
      </c>
      <c r="F330" s="5">
        <v>12</v>
      </c>
      <c r="G330" s="5">
        <v>20618</v>
      </c>
      <c r="H330" s="5">
        <v>12</v>
      </c>
      <c r="I330" s="6">
        <v>46172</v>
      </c>
      <c r="J330" s="6">
        <v>46174</v>
      </c>
      <c r="K330" s="10" t="s">
        <v>20</v>
      </c>
      <c r="L330" s="14" t="str">
        <f t="shared" si="15"/>
        <v>Kir1273</v>
      </c>
      <c r="M330" s="15" t="str">
        <f t="shared" si="16"/>
        <v>Keyrd</v>
      </c>
      <c r="N330" s="16" t="str">
        <f t="shared" si="17"/>
        <v>eybo</v>
      </c>
    </row>
    <row r="331" spans="1:14" ht="15" thickBot="1" x14ac:dyDescent="0.4">
      <c r="A331" s="5">
        <v>1235</v>
      </c>
      <c r="B331" s="5" t="s">
        <v>57</v>
      </c>
      <c r="C331" s="5" t="s">
        <v>25</v>
      </c>
      <c r="D331" s="5" t="s">
        <v>13</v>
      </c>
      <c r="E331" s="5" t="s">
        <v>50</v>
      </c>
      <c r="F331" s="5">
        <v>15</v>
      </c>
      <c r="G331" s="5">
        <v>267</v>
      </c>
      <c r="H331" s="5">
        <v>15</v>
      </c>
      <c r="I331" s="6">
        <v>46172</v>
      </c>
      <c r="J331" s="6">
        <v>46177</v>
      </c>
      <c r="K331" s="10" t="s">
        <v>29</v>
      </c>
      <c r="L331" s="14" t="str">
        <f t="shared" si="15"/>
        <v>Sar1235</v>
      </c>
      <c r="M331" s="15" t="str">
        <f t="shared" si="16"/>
        <v>Marer</v>
      </c>
      <c r="N331" s="16" t="str">
        <f t="shared" si="17"/>
        <v>arke</v>
      </c>
    </row>
    <row r="332" spans="1:14" ht="15" thickBot="1" x14ac:dyDescent="0.4">
      <c r="A332" s="5">
        <v>1044</v>
      </c>
      <c r="B332" s="5" t="s">
        <v>48</v>
      </c>
      <c r="C332" s="5" t="s">
        <v>38</v>
      </c>
      <c r="D332" s="5" t="s">
        <v>18</v>
      </c>
      <c r="E332" s="5" t="s">
        <v>19</v>
      </c>
      <c r="F332" s="5">
        <v>4</v>
      </c>
      <c r="G332" s="5">
        <v>14731</v>
      </c>
      <c r="H332" s="5">
        <v>2</v>
      </c>
      <c r="I332" s="6">
        <v>46173</v>
      </c>
      <c r="J332" s="6">
        <v>46176</v>
      </c>
      <c r="K332" s="10" t="s">
        <v>20</v>
      </c>
      <c r="L332" s="14" t="str">
        <f t="shared" si="15"/>
        <v>Nit1044</v>
      </c>
      <c r="M332" s="15" t="str">
        <f t="shared" si="16"/>
        <v>Dessk</v>
      </c>
      <c r="N332" s="16" t="str">
        <f t="shared" si="17"/>
        <v>esk</v>
      </c>
    </row>
    <row r="333" spans="1:14" ht="15" thickBot="1" x14ac:dyDescent="0.4">
      <c r="A333" s="5">
        <v>1247</v>
      </c>
      <c r="B333" s="5" t="s">
        <v>26</v>
      </c>
      <c r="C333" s="5" t="s">
        <v>12</v>
      </c>
      <c r="D333" s="5" t="s">
        <v>13</v>
      </c>
      <c r="E333" s="5" t="s">
        <v>50</v>
      </c>
      <c r="F333" s="5">
        <v>10</v>
      </c>
      <c r="G333" s="5">
        <v>336</v>
      </c>
      <c r="H333" s="5">
        <v>7</v>
      </c>
      <c r="I333" s="6">
        <v>46173</v>
      </c>
      <c r="J333" s="6">
        <v>46175</v>
      </c>
      <c r="K333" s="10" t="s">
        <v>20</v>
      </c>
      <c r="L333" s="14" t="str">
        <f t="shared" si="15"/>
        <v>Vik1247</v>
      </c>
      <c r="M333" s="15" t="str">
        <f t="shared" si="16"/>
        <v>Marer</v>
      </c>
      <c r="N333" s="16" t="str">
        <f t="shared" si="17"/>
        <v>arke</v>
      </c>
    </row>
    <row r="334" spans="1:14" ht="15" thickBot="1" x14ac:dyDescent="0.4">
      <c r="A334" s="5">
        <v>1311</v>
      </c>
      <c r="B334" s="5" t="s">
        <v>55</v>
      </c>
      <c r="C334" s="5" t="s">
        <v>12</v>
      </c>
      <c r="D334" s="5" t="s">
        <v>13</v>
      </c>
      <c r="E334" s="5" t="s">
        <v>14</v>
      </c>
      <c r="F334" s="5">
        <v>2</v>
      </c>
      <c r="G334" s="5">
        <v>209</v>
      </c>
      <c r="H334" s="5">
        <v>0</v>
      </c>
      <c r="I334" s="6">
        <v>46173</v>
      </c>
      <c r="J334" s="6">
        <v>46176</v>
      </c>
      <c r="K334" s="10" t="s">
        <v>20</v>
      </c>
      <c r="L334" s="14" t="str">
        <f t="shared" si="15"/>
        <v>Sne1311</v>
      </c>
      <c r="M334" s="15" t="str">
        <f t="shared" si="16"/>
        <v>Notok</v>
      </c>
      <c r="N334" s="16" t="str">
        <f t="shared" si="17"/>
        <v>oteb</v>
      </c>
    </row>
    <row r="335" spans="1:14" ht="15" thickBot="1" x14ac:dyDescent="0.4">
      <c r="A335" s="5">
        <v>1343</v>
      </c>
      <c r="B335" s="5" t="s">
        <v>59</v>
      </c>
      <c r="C335" s="5" t="s">
        <v>31</v>
      </c>
      <c r="D335" s="5" t="s">
        <v>34</v>
      </c>
      <c r="E335" s="5" t="s">
        <v>39</v>
      </c>
      <c r="F335" s="5">
        <v>14</v>
      </c>
      <c r="G335" s="5">
        <v>32719</v>
      </c>
      <c r="H335" s="5">
        <v>15</v>
      </c>
      <c r="I335" s="6">
        <v>46174</v>
      </c>
      <c r="J335" s="6">
        <v>46179</v>
      </c>
      <c r="K335" s="10" t="s">
        <v>15</v>
      </c>
      <c r="L335" s="14" t="str">
        <f t="shared" si="15"/>
        <v>Ani1343</v>
      </c>
      <c r="M335" s="15" t="str">
        <f t="shared" si="16"/>
        <v>Keyrd</v>
      </c>
      <c r="N335" s="16" t="str">
        <f t="shared" si="17"/>
        <v>eybo</v>
      </c>
    </row>
    <row r="336" spans="1:14" ht="15" thickBot="1" x14ac:dyDescent="0.4">
      <c r="A336" s="5">
        <v>1002</v>
      </c>
      <c r="B336" s="5" t="s">
        <v>16</v>
      </c>
      <c r="C336" s="5" t="s">
        <v>17</v>
      </c>
      <c r="D336" s="5" t="s">
        <v>18</v>
      </c>
      <c r="E336" s="5" t="s">
        <v>19</v>
      </c>
      <c r="F336" s="5">
        <v>7</v>
      </c>
      <c r="G336" s="5">
        <v>8448</v>
      </c>
      <c r="H336" s="5">
        <v>12</v>
      </c>
      <c r="I336" s="6">
        <v>46174</v>
      </c>
      <c r="J336" s="6">
        <v>46179</v>
      </c>
      <c r="K336" s="10" t="s">
        <v>20</v>
      </c>
      <c r="L336" s="14" t="str">
        <f t="shared" si="15"/>
        <v>Poo1002</v>
      </c>
      <c r="M336" s="15" t="str">
        <f t="shared" si="16"/>
        <v>Dessk</v>
      </c>
      <c r="N336" s="16" t="str">
        <f t="shared" si="17"/>
        <v>esk</v>
      </c>
    </row>
    <row r="337" spans="1:14" ht="15" thickBot="1" x14ac:dyDescent="0.4">
      <c r="A337" s="5">
        <v>1262</v>
      </c>
      <c r="B337" s="5" t="s">
        <v>16</v>
      </c>
      <c r="C337" s="5" t="s">
        <v>22</v>
      </c>
      <c r="D337" s="5" t="s">
        <v>18</v>
      </c>
      <c r="E337" s="5" t="s">
        <v>28</v>
      </c>
      <c r="F337" s="5">
        <v>9</v>
      </c>
      <c r="G337" s="5">
        <v>2231</v>
      </c>
      <c r="H337" s="5">
        <v>15</v>
      </c>
      <c r="I337" s="6">
        <v>46174</v>
      </c>
      <c r="J337" s="6">
        <v>46183</v>
      </c>
      <c r="K337" s="10" t="s">
        <v>15</v>
      </c>
      <c r="L337" s="14" t="str">
        <f t="shared" si="15"/>
        <v>Poo1262</v>
      </c>
      <c r="M337" s="15" t="str">
        <f t="shared" si="16"/>
        <v>Chair</v>
      </c>
      <c r="N337" s="16" t="str">
        <f t="shared" si="17"/>
        <v>hair</v>
      </c>
    </row>
    <row r="338" spans="1:14" ht="15" thickBot="1" x14ac:dyDescent="0.4">
      <c r="A338" s="5">
        <v>1015</v>
      </c>
      <c r="B338" s="5" t="s">
        <v>42</v>
      </c>
      <c r="C338" s="5" t="s">
        <v>43</v>
      </c>
      <c r="D338" s="5" t="s">
        <v>18</v>
      </c>
      <c r="E338" s="5" t="s">
        <v>44</v>
      </c>
      <c r="F338" s="5">
        <v>11</v>
      </c>
      <c r="G338" s="5">
        <v>14511</v>
      </c>
      <c r="H338" s="5">
        <v>2</v>
      </c>
      <c r="I338" s="6">
        <v>46175</v>
      </c>
      <c r="J338" s="6">
        <v>46185</v>
      </c>
      <c r="K338" s="10" t="s">
        <v>20</v>
      </c>
      <c r="L338" s="14" t="str">
        <f t="shared" si="15"/>
        <v>Nis1015</v>
      </c>
      <c r="M338" s="15" t="str">
        <f t="shared" si="16"/>
        <v>Boolf</v>
      </c>
      <c r="N338" s="16" t="str">
        <f t="shared" si="17"/>
        <v>ooks</v>
      </c>
    </row>
    <row r="339" spans="1:14" ht="15" thickBot="1" x14ac:dyDescent="0.4">
      <c r="A339" s="5">
        <v>1093</v>
      </c>
      <c r="B339" s="5" t="s">
        <v>47</v>
      </c>
      <c r="C339" s="5" t="s">
        <v>25</v>
      </c>
      <c r="D339" s="5" t="s">
        <v>18</v>
      </c>
      <c r="E339" s="5" t="s">
        <v>23</v>
      </c>
      <c r="F339" s="5">
        <v>6</v>
      </c>
      <c r="G339" s="5">
        <v>8224</v>
      </c>
      <c r="H339" s="5">
        <v>15</v>
      </c>
      <c r="I339" s="6">
        <v>46175</v>
      </c>
      <c r="J339" s="6">
        <v>46185</v>
      </c>
      <c r="K339" s="10" t="s">
        <v>51</v>
      </c>
      <c r="L339" s="14" t="str">
        <f t="shared" si="15"/>
        <v>Yas1093</v>
      </c>
      <c r="M339" s="15" t="str">
        <f t="shared" si="16"/>
        <v>Table</v>
      </c>
      <c r="N339" s="16" t="str">
        <f t="shared" si="17"/>
        <v>able</v>
      </c>
    </row>
    <row r="340" spans="1:14" ht="15" thickBot="1" x14ac:dyDescent="0.4">
      <c r="A340" s="5">
        <v>1025</v>
      </c>
      <c r="B340" s="5" t="s">
        <v>21</v>
      </c>
      <c r="C340" s="5" t="s">
        <v>12</v>
      </c>
      <c r="D340" s="5" t="s">
        <v>18</v>
      </c>
      <c r="E340" s="5" t="s">
        <v>19</v>
      </c>
      <c r="F340" s="5">
        <v>18</v>
      </c>
      <c r="G340" s="5">
        <v>7924</v>
      </c>
      <c r="H340" s="5">
        <v>0</v>
      </c>
      <c r="I340" s="6">
        <v>46175</v>
      </c>
      <c r="J340" s="6">
        <v>46181</v>
      </c>
      <c r="K340" s="10" t="s">
        <v>15</v>
      </c>
      <c r="L340" s="14" t="str">
        <f t="shared" si="15"/>
        <v>Mee1025</v>
      </c>
      <c r="M340" s="15" t="str">
        <f t="shared" si="16"/>
        <v>Dessk</v>
      </c>
      <c r="N340" s="16" t="str">
        <f t="shared" si="17"/>
        <v>esk</v>
      </c>
    </row>
    <row r="341" spans="1:14" ht="15" thickBot="1" x14ac:dyDescent="0.4">
      <c r="A341" s="5">
        <v>1211</v>
      </c>
      <c r="B341" s="5" t="s">
        <v>48</v>
      </c>
      <c r="C341" s="5" t="s">
        <v>17</v>
      </c>
      <c r="D341" s="5" t="s">
        <v>34</v>
      </c>
      <c r="E341" s="5" t="s">
        <v>35</v>
      </c>
      <c r="F341" s="5">
        <v>3</v>
      </c>
      <c r="G341" s="5">
        <v>5962</v>
      </c>
      <c r="H341" s="5">
        <v>7</v>
      </c>
      <c r="I341" s="6">
        <v>46175</v>
      </c>
      <c r="J341" s="6">
        <v>46183</v>
      </c>
      <c r="K341" s="10" t="s">
        <v>15</v>
      </c>
      <c r="L341" s="14" t="str">
        <f t="shared" si="15"/>
        <v>Nit1211</v>
      </c>
      <c r="M341" s="15" t="str">
        <f t="shared" si="16"/>
        <v>Prier</v>
      </c>
      <c r="N341" s="16" t="str">
        <f t="shared" si="17"/>
        <v>rint</v>
      </c>
    </row>
    <row r="342" spans="1:14" ht="15" thickBot="1" x14ac:dyDescent="0.4">
      <c r="A342" s="5">
        <v>1245</v>
      </c>
      <c r="B342" s="5" t="s">
        <v>55</v>
      </c>
      <c r="C342" s="5" t="s">
        <v>43</v>
      </c>
      <c r="D342" s="5" t="s">
        <v>34</v>
      </c>
      <c r="E342" s="5" t="s">
        <v>41</v>
      </c>
      <c r="F342" s="5">
        <v>19</v>
      </c>
      <c r="G342" s="5">
        <v>69029</v>
      </c>
      <c r="H342" s="5">
        <v>7</v>
      </c>
      <c r="I342" s="6">
        <v>46176</v>
      </c>
      <c r="J342" s="6">
        <v>46179</v>
      </c>
      <c r="K342" s="10" t="s">
        <v>29</v>
      </c>
      <c r="L342" s="14" t="str">
        <f t="shared" si="15"/>
        <v>Sne1245</v>
      </c>
      <c r="M342" s="15" t="str">
        <f t="shared" si="16"/>
        <v>Heaet</v>
      </c>
      <c r="N342" s="16" t="str">
        <f t="shared" si="17"/>
        <v>eads</v>
      </c>
    </row>
    <row r="343" spans="1:14" ht="15" thickBot="1" x14ac:dyDescent="0.4">
      <c r="A343" s="5">
        <v>1282</v>
      </c>
      <c r="B343" s="5" t="s">
        <v>57</v>
      </c>
      <c r="C343" s="5" t="s">
        <v>43</v>
      </c>
      <c r="D343" s="5" t="s">
        <v>18</v>
      </c>
      <c r="E343" s="5" t="s">
        <v>44</v>
      </c>
      <c r="F343" s="5">
        <v>12</v>
      </c>
      <c r="G343" s="5">
        <v>3178</v>
      </c>
      <c r="H343" s="5">
        <v>10</v>
      </c>
      <c r="I343" s="6">
        <v>46176</v>
      </c>
      <c r="J343" s="6">
        <v>46177</v>
      </c>
      <c r="K343" s="10" t="s">
        <v>29</v>
      </c>
      <c r="L343" s="14" t="str">
        <f t="shared" si="15"/>
        <v>Sar1282</v>
      </c>
      <c r="M343" s="15" t="str">
        <f t="shared" si="16"/>
        <v>Boolf</v>
      </c>
      <c r="N343" s="16" t="str">
        <f t="shared" si="17"/>
        <v>ooks</v>
      </c>
    </row>
    <row r="344" spans="1:14" ht="15" thickBot="1" x14ac:dyDescent="0.4">
      <c r="A344" s="5">
        <v>1338</v>
      </c>
      <c r="B344" s="5" t="s">
        <v>59</v>
      </c>
      <c r="C344" s="5" t="s">
        <v>25</v>
      </c>
      <c r="D344" s="5" t="s">
        <v>34</v>
      </c>
      <c r="E344" s="5" t="s">
        <v>60</v>
      </c>
      <c r="F344" s="5">
        <v>10</v>
      </c>
      <c r="G344" s="5">
        <v>16719</v>
      </c>
      <c r="H344" s="5">
        <v>5</v>
      </c>
      <c r="I344" s="6">
        <v>46177</v>
      </c>
      <c r="J344" s="6">
        <v>46179</v>
      </c>
      <c r="K344" s="10" t="s">
        <v>15</v>
      </c>
      <c r="L344" s="14" t="str">
        <f t="shared" si="15"/>
        <v>Ani1338</v>
      </c>
      <c r="M344" s="15" t="str">
        <f t="shared" si="16"/>
        <v>Lapop</v>
      </c>
      <c r="N344" s="16" t="str">
        <f t="shared" si="17"/>
        <v>apto</v>
      </c>
    </row>
    <row r="345" spans="1:14" ht="15" thickBot="1" x14ac:dyDescent="0.4">
      <c r="A345" s="5">
        <v>1187</v>
      </c>
      <c r="B345" s="5" t="s">
        <v>54</v>
      </c>
      <c r="C345" s="5" t="s">
        <v>22</v>
      </c>
      <c r="D345" s="5" t="s">
        <v>34</v>
      </c>
      <c r="E345" s="5" t="s">
        <v>45</v>
      </c>
      <c r="F345" s="5">
        <v>18</v>
      </c>
      <c r="G345" s="5">
        <v>68527</v>
      </c>
      <c r="H345" s="5">
        <v>12</v>
      </c>
      <c r="I345" s="6">
        <v>46178</v>
      </c>
      <c r="J345" s="6">
        <v>46184</v>
      </c>
      <c r="K345" s="10" t="s">
        <v>51</v>
      </c>
      <c r="L345" s="14" t="str">
        <f t="shared" si="15"/>
        <v>Man1187</v>
      </c>
      <c r="M345" s="15" t="str">
        <f t="shared" si="16"/>
        <v>Monor</v>
      </c>
      <c r="N345" s="16" t="str">
        <f t="shared" si="17"/>
        <v>onit</v>
      </c>
    </row>
    <row r="346" spans="1:14" ht="15" thickBot="1" x14ac:dyDescent="0.4">
      <c r="A346" s="5">
        <v>1297</v>
      </c>
      <c r="B346" s="5" t="s">
        <v>54</v>
      </c>
      <c r="C346" s="5" t="s">
        <v>25</v>
      </c>
      <c r="D346" s="5" t="s">
        <v>34</v>
      </c>
      <c r="E346" s="5" t="s">
        <v>35</v>
      </c>
      <c r="F346" s="5">
        <v>14</v>
      </c>
      <c r="G346" s="5">
        <v>24524</v>
      </c>
      <c r="H346" s="5">
        <v>10</v>
      </c>
      <c r="I346" s="6">
        <v>46178</v>
      </c>
      <c r="J346" s="6">
        <v>46187</v>
      </c>
      <c r="K346" s="10" t="s">
        <v>29</v>
      </c>
      <c r="L346" s="14" t="str">
        <f t="shared" si="15"/>
        <v>Man1297</v>
      </c>
      <c r="M346" s="15" t="str">
        <f t="shared" si="16"/>
        <v>Prier</v>
      </c>
      <c r="N346" s="16" t="str">
        <f t="shared" si="17"/>
        <v>rint</v>
      </c>
    </row>
    <row r="347" spans="1:14" ht="15" thickBot="1" x14ac:dyDescent="0.4">
      <c r="A347" s="5">
        <v>1231</v>
      </c>
      <c r="B347" s="5" t="s">
        <v>48</v>
      </c>
      <c r="C347" s="5" t="s">
        <v>38</v>
      </c>
      <c r="D347" s="5" t="s">
        <v>18</v>
      </c>
      <c r="E347" s="5" t="s">
        <v>19</v>
      </c>
      <c r="F347" s="5">
        <v>13</v>
      </c>
      <c r="G347" s="5">
        <v>10297</v>
      </c>
      <c r="H347" s="5">
        <v>12</v>
      </c>
      <c r="I347" s="6">
        <v>46178</v>
      </c>
      <c r="J347" s="6">
        <v>46186</v>
      </c>
      <c r="K347" s="10" t="s">
        <v>20</v>
      </c>
      <c r="L347" s="14" t="str">
        <f t="shared" si="15"/>
        <v>Nit1231</v>
      </c>
      <c r="M347" s="15" t="str">
        <f t="shared" si="16"/>
        <v>Dessk</v>
      </c>
      <c r="N347" s="16" t="str">
        <f t="shared" si="17"/>
        <v>esk</v>
      </c>
    </row>
    <row r="348" spans="1:14" ht="15" thickBot="1" x14ac:dyDescent="0.4">
      <c r="A348" s="5">
        <v>1118</v>
      </c>
      <c r="B348" s="5" t="s">
        <v>21</v>
      </c>
      <c r="C348" s="5" t="s">
        <v>22</v>
      </c>
      <c r="D348" s="5" t="s">
        <v>18</v>
      </c>
      <c r="E348" s="5" t="s">
        <v>23</v>
      </c>
      <c r="F348" s="5">
        <v>18</v>
      </c>
      <c r="G348" s="5">
        <v>9118</v>
      </c>
      <c r="H348" s="5">
        <v>5</v>
      </c>
      <c r="I348" s="6">
        <v>46178</v>
      </c>
      <c r="J348" s="6">
        <v>46187</v>
      </c>
      <c r="K348" s="10" t="s">
        <v>29</v>
      </c>
      <c r="L348" s="14" t="str">
        <f t="shared" si="15"/>
        <v>Mee1118</v>
      </c>
      <c r="M348" s="15" t="str">
        <f t="shared" si="16"/>
        <v>Table</v>
      </c>
      <c r="N348" s="16" t="str">
        <f t="shared" si="17"/>
        <v>able</v>
      </c>
    </row>
    <row r="349" spans="1:14" ht="15" thickBot="1" x14ac:dyDescent="0.4">
      <c r="A349" s="5">
        <v>1154</v>
      </c>
      <c r="B349" s="5" t="s">
        <v>32</v>
      </c>
      <c r="C349" s="5" t="s">
        <v>17</v>
      </c>
      <c r="D349" s="5" t="s">
        <v>18</v>
      </c>
      <c r="E349" s="5" t="s">
        <v>56</v>
      </c>
      <c r="F349" s="5">
        <v>15</v>
      </c>
      <c r="G349" s="5">
        <v>6101</v>
      </c>
      <c r="H349" s="5">
        <v>0</v>
      </c>
      <c r="I349" s="6">
        <v>46178</v>
      </c>
      <c r="J349" s="6">
        <v>46183</v>
      </c>
      <c r="K349" s="10" t="s">
        <v>51</v>
      </c>
      <c r="L349" s="14" t="str">
        <f t="shared" si="15"/>
        <v>Ash1154</v>
      </c>
      <c r="M349" s="15" t="str">
        <f t="shared" si="16"/>
        <v>Cabet</v>
      </c>
      <c r="N349" s="16" t="str">
        <f t="shared" si="17"/>
        <v>abin</v>
      </c>
    </row>
    <row r="350" spans="1:14" ht="15" thickBot="1" x14ac:dyDescent="0.4">
      <c r="A350" s="5">
        <v>1199</v>
      </c>
      <c r="B350" s="5" t="s">
        <v>11</v>
      </c>
      <c r="C350" s="5" t="s">
        <v>25</v>
      </c>
      <c r="D350" s="5" t="s">
        <v>34</v>
      </c>
      <c r="E350" s="5" t="s">
        <v>45</v>
      </c>
      <c r="F350" s="5">
        <v>2</v>
      </c>
      <c r="G350" s="5">
        <v>4375</v>
      </c>
      <c r="H350" s="5">
        <v>7</v>
      </c>
      <c r="I350" s="6">
        <v>46178</v>
      </c>
      <c r="J350" s="6">
        <v>46180</v>
      </c>
      <c r="K350" s="10" t="s">
        <v>24</v>
      </c>
      <c r="L350" s="14" t="str">
        <f t="shared" si="15"/>
        <v>Rit1199</v>
      </c>
      <c r="M350" s="15" t="str">
        <f t="shared" si="16"/>
        <v>Monor</v>
      </c>
      <c r="N350" s="16" t="str">
        <f t="shared" si="17"/>
        <v>onit</v>
      </c>
    </row>
    <row r="351" spans="1:14" ht="15" thickBot="1" x14ac:dyDescent="0.4">
      <c r="A351" s="5">
        <v>1376</v>
      </c>
      <c r="B351" s="5" t="s">
        <v>52</v>
      </c>
      <c r="C351" s="5" t="s">
        <v>31</v>
      </c>
      <c r="D351" s="5" t="s">
        <v>13</v>
      </c>
      <c r="E351" s="5" t="s">
        <v>50</v>
      </c>
      <c r="F351" s="5">
        <v>20</v>
      </c>
      <c r="G351" s="5">
        <v>429</v>
      </c>
      <c r="H351" s="5">
        <v>5</v>
      </c>
      <c r="I351" s="6">
        <v>46178</v>
      </c>
      <c r="J351" s="6">
        <v>46184</v>
      </c>
      <c r="K351" s="10" t="s">
        <v>20</v>
      </c>
      <c r="L351" s="14" t="str">
        <f t="shared" si="15"/>
        <v>Kom1376</v>
      </c>
      <c r="M351" s="15" t="str">
        <f t="shared" si="16"/>
        <v>Marer</v>
      </c>
      <c r="N351" s="16" t="str">
        <f t="shared" si="17"/>
        <v>arke</v>
      </c>
    </row>
    <row r="352" spans="1:14" ht="15" thickBot="1" x14ac:dyDescent="0.4">
      <c r="A352" s="5">
        <v>1274</v>
      </c>
      <c r="B352" s="5" t="s">
        <v>26</v>
      </c>
      <c r="C352" s="5" t="s">
        <v>25</v>
      </c>
      <c r="D352" s="5" t="s">
        <v>34</v>
      </c>
      <c r="E352" s="5" t="s">
        <v>41</v>
      </c>
      <c r="F352" s="5">
        <v>13</v>
      </c>
      <c r="G352" s="5">
        <v>36652</v>
      </c>
      <c r="H352" s="5">
        <v>12</v>
      </c>
      <c r="I352" s="6">
        <v>46179</v>
      </c>
      <c r="J352" s="6">
        <v>46186</v>
      </c>
      <c r="K352" s="10" t="s">
        <v>20</v>
      </c>
      <c r="L352" s="14" t="str">
        <f t="shared" si="15"/>
        <v>Vik1274</v>
      </c>
      <c r="M352" s="15" t="str">
        <f t="shared" si="16"/>
        <v>Heaet</v>
      </c>
      <c r="N352" s="16" t="str">
        <f t="shared" si="17"/>
        <v>eads</v>
      </c>
    </row>
    <row r="353" spans="1:14" ht="15" thickBot="1" x14ac:dyDescent="0.4">
      <c r="A353" s="5">
        <v>1288</v>
      </c>
      <c r="B353" s="5" t="s">
        <v>54</v>
      </c>
      <c r="C353" s="5" t="s">
        <v>22</v>
      </c>
      <c r="D353" s="5" t="s">
        <v>34</v>
      </c>
      <c r="E353" s="5" t="s">
        <v>60</v>
      </c>
      <c r="F353" s="5">
        <v>14</v>
      </c>
      <c r="G353" s="5">
        <v>35601</v>
      </c>
      <c r="H353" s="5">
        <v>10</v>
      </c>
      <c r="I353" s="6">
        <v>46179</v>
      </c>
      <c r="J353" s="6">
        <v>46187</v>
      </c>
      <c r="K353" s="10" t="s">
        <v>29</v>
      </c>
      <c r="L353" s="14" t="str">
        <f t="shared" si="15"/>
        <v>Man1288</v>
      </c>
      <c r="M353" s="15" t="str">
        <f t="shared" si="16"/>
        <v>Lapop</v>
      </c>
      <c r="N353" s="16" t="str">
        <f t="shared" si="17"/>
        <v>apto</v>
      </c>
    </row>
    <row r="354" spans="1:14" ht="15" thickBot="1" x14ac:dyDescent="0.4">
      <c r="A354" s="5">
        <v>1278</v>
      </c>
      <c r="B354" s="5" t="s">
        <v>47</v>
      </c>
      <c r="C354" s="5" t="s">
        <v>22</v>
      </c>
      <c r="D354" s="5" t="s">
        <v>34</v>
      </c>
      <c r="E354" s="5" t="s">
        <v>61</v>
      </c>
      <c r="F354" s="5">
        <v>4</v>
      </c>
      <c r="G354" s="5">
        <v>20639</v>
      </c>
      <c r="H354" s="5">
        <v>7</v>
      </c>
      <c r="I354" s="6">
        <v>46180</v>
      </c>
      <c r="J354" s="6">
        <v>46186</v>
      </c>
      <c r="K354" s="10" t="s">
        <v>20</v>
      </c>
      <c r="L354" s="14" t="str">
        <f t="shared" si="15"/>
        <v>Yas1278</v>
      </c>
      <c r="M354" s="15" t="str">
        <f t="shared" si="16"/>
        <v>Mouse</v>
      </c>
      <c r="N354" s="16" t="str">
        <f t="shared" si="17"/>
        <v>ouse</v>
      </c>
    </row>
    <row r="355" spans="1:14" ht="15" thickBot="1" x14ac:dyDescent="0.4">
      <c r="A355" s="5">
        <v>1048</v>
      </c>
      <c r="B355" s="5" t="s">
        <v>59</v>
      </c>
      <c r="C355" s="5" t="s">
        <v>25</v>
      </c>
      <c r="D355" s="5" t="s">
        <v>34</v>
      </c>
      <c r="E355" s="5" t="s">
        <v>60</v>
      </c>
      <c r="F355" s="5">
        <v>14</v>
      </c>
      <c r="G355" s="5">
        <v>11762</v>
      </c>
      <c r="H355" s="5">
        <v>7</v>
      </c>
      <c r="I355" s="6">
        <v>46180</v>
      </c>
      <c r="J355" s="6">
        <v>46186</v>
      </c>
      <c r="K355" s="10" t="s">
        <v>24</v>
      </c>
      <c r="L355" s="14" t="str">
        <f t="shared" si="15"/>
        <v>Ani1048</v>
      </c>
      <c r="M355" s="15" t="str">
        <f t="shared" si="16"/>
        <v>Lapop</v>
      </c>
      <c r="N355" s="16" t="str">
        <f t="shared" si="17"/>
        <v>apto</v>
      </c>
    </row>
    <row r="356" spans="1:14" ht="15" thickBot="1" x14ac:dyDescent="0.4">
      <c r="A356" s="5">
        <v>1294</v>
      </c>
      <c r="B356" s="5" t="s">
        <v>21</v>
      </c>
      <c r="C356" s="5" t="s">
        <v>12</v>
      </c>
      <c r="D356" s="5" t="s">
        <v>18</v>
      </c>
      <c r="E356" s="5" t="s">
        <v>19</v>
      </c>
      <c r="F356" s="5">
        <v>8</v>
      </c>
      <c r="G356" s="5">
        <v>14448</v>
      </c>
      <c r="H356" s="5">
        <v>10</v>
      </c>
      <c r="I356" s="6">
        <v>46181</v>
      </c>
      <c r="J356" s="6">
        <v>46189</v>
      </c>
      <c r="K356" s="10" t="s">
        <v>15</v>
      </c>
      <c r="L356" s="14" t="str">
        <f t="shared" si="15"/>
        <v>Mee1294</v>
      </c>
      <c r="M356" s="15" t="str">
        <f t="shared" si="16"/>
        <v>Dessk</v>
      </c>
      <c r="N356" s="16" t="str">
        <f t="shared" si="17"/>
        <v>esk</v>
      </c>
    </row>
    <row r="357" spans="1:14" ht="15" thickBot="1" x14ac:dyDescent="0.4">
      <c r="A357" s="5">
        <v>1310</v>
      </c>
      <c r="B357" s="5" t="s">
        <v>49</v>
      </c>
      <c r="C357" s="5" t="s">
        <v>17</v>
      </c>
      <c r="D357" s="5" t="s">
        <v>18</v>
      </c>
      <c r="E357" s="5" t="s">
        <v>56</v>
      </c>
      <c r="F357" s="5">
        <v>19</v>
      </c>
      <c r="G357" s="5">
        <v>12691</v>
      </c>
      <c r="H357" s="5">
        <v>0</v>
      </c>
      <c r="I357" s="6">
        <v>46181</v>
      </c>
      <c r="J357" s="6">
        <v>46189</v>
      </c>
      <c r="K357" s="10" t="s">
        <v>29</v>
      </c>
      <c r="L357" s="14" t="str">
        <f t="shared" si="15"/>
        <v>Aja1310</v>
      </c>
      <c r="M357" s="15" t="str">
        <f t="shared" si="16"/>
        <v>Cabet</v>
      </c>
      <c r="N357" s="16" t="str">
        <f t="shared" si="17"/>
        <v>abin</v>
      </c>
    </row>
    <row r="358" spans="1:14" ht="15" thickBot="1" x14ac:dyDescent="0.4">
      <c r="A358" s="5">
        <v>1124</v>
      </c>
      <c r="B358" s="5" t="s">
        <v>27</v>
      </c>
      <c r="C358" s="5" t="s">
        <v>38</v>
      </c>
      <c r="D358" s="5" t="s">
        <v>18</v>
      </c>
      <c r="E358" s="5" t="s">
        <v>56</v>
      </c>
      <c r="F358" s="5">
        <v>4</v>
      </c>
      <c r="G358" s="5">
        <v>14195</v>
      </c>
      <c r="H358" s="5">
        <v>15</v>
      </c>
      <c r="I358" s="6">
        <v>46182</v>
      </c>
      <c r="J358" s="6">
        <v>46189</v>
      </c>
      <c r="K358" s="10" t="s">
        <v>51</v>
      </c>
      <c r="L358" s="14" t="str">
        <f t="shared" si="15"/>
        <v>Arj1124</v>
      </c>
      <c r="M358" s="15" t="str">
        <f t="shared" si="16"/>
        <v>Cabet</v>
      </c>
      <c r="N358" s="16" t="str">
        <f t="shared" si="17"/>
        <v>abin</v>
      </c>
    </row>
    <row r="359" spans="1:14" ht="15" thickBot="1" x14ac:dyDescent="0.4">
      <c r="A359" s="5">
        <v>1009</v>
      </c>
      <c r="B359" s="5" t="s">
        <v>32</v>
      </c>
      <c r="C359" s="5" t="s">
        <v>33</v>
      </c>
      <c r="D359" s="5" t="s">
        <v>34</v>
      </c>
      <c r="E359" s="5" t="s">
        <v>35</v>
      </c>
      <c r="F359" s="5">
        <v>10</v>
      </c>
      <c r="G359" s="5">
        <v>40671</v>
      </c>
      <c r="H359" s="5">
        <v>12</v>
      </c>
      <c r="I359" s="6">
        <v>46183</v>
      </c>
      <c r="J359" s="6">
        <v>46193</v>
      </c>
      <c r="K359" s="10" t="s">
        <v>24</v>
      </c>
      <c r="L359" s="14" t="str">
        <f t="shared" si="15"/>
        <v>Ash1009</v>
      </c>
      <c r="M359" s="15" t="str">
        <f t="shared" si="16"/>
        <v>Prier</v>
      </c>
      <c r="N359" s="16" t="str">
        <f t="shared" si="17"/>
        <v>rint</v>
      </c>
    </row>
    <row r="360" spans="1:14" ht="15" thickBot="1" x14ac:dyDescent="0.4">
      <c r="A360" s="5">
        <v>1003</v>
      </c>
      <c r="B360" s="5" t="s">
        <v>21</v>
      </c>
      <c r="C360" s="5" t="s">
        <v>22</v>
      </c>
      <c r="D360" s="5" t="s">
        <v>18</v>
      </c>
      <c r="E360" s="5" t="s">
        <v>23</v>
      </c>
      <c r="F360" s="5">
        <v>20</v>
      </c>
      <c r="G360" s="5">
        <v>2123</v>
      </c>
      <c r="H360" s="5">
        <v>15</v>
      </c>
      <c r="I360" s="6">
        <v>46183</v>
      </c>
      <c r="J360" s="6">
        <v>46192</v>
      </c>
      <c r="K360" s="10" t="s">
        <v>24</v>
      </c>
      <c r="L360" s="14" t="str">
        <f t="shared" si="15"/>
        <v>Mee1003</v>
      </c>
      <c r="M360" s="15" t="str">
        <f t="shared" si="16"/>
        <v>Table</v>
      </c>
      <c r="N360" s="16" t="str">
        <f t="shared" si="17"/>
        <v>able</v>
      </c>
    </row>
    <row r="361" spans="1:14" ht="15" thickBot="1" x14ac:dyDescent="0.4">
      <c r="A361" s="5">
        <v>1320</v>
      </c>
      <c r="B361" s="5" t="s">
        <v>47</v>
      </c>
      <c r="C361" s="5" t="s">
        <v>38</v>
      </c>
      <c r="D361" s="5" t="s">
        <v>13</v>
      </c>
      <c r="E361" s="5" t="s">
        <v>36</v>
      </c>
      <c r="F361" s="5">
        <v>20</v>
      </c>
      <c r="G361" s="5">
        <v>55</v>
      </c>
      <c r="H361" s="5">
        <v>7</v>
      </c>
      <c r="I361" s="6">
        <v>46183</v>
      </c>
      <c r="J361" s="6">
        <v>46186</v>
      </c>
      <c r="K361" s="10" t="s">
        <v>20</v>
      </c>
      <c r="L361" s="14" t="str">
        <f t="shared" si="15"/>
        <v>Yas1320</v>
      </c>
      <c r="M361" s="15" t="str">
        <f t="shared" si="16"/>
        <v>Staer</v>
      </c>
      <c r="N361" s="16" t="str">
        <f t="shared" si="17"/>
        <v>tapl</v>
      </c>
    </row>
    <row r="362" spans="1:14" ht="15" thickBot="1" x14ac:dyDescent="0.4">
      <c r="A362" s="5">
        <v>1159</v>
      </c>
      <c r="B362" s="5" t="s">
        <v>32</v>
      </c>
      <c r="C362" s="5" t="s">
        <v>43</v>
      </c>
      <c r="D362" s="5" t="s">
        <v>18</v>
      </c>
      <c r="E362" s="5" t="s">
        <v>28</v>
      </c>
      <c r="F362" s="5">
        <v>20</v>
      </c>
      <c r="G362" s="5">
        <v>14000</v>
      </c>
      <c r="H362" s="5">
        <v>15</v>
      </c>
      <c r="I362" s="6">
        <v>46184</v>
      </c>
      <c r="J362" s="6">
        <v>46187</v>
      </c>
      <c r="K362" s="10" t="s">
        <v>15</v>
      </c>
      <c r="L362" s="14" t="str">
        <f t="shared" si="15"/>
        <v>Ash1159</v>
      </c>
      <c r="M362" s="15" t="str">
        <f t="shared" si="16"/>
        <v>Chair</v>
      </c>
      <c r="N362" s="16" t="str">
        <f t="shared" si="17"/>
        <v>hair</v>
      </c>
    </row>
    <row r="363" spans="1:14" ht="15" thickBot="1" x14ac:dyDescent="0.4">
      <c r="A363" s="5">
        <v>1189</v>
      </c>
      <c r="B363" s="5" t="s">
        <v>49</v>
      </c>
      <c r="C363" s="5" t="s">
        <v>31</v>
      </c>
      <c r="D363" s="5" t="s">
        <v>18</v>
      </c>
      <c r="E363" s="5" t="s">
        <v>56</v>
      </c>
      <c r="F363" s="5">
        <v>12</v>
      </c>
      <c r="G363" s="5">
        <v>8327</v>
      </c>
      <c r="H363" s="5">
        <v>10</v>
      </c>
      <c r="I363" s="6">
        <v>46184</v>
      </c>
      <c r="J363" s="6">
        <v>46185</v>
      </c>
      <c r="K363" s="10" t="s">
        <v>29</v>
      </c>
      <c r="L363" s="14" t="str">
        <f t="shared" si="15"/>
        <v>Aja1189</v>
      </c>
      <c r="M363" s="15" t="str">
        <f t="shared" si="16"/>
        <v>Cabet</v>
      </c>
      <c r="N363" s="16" t="str">
        <f t="shared" si="17"/>
        <v>abin</v>
      </c>
    </row>
    <row r="364" spans="1:14" ht="15" thickBot="1" x14ac:dyDescent="0.4">
      <c r="A364" s="5">
        <v>1119</v>
      </c>
      <c r="B364" s="5" t="s">
        <v>30</v>
      </c>
      <c r="C364" s="5" t="s">
        <v>43</v>
      </c>
      <c r="D364" s="5" t="s">
        <v>18</v>
      </c>
      <c r="E364" s="5" t="s">
        <v>28</v>
      </c>
      <c r="F364" s="5">
        <v>2</v>
      </c>
      <c r="G364" s="5">
        <v>3706</v>
      </c>
      <c r="H364" s="5">
        <v>5</v>
      </c>
      <c r="I364" s="6">
        <v>46184</v>
      </c>
      <c r="J364" s="6">
        <v>46192</v>
      </c>
      <c r="K364" s="10" t="s">
        <v>51</v>
      </c>
      <c r="L364" s="14" t="str">
        <f t="shared" si="15"/>
        <v>Neh1119</v>
      </c>
      <c r="M364" s="15" t="str">
        <f t="shared" si="16"/>
        <v>Chair</v>
      </c>
      <c r="N364" s="16" t="str">
        <f t="shared" si="17"/>
        <v>hair</v>
      </c>
    </row>
    <row r="365" spans="1:14" ht="15" thickBot="1" x14ac:dyDescent="0.4">
      <c r="A365" s="5">
        <v>1370</v>
      </c>
      <c r="B365" s="5" t="s">
        <v>59</v>
      </c>
      <c r="C365" s="5" t="s">
        <v>38</v>
      </c>
      <c r="D365" s="5" t="s">
        <v>13</v>
      </c>
      <c r="E365" s="5" t="s">
        <v>53</v>
      </c>
      <c r="F365" s="5">
        <v>13</v>
      </c>
      <c r="G365" s="5">
        <v>337</v>
      </c>
      <c r="H365" s="5">
        <v>7</v>
      </c>
      <c r="I365" s="6">
        <v>46184</v>
      </c>
      <c r="J365" s="6">
        <v>46188</v>
      </c>
      <c r="K365" s="10" t="s">
        <v>15</v>
      </c>
      <c r="L365" s="14" t="str">
        <f t="shared" si="15"/>
        <v>Ani1370</v>
      </c>
      <c r="M365" s="15" t="str">
        <f t="shared" si="16"/>
        <v>Diary</v>
      </c>
      <c r="N365" s="16" t="str">
        <f t="shared" si="17"/>
        <v>iary</v>
      </c>
    </row>
    <row r="366" spans="1:14" ht="15" thickBot="1" x14ac:dyDescent="0.4">
      <c r="A366" s="5">
        <v>1137</v>
      </c>
      <c r="B366" s="5" t="s">
        <v>52</v>
      </c>
      <c r="C366" s="5" t="s">
        <v>12</v>
      </c>
      <c r="D366" s="5" t="s">
        <v>13</v>
      </c>
      <c r="E366" s="5" t="s">
        <v>37</v>
      </c>
      <c r="F366" s="5">
        <v>16</v>
      </c>
      <c r="G366" s="5">
        <v>270</v>
      </c>
      <c r="H366" s="5">
        <v>10</v>
      </c>
      <c r="I366" s="6">
        <v>46184</v>
      </c>
      <c r="J366" s="6">
        <v>46190</v>
      </c>
      <c r="K366" s="10" t="s">
        <v>29</v>
      </c>
      <c r="L366" s="14" t="str">
        <f t="shared" si="15"/>
        <v>Kom1137</v>
      </c>
      <c r="M366" s="15" t="str">
        <f t="shared" si="16"/>
        <v>Penck</v>
      </c>
      <c r="N366" s="16" t="str">
        <f t="shared" si="17"/>
        <v>en P</v>
      </c>
    </row>
    <row r="367" spans="1:14" ht="15" thickBot="1" x14ac:dyDescent="0.4">
      <c r="A367" s="5">
        <v>1075</v>
      </c>
      <c r="B367" s="5" t="s">
        <v>42</v>
      </c>
      <c r="C367" s="5" t="s">
        <v>43</v>
      </c>
      <c r="D367" s="5" t="s">
        <v>34</v>
      </c>
      <c r="E367" s="5" t="s">
        <v>61</v>
      </c>
      <c r="F367" s="5">
        <v>4</v>
      </c>
      <c r="G367" s="5">
        <v>64773</v>
      </c>
      <c r="H367" s="5">
        <v>10</v>
      </c>
      <c r="I367" s="6">
        <v>46185</v>
      </c>
      <c r="J367" s="6">
        <v>46186</v>
      </c>
      <c r="K367" s="10" t="s">
        <v>51</v>
      </c>
      <c r="L367" s="14" t="str">
        <f t="shared" si="15"/>
        <v>Nis1075</v>
      </c>
      <c r="M367" s="15" t="str">
        <f t="shared" si="16"/>
        <v>Mouse</v>
      </c>
      <c r="N367" s="16" t="str">
        <f t="shared" si="17"/>
        <v>ouse</v>
      </c>
    </row>
    <row r="368" spans="1:14" ht="15" thickBot="1" x14ac:dyDescent="0.4">
      <c r="A368" s="5">
        <v>1350</v>
      </c>
      <c r="B368" s="5" t="s">
        <v>26</v>
      </c>
      <c r="C368" s="5" t="s">
        <v>43</v>
      </c>
      <c r="D368" s="5" t="s">
        <v>18</v>
      </c>
      <c r="E368" s="5" t="s">
        <v>28</v>
      </c>
      <c r="F368" s="5">
        <v>16</v>
      </c>
      <c r="G368" s="5">
        <v>11790</v>
      </c>
      <c r="H368" s="5">
        <v>12</v>
      </c>
      <c r="I368" s="6">
        <v>46185</v>
      </c>
      <c r="J368" s="6">
        <v>46190</v>
      </c>
      <c r="K368" s="10" t="s">
        <v>29</v>
      </c>
      <c r="L368" s="14" t="str">
        <f t="shared" si="15"/>
        <v>Vik1350</v>
      </c>
      <c r="M368" s="15" t="str">
        <f t="shared" si="16"/>
        <v>Chair</v>
      </c>
      <c r="N368" s="16" t="str">
        <f t="shared" si="17"/>
        <v>hair</v>
      </c>
    </row>
    <row r="369" spans="1:14" ht="15" thickBot="1" x14ac:dyDescent="0.4">
      <c r="A369" s="5">
        <v>1083</v>
      </c>
      <c r="B369" s="5" t="s">
        <v>55</v>
      </c>
      <c r="C369" s="5" t="s">
        <v>33</v>
      </c>
      <c r="D369" s="5" t="s">
        <v>13</v>
      </c>
      <c r="E369" s="5" t="s">
        <v>53</v>
      </c>
      <c r="F369" s="5">
        <v>4</v>
      </c>
      <c r="G369" s="5">
        <v>397</v>
      </c>
      <c r="H369" s="5">
        <v>7</v>
      </c>
      <c r="I369" s="6">
        <v>46185</v>
      </c>
      <c r="J369" s="6">
        <v>46193</v>
      </c>
      <c r="K369" s="10" t="s">
        <v>15</v>
      </c>
      <c r="L369" s="14" t="str">
        <f t="shared" si="15"/>
        <v>Sne1083</v>
      </c>
      <c r="M369" s="15" t="str">
        <f t="shared" si="16"/>
        <v>Diary</v>
      </c>
      <c r="N369" s="16" t="str">
        <f t="shared" si="17"/>
        <v>iary</v>
      </c>
    </row>
    <row r="370" spans="1:14" ht="15" thickBot="1" x14ac:dyDescent="0.4">
      <c r="A370" s="5">
        <v>1064</v>
      </c>
      <c r="B370" s="5" t="s">
        <v>26</v>
      </c>
      <c r="C370" s="5" t="s">
        <v>17</v>
      </c>
      <c r="D370" s="5" t="s">
        <v>13</v>
      </c>
      <c r="E370" s="5" t="s">
        <v>50</v>
      </c>
      <c r="F370" s="5">
        <v>20</v>
      </c>
      <c r="G370" s="5">
        <v>191</v>
      </c>
      <c r="H370" s="5">
        <v>7</v>
      </c>
      <c r="I370" s="6">
        <v>46185</v>
      </c>
      <c r="J370" s="6">
        <v>46195</v>
      </c>
      <c r="K370" s="10" t="s">
        <v>29</v>
      </c>
      <c r="L370" s="14" t="str">
        <f t="shared" si="15"/>
        <v>Vik1064</v>
      </c>
      <c r="M370" s="15" t="str">
        <f t="shared" si="16"/>
        <v>Marer</v>
      </c>
      <c r="N370" s="16" t="str">
        <f t="shared" si="17"/>
        <v>arke</v>
      </c>
    </row>
    <row r="371" spans="1:14" ht="15" thickBot="1" x14ac:dyDescent="0.4">
      <c r="A371" s="5">
        <v>1041</v>
      </c>
      <c r="B371" s="5" t="s">
        <v>54</v>
      </c>
      <c r="C371" s="5" t="s">
        <v>38</v>
      </c>
      <c r="D371" s="5" t="s">
        <v>13</v>
      </c>
      <c r="E371" s="5" t="s">
        <v>50</v>
      </c>
      <c r="F371" s="5">
        <v>9</v>
      </c>
      <c r="G371" s="5">
        <v>71</v>
      </c>
      <c r="H371" s="5">
        <v>7</v>
      </c>
      <c r="I371" s="6">
        <v>46185</v>
      </c>
      <c r="J371" s="6">
        <v>46188</v>
      </c>
      <c r="K371" s="10" t="s">
        <v>15</v>
      </c>
      <c r="L371" s="14" t="str">
        <f t="shared" si="15"/>
        <v>Man1041</v>
      </c>
      <c r="M371" s="15" t="str">
        <f t="shared" si="16"/>
        <v>Marer</v>
      </c>
      <c r="N371" s="16" t="str">
        <f t="shared" si="17"/>
        <v>arke</v>
      </c>
    </row>
    <row r="372" spans="1:14" ht="15" thickBot="1" x14ac:dyDescent="0.4">
      <c r="A372" s="5">
        <v>1315</v>
      </c>
      <c r="B372" s="5" t="s">
        <v>49</v>
      </c>
      <c r="C372" s="5" t="s">
        <v>31</v>
      </c>
      <c r="D372" s="5" t="s">
        <v>34</v>
      </c>
      <c r="E372" s="5" t="s">
        <v>41</v>
      </c>
      <c r="F372" s="5">
        <v>14</v>
      </c>
      <c r="G372" s="5">
        <v>57670</v>
      </c>
      <c r="H372" s="5">
        <v>2</v>
      </c>
      <c r="I372" s="6">
        <v>46186</v>
      </c>
      <c r="J372" s="6">
        <v>46196</v>
      </c>
      <c r="K372" s="10" t="s">
        <v>15</v>
      </c>
      <c r="L372" s="14" t="str">
        <f t="shared" si="15"/>
        <v>Aja1315</v>
      </c>
      <c r="M372" s="15" t="str">
        <f t="shared" si="16"/>
        <v>Heaet</v>
      </c>
      <c r="N372" s="16" t="str">
        <f t="shared" si="17"/>
        <v>eads</v>
      </c>
    </row>
    <row r="373" spans="1:14" ht="15" thickBot="1" x14ac:dyDescent="0.4">
      <c r="A373" s="5">
        <v>1292</v>
      </c>
      <c r="B373" s="5" t="s">
        <v>54</v>
      </c>
      <c r="C373" s="5" t="s">
        <v>33</v>
      </c>
      <c r="D373" s="5" t="s">
        <v>34</v>
      </c>
      <c r="E373" s="5" t="s">
        <v>61</v>
      </c>
      <c r="F373" s="5">
        <v>11</v>
      </c>
      <c r="G373" s="5">
        <v>25158</v>
      </c>
      <c r="H373" s="5">
        <v>5</v>
      </c>
      <c r="I373" s="6">
        <v>46186</v>
      </c>
      <c r="J373" s="6">
        <v>46193</v>
      </c>
      <c r="K373" s="10" t="s">
        <v>20</v>
      </c>
      <c r="L373" s="14" t="str">
        <f t="shared" si="15"/>
        <v>Man1292</v>
      </c>
      <c r="M373" s="15" t="str">
        <f t="shared" si="16"/>
        <v>Mouse</v>
      </c>
      <c r="N373" s="16" t="str">
        <f t="shared" si="17"/>
        <v>ouse</v>
      </c>
    </row>
    <row r="374" spans="1:14" ht="15" thickBot="1" x14ac:dyDescent="0.4">
      <c r="A374" s="5">
        <v>1186</v>
      </c>
      <c r="B374" s="5" t="s">
        <v>16</v>
      </c>
      <c r="C374" s="5" t="s">
        <v>25</v>
      </c>
      <c r="D374" s="5" t="s">
        <v>18</v>
      </c>
      <c r="E374" s="5" t="s">
        <v>44</v>
      </c>
      <c r="F374" s="5">
        <v>10</v>
      </c>
      <c r="G374" s="5">
        <v>14951</v>
      </c>
      <c r="H374" s="5">
        <v>2</v>
      </c>
      <c r="I374" s="6">
        <v>46188</v>
      </c>
      <c r="J374" s="6">
        <v>46196</v>
      </c>
      <c r="K374" s="10" t="s">
        <v>24</v>
      </c>
      <c r="L374" s="14" t="str">
        <f t="shared" si="15"/>
        <v>Poo1186</v>
      </c>
      <c r="M374" s="15" t="str">
        <f t="shared" si="16"/>
        <v>Boolf</v>
      </c>
      <c r="N374" s="16" t="str">
        <f t="shared" si="17"/>
        <v>ooks</v>
      </c>
    </row>
    <row r="375" spans="1:14" ht="15" thickBot="1" x14ac:dyDescent="0.4">
      <c r="A375" s="5">
        <v>1146</v>
      </c>
      <c r="B375" s="5" t="s">
        <v>16</v>
      </c>
      <c r="C375" s="5" t="s">
        <v>43</v>
      </c>
      <c r="D375" s="5" t="s">
        <v>34</v>
      </c>
      <c r="E375" s="5" t="s">
        <v>45</v>
      </c>
      <c r="F375" s="5">
        <v>7</v>
      </c>
      <c r="G375" s="5">
        <v>68217</v>
      </c>
      <c r="H375" s="5">
        <v>0</v>
      </c>
      <c r="I375" s="6">
        <v>46190</v>
      </c>
      <c r="J375" s="6">
        <v>46197</v>
      </c>
      <c r="K375" s="10" t="s">
        <v>29</v>
      </c>
      <c r="L375" s="14" t="str">
        <f t="shared" si="15"/>
        <v>Poo1146</v>
      </c>
      <c r="M375" s="15" t="str">
        <f t="shared" si="16"/>
        <v>Monor</v>
      </c>
      <c r="N375" s="16" t="str">
        <f t="shared" si="17"/>
        <v>onit</v>
      </c>
    </row>
    <row r="376" spans="1:14" ht="15" thickBot="1" x14ac:dyDescent="0.4">
      <c r="A376" s="5">
        <v>1331</v>
      </c>
      <c r="B376" s="5" t="s">
        <v>21</v>
      </c>
      <c r="C376" s="5" t="s">
        <v>25</v>
      </c>
      <c r="D376" s="5" t="s">
        <v>34</v>
      </c>
      <c r="E376" s="5" t="s">
        <v>61</v>
      </c>
      <c r="F376" s="5">
        <v>2</v>
      </c>
      <c r="G376" s="5">
        <v>43557</v>
      </c>
      <c r="H376" s="5">
        <v>2</v>
      </c>
      <c r="I376" s="6">
        <v>46190</v>
      </c>
      <c r="J376" s="6">
        <v>46200</v>
      </c>
      <c r="K376" s="10" t="s">
        <v>15</v>
      </c>
      <c r="L376" s="14" t="str">
        <f t="shared" si="15"/>
        <v>Mee1331</v>
      </c>
      <c r="M376" s="15" t="str">
        <f t="shared" si="16"/>
        <v>Mouse</v>
      </c>
      <c r="N376" s="16" t="str">
        <f t="shared" si="17"/>
        <v>ouse</v>
      </c>
    </row>
    <row r="377" spans="1:14" ht="15" thickBot="1" x14ac:dyDescent="0.4">
      <c r="A377" s="5">
        <v>1062</v>
      </c>
      <c r="B377" s="5" t="s">
        <v>40</v>
      </c>
      <c r="C377" s="5" t="s">
        <v>43</v>
      </c>
      <c r="D377" s="5" t="s">
        <v>18</v>
      </c>
      <c r="E377" s="5" t="s">
        <v>23</v>
      </c>
      <c r="F377" s="5">
        <v>8</v>
      </c>
      <c r="G377" s="5">
        <v>8360</v>
      </c>
      <c r="H377" s="5">
        <v>2</v>
      </c>
      <c r="I377" s="6">
        <v>46190</v>
      </c>
      <c r="J377" s="6">
        <v>46200</v>
      </c>
      <c r="K377" s="10" t="s">
        <v>51</v>
      </c>
      <c r="L377" s="14" t="str">
        <f t="shared" si="15"/>
        <v>Dee1062</v>
      </c>
      <c r="M377" s="15" t="str">
        <f t="shared" si="16"/>
        <v>Table</v>
      </c>
      <c r="N377" s="16" t="str">
        <f t="shared" si="17"/>
        <v>able</v>
      </c>
    </row>
    <row r="378" spans="1:14" ht="15" thickBot="1" x14ac:dyDescent="0.4">
      <c r="A378" s="5">
        <v>1373</v>
      </c>
      <c r="B378" s="5" t="s">
        <v>54</v>
      </c>
      <c r="C378" s="5" t="s">
        <v>25</v>
      </c>
      <c r="D378" s="5" t="s">
        <v>34</v>
      </c>
      <c r="E378" s="5" t="s">
        <v>60</v>
      </c>
      <c r="F378" s="5">
        <v>11</v>
      </c>
      <c r="G378" s="5">
        <v>47930</v>
      </c>
      <c r="H378" s="5">
        <v>12</v>
      </c>
      <c r="I378" s="6">
        <v>46191</v>
      </c>
      <c r="J378" s="6">
        <v>46201</v>
      </c>
      <c r="K378" s="10" t="s">
        <v>20</v>
      </c>
      <c r="L378" s="14" t="str">
        <f t="shared" si="15"/>
        <v>Man1373</v>
      </c>
      <c r="M378" s="15" t="str">
        <f t="shared" si="16"/>
        <v>Lapop</v>
      </c>
      <c r="N378" s="16" t="str">
        <f t="shared" si="17"/>
        <v>apto</v>
      </c>
    </row>
    <row r="379" spans="1:14" ht="15" thickBot="1" x14ac:dyDescent="0.4">
      <c r="A379" s="5">
        <v>1306</v>
      </c>
      <c r="B379" s="5" t="s">
        <v>54</v>
      </c>
      <c r="C379" s="5" t="s">
        <v>43</v>
      </c>
      <c r="D379" s="5" t="s">
        <v>13</v>
      </c>
      <c r="E379" s="5" t="s">
        <v>36</v>
      </c>
      <c r="F379" s="5">
        <v>1</v>
      </c>
      <c r="G379" s="5">
        <v>332</v>
      </c>
      <c r="H379" s="5">
        <v>0</v>
      </c>
      <c r="I379" s="6">
        <v>46191</v>
      </c>
      <c r="J379" s="6">
        <v>46194</v>
      </c>
      <c r="K379" s="10" t="s">
        <v>20</v>
      </c>
      <c r="L379" s="14" t="str">
        <f t="shared" si="15"/>
        <v>Man1306</v>
      </c>
      <c r="M379" s="15" t="str">
        <f t="shared" si="16"/>
        <v>Staer</v>
      </c>
      <c r="N379" s="16" t="str">
        <f t="shared" si="17"/>
        <v>tapl</v>
      </c>
    </row>
    <row r="380" spans="1:14" ht="15" thickBot="1" x14ac:dyDescent="0.4">
      <c r="A380" s="5">
        <v>1242</v>
      </c>
      <c r="B380" s="5" t="s">
        <v>54</v>
      </c>
      <c r="C380" s="5" t="s">
        <v>38</v>
      </c>
      <c r="D380" s="5" t="s">
        <v>13</v>
      </c>
      <c r="E380" s="5" t="s">
        <v>50</v>
      </c>
      <c r="F380" s="5">
        <v>7</v>
      </c>
      <c r="G380" s="5">
        <v>168</v>
      </c>
      <c r="H380" s="5">
        <v>10</v>
      </c>
      <c r="I380" s="6">
        <v>46191</v>
      </c>
      <c r="J380" s="6">
        <v>46196</v>
      </c>
      <c r="K380" s="10" t="s">
        <v>51</v>
      </c>
      <c r="L380" s="14" t="str">
        <f t="shared" si="15"/>
        <v>Man1242</v>
      </c>
      <c r="M380" s="15" t="str">
        <f t="shared" si="16"/>
        <v>Marer</v>
      </c>
      <c r="N380" s="16" t="str">
        <f t="shared" si="17"/>
        <v>arke</v>
      </c>
    </row>
    <row r="381" spans="1:14" ht="15" thickBot="1" x14ac:dyDescent="0.4">
      <c r="A381" s="5">
        <v>1065</v>
      </c>
      <c r="B381" s="5" t="s">
        <v>42</v>
      </c>
      <c r="C381" s="5" t="s">
        <v>43</v>
      </c>
      <c r="D381" s="5" t="s">
        <v>18</v>
      </c>
      <c r="E381" s="5" t="s">
        <v>44</v>
      </c>
      <c r="F381" s="5">
        <v>1</v>
      </c>
      <c r="G381" s="5">
        <v>7730</v>
      </c>
      <c r="H381" s="5">
        <v>5</v>
      </c>
      <c r="I381" s="6">
        <v>46192</v>
      </c>
      <c r="J381" s="6">
        <v>46195</v>
      </c>
      <c r="K381" s="10" t="s">
        <v>51</v>
      </c>
      <c r="L381" s="14" t="str">
        <f t="shared" si="15"/>
        <v>Nis1065</v>
      </c>
      <c r="M381" s="15" t="str">
        <f t="shared" si="16"/>
        <v>Boolf</v>
      </c>
      <c r="N381" s="16" t="str">
        <f t="shared" si="17"/>
        <v>ooks</v>
      </c>
    </row>
    <row r="382" spans="1:14" ht="15" thickBot="1" x14ac:dyDescent="0.4">
      <c r="A382" s="5">
        <v>1023</v>
      </c>
      <c r="B382" s="5" t="s">
        <v>40</v>
      </c>
      <c r="C382" s="5" t="s">
        <v>12</v>
      </c>
      <c r="D382" s="5" t="s">
        <v>18</v>
      </c>
      <c r="E382" s="5" t="s">
        <v>44</v>
      </c>
      <c r="F382" s="5">
        <v>15</v>
      </c>
      <c r="G382" s="5">
        <v>3506</v>
      </c>
      <c r="H382" s="5">
        <v>2</v>
      </c>
      <c r="I382" s="6">
        <v>46193</v>
      </c>
      <c r="J382" s="6">
        <v>46194</v>
      </c>
      <c r="K382" s="10" t="s">
        <v>29</v>
      </c>
      <c r="L382" s="14" t="str">
        <f t="shared" si="15"/>
        <v>Dee1023</v>
      </c>
      <c r="M382" s="15" t="str">
        <f t="shared" si="16"/>
        <v>Boolf</v>
      </c>
      <c r="N382" s="16" t="str">
        <f t="shared" si="17"/>
        <v>ooks</v>
      </c>
    </row>
    <row r="383" spans="1:14" ht="15" thickBot="1" x14ac:dyDescent="0.4">
      <c r="A383" s="5">
        <v>1212</v>
      </c>
      <c r="B383" s="5" t="s">
        <v>59</v>
      </c>
      <c r="C383" s="5" t="s">
        <v>25</v>
      </c>
      <c r="D383" s="5" t="s">
        <v>34</v>
      </c>
      <c r="E383" s="5" t="s">
        <v>60</v>
      </c>
      <c r="F383" s="5">
        <v>10</v>
      </c>
      <c r="G383" s="5">
        <v>34380</v>
      </c>
      <c r="H383" s="5">
        <v>7</v>
      </c>
      <c r="I383" s="6">
        <v>46194</v>
      </c>
      <c r="J383" s="6">
        <v>46195</v>
      </c>
      <c r="K383" s="10" t="s">
        <v>29</v>
      </c>
      <c r="L383" s="14" t="str">
        <f t="shared" si="15"/>
        <v>Ani1212</v>
      </c>
      <c r="M383" s="15" t="str">
        <f t="shared" si="16"/>
        <v>Lapop</v>
      </c>
      <c r="N383" s="16" t="str">
        <f t="shared" si="17"/>
        <v>apto</v>
      </c>
    </row>
    <row r="384" spans="1:14" ht="15" thickBot="1" x14ac:dyDescent="0.4">
      <c r="A384" s="5">
        <v>1397</v>
      </c>
      <c r="B384" s="5" t="s">
        <v>21</v>
      </c>
      <c r="C384" s="5" t="s">
        <v>33</v>
      </c>
      <c r="D384" s="5" t="s">
        <v>18</v>
      </c>
      <c r="E384" s="5" t="s">
        <v>23</v>
      </c>
      <c r="F384" s="5">
        <v>1</v>
      </c>
      <c r="G384" s="5">
        <v>8948</v>
      </c>
      <c r="H384" s="5">
        <v>5</v>
      </c>
      <c r="I384" s="6">
        <v>46194</v>
      </c>
      <c r="J384" s="6">
        <v>46201</v>
      </c>
      <c r="K384" s="10" t="s">
        <v>51</v>
      </c>
      <c r="L384" s="14" t="str">
        <f t="shared" si="15"/>
        <v>Mee1397</v>
      </c>
      <c r="M384" s="15" t="str">
        <f t="shared" si="16"/>
        <v>Table</v>
      </c>
      <c r="N384" s="16" t="str">
        <f t="shared" si="17"/>
        <v>able</v>
      </c>
    </row>
    <row r="385" spans="1:14" ht="15" thickBot="1" x14ac:dyDescent="0.4">
      <c r="A385" s="5">
        <v>1353</v>
      </c>
      <c r="B385" s="5" t="s">
        <v>47</v>
      </c>
      <c r="C385" s="5" t="s">
        <v>43</v>
      </c>
      <c r="D385" s="5" t="s">
        <v>13</v>
      </c>
      <c r="E385" s="5" t="s">
        <v>14</v>
      </c>
      <c r="F385" s="5">
        <v>6</v>
      </c>
      <c r="G385" s="5">
        <v>495</v>
      </c>
      <c r="H385" s="5">
        <v>2</v>
      </c>
      <c r="I385" s="6">
        <v>46194</v>
      </c>
      <c r="J385" s="6">
        <v>46200</v>
      </c>
      <c r="K385" s="10" t="s">
        <v>24</v>
      </c>
      <c r="L385" s="14" t="str">
        <f t="shared" si="15"/>
        <v>Yas1353</v>
      </c>
      <c r="M385" s="15" t="str">
        <f t="shared" si="16"/>
        <v>Notok</v>
      </c>
      <c r="N385" s="16" t="str">
        <f t="shared" si="17"/>
        <v>oteb</v>
      </c>
    </row>
    <row r="386" spans="1:14" ht="15" thickBot="1" x14ac:dyDescent="0.4">
      <c r="A386" s="5">
        <v>1164</v>
      </c>
      <c r="B386" s="5" t="s">
        <v>40</v>
      </c>
      <c r="C386" s="5" t="s">
        <v>43</v>
      </c>
      <c r="D386" s="5" t="s">
        <v>34</v>
      </c>
      <c r="E386" s="5" t="s">
        <v>61</v>
      </c>
      <c r="F386" s="5">
        <v>7</v>
      </c>
      <c r="G386" s="5">
        <v>24615</v>
      </c>
      <c r="H386" s="5">
        <v>12</v>
      </c>
      <c r="I386" s="6">
        <v>46196</v>
      </c>
      <c r="J386" s="6">
        <v>46203</v>
      </c>
      <c r="K386" s="10" t="s">
        <v>51</v>
      </c>
      <c r="L386" s="14" t="str">
        <f t="shared" si="15"/>
        <v>Dee1164</v>
      </c>
      <c r="M386" s="15" t="str">
        <f t="shared" si="16"/>
        <v>Mouse</v>
      </c>
      <c r="N386" s="16" t="str">
        <f t="shared" si="17"/>
        <v>ouse</v>
      </c>
    </row>
    <row r="387" spans="1:14" ht="15" thickBot="1" x14ac:dyDescent="0.4">
      <c r="A387" s="5">
        <v>1068</v>
      </c>
      <c r="B387" s="5" t="s">
        <v>52</v>
      </c>
      <c r="C387" s="5" t="s">
        <v>43</v>
      </c>
      <c r="D387" s="5" t="s">
        <v>34</v>
      </c>
      <c r="E387" s="5" t="s">
        <v>60</v>
      </c>
      <c r="F387" s="5">
        <v>15</v>
      </c>
      <c r="G387" s="5">
        <v>14534</v>
      </c>
      <c r="H387" s="5">
        <v>5</v>
      </c>
      <c r="I387" s="6">
        <v>46196</v>
      </c>
      <c r="J387" s="6">
        <v>46199</v>
      </c>
      <c r="K387" s="10" t="s">
        <v>29</v>
      </c>
      <c r="L387" s="14" t="str">
        <f t="shared" ref="L387:L401" si="18">LEFT(B387,3)&amp;A387</f>
        <v>Kom1068</v>
      </c>
      <c r="M387" s="15" t="str">
        <f t="shared" ref="M387:M401" si="19">LEFT(E387,3)&amp;RIGHT(E387,2)</f>
        <v>Lapop</v>
      </c>
      <c r="N387" s="16" t="str">
        <f t="shared" ref="N387:N401" si="20">MID(E387,2,4)</f>
        <v>apto</v>
      </c>
    </row>
    <row r="388" spans="1:14" ht="15" thickBot="1" x14ac:dyDescent="0.4">
      <c r="A388" s="5">
        <v>1314</v>
      </c>
      <c r="B388" s="5" t="s">
        <v>52</v>
      </c>
      <c r="C388" s="5" t="s">
        <v>33</v>
      </c>
      <c r="D388" s="5" t="s">
        <v>18</v>
      </c>
      <c r="E388" s="5" t="s">
        <v>19</v>
      </c>
      <c r="F388" s="5">
        <v>10</v>
      </c>
      <c r="G388" s="5">
        <v>6328</v>
      </c>
      <c r="H388" s="5">
        <v>2</v>
      </c>
      <c r="I388" s="6">
        <v>46196</v>
      </c>
      <c r="J388" s="6">
        <v>46197</v>
      </c>
      <c r="K388" s="10" t="s">
        <v>29</v>
      </c>
      <c r="L388" s="14" t="str">
        <f t="shared" si="18"/>
        <v>Kom1314</v>
      </c>
      <c r="M388" s="15" t="str">
        <f t="shared" si="19"/>
        <v>Dessk</v>
      </c>
      <c r="N388" s="16" t="str">
        <f t="shared" si="20"/>
        <v>esk</v>
      </c>
    </row>
    <row r="389" spans="1:14" ht="15" thickBot="1" x14ac:dyDescent="0.4">
      <c r="A389" s="5">
        <v>1340</v>
      </c>
      <c r="B389" s="5" t="s">
        <v>48</v>
      </c>
      <c r="C389" s="5" t="s">
        <v>17</v>
      </c>
      <c r="D389" s="5" t="s">
        <v>18</v>
      </c>
      <c r="E389" s="5" t="s">
        <v>19</v>
      </c>
      <c r="F389" s="5">
        <v>12</v>
      </c>
      <c r="G389" s="5">
        <v>3857</v>
      </c>
      <c r="H389" s="5">
        <v>12</v>
      </c>
      <c r="I389" s="6">
        <v>46196</v>
      </c>
      <c r="J389" s="6">
        <v>46198</v>
      </c>
      <c r="K389" s="10" t="s">
        <v>51</v>
      </c>
      <c r="L389" s="14" t="str">
        <f t="shared" si="18"/>
        <v>Nit1340</v>
      </c>
      <c r="M389" s="15" t="str">
        <f t="shared" si="19"/>
        <v>Dessk</v>
      </c>
      <c r="N389" s="16" t="str">
        <f t="shared" si="20"/>
        <v>esk</v>
      </c>
    </row>
    <row r="390" spans="1:14" ht="15" thickBot="1" x14ac:dyDescent="0.4">
      <c r="A390" s="5">
        <v>1383</v>
      </c>
      <c r="B390" s="5" t="s">
        <v>32</v>
      </c>
      <c r="C390" s="5" t="s">
        <v>12</v>
      </c>
      <c r="D390" s="5" t="s">
        <v>13</v>
      </c>
      <c r="E390" s="5" t="s">
        <v>53</v>
      </c>
      <c r="F390" s="5">
        <v>14</v>
      </c>
      <c r="G390" s="5">
        <v>334</v>
      </c>
      <c r="H390" s="5">
        <v>10</v>
      </c>
      <c r="I390" s="6">
        <v>46196</v>
      </c>
      <c r="J390" s="6">
        <v>46203</v>
      </c>
      <c r="K390" s="10" t="s">
        <v>15</v>
      </c>
      <c r="L390" s="14" t="str">
        <f t="shared" si="18"/>
        <v>Ash1383</v>
      </c>
      <c r="M390" s="15" t="str">
        <f t="shared" si="19"/>
        <v>Diary</v>
      </c>
      <c r="N390" s="16" t="str">
        <f t="shared" si="20"/>
        <v>iary</v>
      </c>
    </row>
    <row r="391" spans="1:14" ht="15" thickBot="1" x14ac:dyDescent="0.4">
      <c r="A391" s="5">
        <v>1309</v>
      </c>
      <c r="B391" s="5" t="s">
        <v>29</v>
      </c>
      <c r="C391" s="5" t="s">
        <v>31</v>
      </c>
      <c r="D391" s="5" t="s">
        <v>13</v>
      </c>
      <c r="E391" s="5" t="s">
        <v>50</v>
      </c>
      <c r="F391" s="5">
        <v>2</v>
      </c>
      <c r="G391" s="5">
        <v>35</v>
      </c>
      <c r="H391" s="5">
        <v>5</v>
      </c>
      <c r="I391" s="6">
        <v>46197</v>
      </c>
      <c r="J391" s="6">
        <v>46198</v>
      </c>
      <c r="K391" s="10" t="s">
        <v>24</v>
      </c>
      <c r="L391" s="14" t="str">
        <f t="shared" si="18"/>
        <v>Pri1309</v>
      </c>
      <c r="M391" s="15" t="str">
        <f t="shared" si="19"/>
        <v>Marer</v>
      </c>
      <c r="N391" s="16" t="str">
        <f t="shared" si="20"/>
        <v>arke</v>
      </c>
    </row>
    <row r="392" spans="1:14" ht="15" thickBot="1" x14ac:dyDescent="0.4">
      <c r="A392" s="5">
        <v>1233</v>
      </c>
      <c r="B392" s="5" t="s">
        <v>58</v>
      </c>
      <c r="C392" s="5" t="s">
        <v>22</v>
      </c>
      <c r="D392" s="5" t="s">
        <v>18</v>
      </c>
      <c r="E392" s="5" t="s">
        <v>19</v>
      </c>
      <c r="F392" s="5">
        <v>20</v>
      </c>
      <c r="G392" s="5">
        <v>13941</v>
      </c>
      <c r="H392" s="5">
        <v>15</v>
      </c>
      <c r="I392" s="6">
        <v>46198</v>
      </c>
      <c r="J392" s="6">
        <v>46202</v>
      </c>
      <c r="K392" s="10" t="s">
        <v>24</v>
      </c>
      <c r="L392" s="14" t="str">
        <f t="shared" si="18"/>
        <v>Roh1233</v>
      </c>
      <c r="M392" s="15" t="str">
        <f t="shared" si="19"/>
        <v>Dessk</v>
      </c>
      <c r="N392" s="16" t="str">
        <f t="shared" si="20"/>
        <v>esk</v>
      </c>
    </row>
    <row r="393" spans="1:14" ht="15" thickBot="1" x14ac:dyDescent="0.4">
      <c r="A393" s="5">
        <v>1195</v>
      </c>
      <c r="B393" s="5" t="s">
        <v>59</v>
      </c>
      <c r="C393" s="5" t="s">
        <v>17</v>
      </c>
      <c r="D393" s="5" t="s">
        <v>13</v>
      </c>
      <c r="E393" s="5" t="s">
        <v>50</v>
      </c>
      <c r="F393" s="5">
        <v>19</v>
      </c>
      <c r="G393" s="5">
        <v>313</v>
      </c>
      <c r="H393" s="5">
        <v>2</v>
      </c>
      <c r="I393" s="6">
        <v>46198</v>
      </c>
      <c r="J393" s="6">
        <v>46206</v>
      </c>
      <c r="K393" s="10" t="s">
        <v>51</v>
      </c>
      <c r="L393" s="14" t="str">
        <f t="shared" si="18"/>
        <v>Ani1195</v>
      </c>
      <c r="M393" s="15" t="str">
        <f t="shared" si="19"/>
        <v>Marer</v>
      </c>
      <c r="N393" s="16" t="str">
        <f t="shared" si="20"/>
        <v>arke</v>
      </c>
    </row>
    <row r="394" spans="1:14" ht="15" thickBot="1" x14ac:dyDescent="0.4">
      <c r="A394" s="5">
        <v>1268</v>
      </c>
      <c r="B394" s="5" t="s">
        <v>42</v>
      </c>
      <c r="C394" s="5" t="s">
        <v>38</v>
      </c>
      <c r="D394" s="5" t="s">
        <v>34</v>
      </c>
      <c r="E394" s="5" t="s">
        <v>45</v>
      </c>
      <c r="F394" s="5">
        <v>10</v>
      </c>
      <c r="G394" s="5">
        <v>46291</v>
      </c>
      <c r="H394" s="5">
        <v>12</v>
      </c>
      <c r="I394" s="6">
        <v>46199</v>
      </c>
      <c r="J394" s="6">
        <v>46202</v>
      </c>
      <c r="K394" s="10" t="s">
        <v>20</v>
      </c>
      <c r="L394" s="14" t="str">
        <f t="shared" si="18"/>
        <v>Nis1268</v>
      </c>
      <c r="M394" s="15" t="str">
        <f t="shared" si="19"/>
        <v>Monor</v>
      </c>
      <c r="N394" s="16" t="str">
        <f t="shared" si="20"/>
        <v>onit</v>
      </c>
    </row>
    <row r="395" spans="1:14" ht="15" thickBot="1" x14ac:dyDescent="0.4">
      <c r="A395" s="5">
        <v>1047</v>
      </c>
      <c r="B395" s="5" t="s">
        <v>58</v>
      </c>
      <c r="C395" s="5" t="s">
        <v>38</v>
      </c>
      <c r="D395" s="5" t="s">
        <v>18</v>
      </c>
      <c r="E395" s="5" t="s">
        <v>56</v>
      </c>
      <c r="F395" s="5">
        <v>11</v>
      </c>
      <c r="G395" s="5">
        <v>9976</v>
      </c>
      <c r="H395" s="5">
        <v>12</v>
      </c>
      <c r="I395" s="6">
        <v>46200</v>
      </c>
      <c r="J395" s="6">
        <v>46209</v>
      </c>
      <c r="K395" s="10" t="s">
        <v>15</v>
      </c>
      <c r="L395" s="14" t="str">
        <f t="shared" si="18"/>
        <v>Roh1047</v>
      </c>
      <c r="M395" s="15" t="str">
        <f t="shared" si="19"/>
        <v>Cabet</v>
      </c>
      <c r="N395" s="16" t="str">
        <f t="shared" si="20"/>
        <v>abin</v>
      </c>
    </row>
    <row r="396" spans="1:14" ht="15" thickBot="1" x14ac:dyDescent="0.4">
      <c r="A396" s="5">
        <v>1054</v>
      </c>
      <c r="B396" s="5" t="s">
        <v>26</v>
      </c>
      <c r="C396" s="5" t="s">
        <v>25</v>
      </c>
      <c r="D396" s="5" t="s">
        <v>18</v>
      </c>
      <c r="E396" s="5" t="s">
        <v>23</v>
      </c>
      <c r="F396" s="5">
        <v>8</v>
      </c>
      <c r="G396" s="5">
        <v>9798</v>
      </c>
      <c r="H396" s="5">
        <v>12</v>
      </c>
      <c r="I396" s="6">
        <v>46200</v>
      </c>
      <c r="J396" s="6">
        <v>46201</v>
      </c>
      <c r="K396" s="10" t="s">
        <v>51</v>
      </c>
      <c r="L396" s="14" t="str">
        <f t="shared" si="18"/>
        <v>Vik1054</v>
      </c>
      <c r="M396" s="15" t="str">
        <f t="shared" si="19"/>
        <v>Table</v>
      </c>
      <c r="N396" s="16" t="str">
        <f t="shared" si="20"/>
        <v>able</v>
      </c>
    </row>
    <row r="397" spans="1:14" ht="15" thickBot="1" x14ac:dyDescent="0.4">
      <c r="A397" s="5">
        <v>1264</v>
      </c>
      <c r="B397" s="5" t="s">
        <v>11</v>
      </c>
      <c r="C397" s="5" t="s">
        <v>22</v>
      </c>
      <c r="D397" s="5" t="s">
        <v>18</v>
      </c>
      <c r="E397" s="5" t="s">
        <v>28</v>
      </c>
      <c r="F397" s="5">
        <v>15</v>
      </c>
      <c r="G397" s="5">
        <v>6365</v>
      </c>
      <c r="H397" s="5">
        <v>10</v>
      </c>
      <c r="I397" s="6">
        <v>46200</v>
      </c>
      <c r="J397" s="6">
        <v>46206</v>
      </c>
      <c r="K397" s="10" t="s">
        <v>20</v>
      </c>
      <c r="L397" s="14" t="str">
        <f t="shared" si="18"/>
        <v>Rit1264</v>
      </c>
      <c r="M397" s="15" t="str">
        <f t="shared" si="19"/>
        <v>Chair</v>
      </c>
      <c r="N397" s="16" t="str">
        <f t="shared" si="20"/>
        <v>hair</v>
      </c>
    </row>
    <row r="398" spans="1:14" ht="15" thickBot="1" x14ac:dyDescent="0.4">
      <c r="A398" s="5">
        <v>1244</v>
      </c>
      <c r="B398" s="5" t="s">
        <v>57</v>
      </c>
      <c r="C398" s="5" t="s">
        <v>38</v>
      </c>
      <c r="D398" s="5" t="s">
        <v>18</v>
      </c>
      <c r="E398" s="5" t="s">
        <v>28</v>
      </c>
      <c r="F398" s="5">
        <v>10</v>
      </c>
      <c r="G398" s="5">
        <v>6339</v>
      </c>
      <c r="H398" s="5">
        <v>12</v>
      </c>
      <c r="I398" s="6">
        <v>46200</v>
      </c>
      <c r="J398" s="6">
        <v>46205</v>
      </c>
      <c r="K398" s="10" t="s">
        <v>15</v>
      </c>
      <c r="L398" s="14" t="str">
        <f t="shared" si="18"/>
        <v>Sar1244</v>
      </c>
      <c r="M398" s="15" t="str">
        <f t="shared" si="19"/>
        <v>Chair</v>
      </c>
      <c r="N398" s="16" t="str">
        <f t="shared" si="20"/>
        <v>hair</v>
      </c>
    </row>
    <row r="399" spans="1:14" ht="15" thickBot="1" x14ac:dyDescent="0.4">
      <c r="A399" s="5">
        <v>1356</v>
      </c>
      <c r="B399" s="5" t="s">
        <v>26</v>
      </c>
      <c r="C399" s="5" t="s">
        <v>38</v>
      </c>
      <c r="D399" s="5" t="s">
        <v>34</v>
      </c>
      <c r="E399" s="5" t="s">
        <v>60</v>
      </c>
      <c r="F399" s="5">
        <v>16</v>
      </c>
      <c r="G399" s="5">
        <v>53457</v>
      </c>
      <c r="H399" s="5">
        <v>10</v>
      </c>
      <c r="I399" s="6">
        <v>46201</v>
      </c>
      <c r="J399" s="6">
        <v>46204</v>
      </c>
      <c r="K399" s="10" t="s">
        <v>15</v>
      </c>
      <c r="L399" s="14" t="str">
        <f t="shared" si="18"/>
        <v>Vik1356</v>
      </c>
      <c r="M399" s="15" t="str">
        <f t="shared" si="19"/>
        <v>Lapop</v>
      </c>
      <c r="N399" s="16" t="str">
        <f t="shared" si="20"/>
        <v>apto</v>
      </c>
    </row>
    <row r="400" spans="1:14" ht="15" thickBot="1" x14ac:dyDescent="0.4">
      <c r="A400" s="5">
        <v>1126</v>
      </c>
      <c r="B400" s="5" t="s">
        <v>46</v>
      </c>
      <c r="C400" s="5" t="s">
        <v>22</v>
      </c>
      <c r="D400" s="5" t="s">
        <v>34</v>
      </c>
      <c r="E400" s="5" t="s">
        <v>39</v>
      </c>
      <c r="F400" s="5">
        <v>17</v>
      </c>
      <c r="G400" s="5">
        <v>19390</v>
      </c>
      <c r="H400" s="5">
        <v>12</v>
      </c>
      <c r="I400" s="6">
        <v>46201</v>
      </c>
      <c r="J400" s="6">
        <v>46206</v>
      </c>
      <c r="K400" s="10" t="s">
        <v>29</v>
      </c>
      <c r="L400" s="14" t="str">
        <f t="shared" si="18"/>
        <v>Kir1126</v>
      </c>
      <c r="M400" s="15" t="str">
        <f t="shared" si="19"/>
        <v>Keyrd</v>
      </c>
      <c r="N400" s="16" t="str">
        <f t="shared" si="20"/>
        <v>eybo</v>
      </c>
    </row>
    <row r="401" spans="1:14" ht="15" thickBot="1" x14ac:dyDescent="0.4">
      <c r="A401" s="5">
        <v>1219</v>
      </c>
      <c r="B401" s="5" t="s">
        <v>46</v>
      </c>
      <c r="C401" s="5" t="s">
        <v>22</v>
      </c>
      <c r="D401" s="5" t="s">
        <v>13</v>
      </c>
      <c r="E401" s="5" t="s">
        <v>14</v>
      </c>
      <c r="F401" s="5">
        <v>4</v>
      </c>
      <c r="G401" s="5">
        <v>117</v>
      </c>
      <c r="H401" s="5">
        <v>15</v>
      </c>
      <c r="I401" s="6">
        <v>46202</v>
      </c>
      <c r="J401" s="6">
        <v>46206</v>
      </c>
      <c r="K401" s="10" t="s">
        <v>29</v>
      </c>
      <c r="L401" s="14" t="str">
        <f t="shared" si="18"/>
        <v>Kir1219</v>
      </c>
      <c r="M401" s="15" t="str">
        <f t="shared" si="19"/>
        <v>Notok</v>
      </c>
      <c r="N401" s="16" t="str">
        <f t="shared" si="20"/>
        <v>oteb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D82143-329C-4002-A730-63E8FF87F477}">
  <dimension ref="A1:N401"/>
  <sheetViews>
    <sheetView workbookViewId="0">
      <selection sqref="A1:N1"/>
    </sheetView>
  </sheetViews>
  <sheetFormatPr defaultRowHeight="14.5" x14ac:dyDescent="0.35"/>
  <cols>
    <col min="1" max="1" width="8.54296875" bestFit="1" customWidth="1"/>
    <col min="2" max="2" width="9" bestFit="1" customWidth="1"/>
    <col min="3" max="3" width="11" bestFit="1" customWidth="1"/>
    <col min="4" max="4" width="9.7265625" bestFit="1" customWidth="1"/>
    <col min="5" max="5" width="9" bestFit="1" customWidth="1"/>
    <col min="6" max="6" width="8.1796875" bestFit="1" customWidth="1"/>
    <col min="7" max="7" width="9.453125" bestFit="1" customWidth="1"/>
    <col min="8" max="8" width="10.6328125" bestFit="1" customWidth="1"/>
    <col min="9" max="9" width="10.7265625" bestFit="1" customWidth="1"/>
    <col min="10" max="10" width="12.54296875" bestFit="1" customWidth="1"/>
    <col min="11" max="11" width="10.81640625" bestFit="1" customWidth="1"/>
    <col min="12" max="12" width="30.81640625" style="9" customWidth="1"/>
    <col min="13" max="13" width="27.6328125" style="9" customWidth="1"/>
    <col min="14" max="14" width="28.54296875" style="9" customWidth="1"/>
  </cols>
  <sheetData>
    <row r="1" spans="1:14" ht="15" thickBot="1" x14ac:dyDescent="0.4">
      <c r="A1" s="31" t="s">
        <v>0</v>
      </c>
      <c r="B1" s="31" t="s">
        <v>1</v>
      </c>
      <c r="C1" s="31" t="s">
        <v>2</v>
      </c>
      <c r="D1" s="31" t="s">
        <v>3</v>
      </c>
      <c r="E1" s="31" t="s">
        <v>4</v>
      </c>
      <c r="F1" s="31" t="s">
        <v>5</v>
      </c>
      <c r="G1" s="31" t="s">
        <v>6</v>
      </c>
      <c r="H1" s="31" t="s">
        <v>7</v>
      </c>
      <c r="I1" s="31" t="s">
        <v>8</v>
      </c>
      <c r="J1" s="31" t="s">
        <v>9</v>
      </c>
      <c r="K1" s="32" t="s">
        <v>10</v>
      </c>
      <c r="L1" s="34" t="s">
        <v>76</v>
      </c>
      <c r="M1" s="34" t="s">
        <v>77</v>
      </c>
      <c r="N1" s="34" t="s">
        <v>78</v>
      </c>
    </row>
    <row r="2" spans="1:14" ht="15" thickBot="1" x14ac:dyDescent="0.4">
      <c r="A2" s="5">
        <v>1019</v>
      </c>
      <c r="B2" s="5" t="s">
        <v>11</v>
      </c>
      <c r="C2" s="5" t="s">
        <v>43</v>
      </c>
      <c r="D2" s="5" t="s">
        <v>34</v>
      </c>
      <c r="E2" s="5" t="s">
        <v>41</v>
      </c>
      <c r="F2" s="5">
        <v>18</v>
      </c>
      <c r="G2" s="5">
        <v>45652</v>
      </c>
      <c r="H2" s="5">
        <v>10</v>
      </c>
      <c r="I2" s="6">
        <v>46023</v>
      </c>
      <c r="J2" s="6">
        <v>46030</v>
      </c>
      <c r="K2" s="10" t="s">
        <v>20</v>
      </c>
      <c r="L2" s="11" t="str">
        <f>UPPER(B2)</f>
        <v>RITESH</v>
      </c>
      <c r="M2" s="12" t="str">
        <f>LOWER(E2)</f>
        <v>headset</v>
      </c>
      <c r="N2" s="13">
        <f>LEN(E2)</f>
        <v>7</v>
      </c>
    </row>
    <row r="3" spans="1:14" ht="15" thickBot="1" x14ac:dyDescent="0.4">
      <c r="A3" s="5">
        <v>1355</v>
      </c>
      <c r="B3" s="5" t="s">
        <v>27</v>
      </c>
      <c r="C3" s="5" t="s">
        <v>12</v>
      </c>
      <c r="D3" s="5" t="s">
        <v>34</v>
      </c>
      <c r="E3" s="5" t="s">
        <v>60</v>
      </c>
      <c r="F3" s="5">
        <v>18</v>
      </c>
      <c r="G3" s="5">
        <v>35997</v>
      </c>
      <c r="H3" s="5">
        <v>2</v>
      </c>
      <c r="I3" s="6">
        <v>46024</v>
      </c>
      <c r="J3" s="6">
        <v>46031</v>
      </c>
      <c r="K3" s="10" t="s">
        <v>51</v>
      </c>
      <c r="L3" s="11" t="str">
        <f t="shared" ref="L3:L66" si="0">UPPER(B3)</f>
        <v>ARJUN</v>
      </c>
      <c r="M3" s="12" t="str">
        <f t="shared" ref="M3:M66" si="1">LOWER(E3)</f>
        <v>laptop</v>
      </c>
      <c r="N3" s="13">
        <f t="shared" ref="N3:N66" si="2">LEN(E3)</f>
        <v>6</v>
      </c>
    </row>
    <row r="4" spans="1:14" ht="15" thickBot="1" x14ac:dyDescent="0.4">
      <c r="A4" s="5">
        <v>1060</v>
      </c>
      <c r="B4" s="5" t="s">
        <v>49</v>
      </c>
      <c r="C4" s="5" t="s">
        <v>12</v>
      </c>
      <c r="D4" s="5" t="s">
        <v>18</v>
      </c>
      <c r="E4" s="5" t="s">
        <v>44</v>
      </c>
      <c r="F4" s="5">
        <v>9</v>
      </c>
      <c r="G4" s="5">
        <v>9727</v>
      </c>
      <c r="H4" s="5">
        <v>2</v>
      </c>
      <c r="I4" s="6">
        <v>46024</v>
      </c>
      <c r="J4" s="6">
        <v>46030</v>
      </c>
      <c r="K4" s="10" t="s">
        <v>20</v>
      </c>
      <c r="L4" s="11" t="str">
        <f t="shared" si="0"/>
        <v>AJAY</v>
      </c>
      <c r="M4" s="12" t="str">
        <f t="shared" si="1"/>
        <v>bookshelf</v>
      </c>
      <c r="N4" s="13">
        <f t="shared" si="2"/>
        <v>9</v>
      </c>
    </row>
    <row r="5" spans="1:14" ht="15" thickBot="1" x14ac:dyDescent="0.4">
      <c r="A5" s="5">
        <v>1151</v>
      </c>
      <c r="B5" s="5" t="s">
        <v>46</v>
      </c>
      <c r="C5" s="5" t="s">
        <v>43</v>
      </c>
      <c r="D5" s="5" t="s">
        <v>13</v>
      </c>
      <c r="E5" s="5" t="s">
        <v>50</v>
      </c>
      <c r="F5" s="5">
        <v>20</v>
      </c>
      <c r="G5" s="5">
        <v>272</v>
      </c>
      <c r="H5" s="5">
        <v>15</v>
      </c>
      <c r="I5" s="6">
        <v>46024</v>
      </c>
      <c r="J5" s="6">
        <v>46029</v>
      </c>
      <c r="K5" s="10" t="s">
        <v>51</v>
      </c>
      <c r="L5" s="11" t="str">
        <f t="shared" si="0"/>
        <v>KIRAN</v>
      </c>
      <c r="M5" s="12" t="str">
        <f t="shared" si="1"/>
        <v>marker</v>
      </c>
      <c r="N5" s="13">
        <f t="shared" si="2"/>
        <v>6</v>
      </c>
    </row>
    <row r="6" spans="1:14" ht="15" thickBot="1" x14ac:dyDescent="0.4">
      <c r="A6" s="5">
        <v>1132</v>
      </c>
      <c r="B6" s="5" t="s">
        <v>11</v>
      </c>
      <c r="C6" s="5" t="s">
        <v>31</v>
      </c>
      <c r="D6" s="5" t="s">
        <v>13</v>
      </c>
      <c r="E6" s="5" t="s">
        <v>50</v>
      </c>
      <c r="F6" s="5">
        <v>10</v>
      </c>
      <c r="G6" s="5">
        <v>270</v>
      </c>
      <c r="H6" s="5">
        <v>7</v>
      </c>
      <c r="I6" s="6">
        <v>46024</v>
      </c>
      <c r="J6" s="6">
        <v>46034</v>
      </c>
      <c r="K6" s="10" t="s">
        <v>24</v>
      </c>
      <c r="L6" s="11" t="str">
        <f t="shared" si="0"/>
        <v>RITESH</v>
      </c>
      <c r="M6" s="12" t="str">
        <f t="shared" si="1"/>
        <v>marker</v>
      </c>
      <c r="N6" s="13">
        <f t="shared" si="2"/>
        <v>6</v>
      </c>
    </row>
    <row r="7" spans="1:14" ht="15" thickBot="1" x14ac:dyDescent="0.4">
      <c r="A7" s="5">
        <v>1352</v>
      </c>
      <c r="B7" s="5" t="s">
        <v>54</v>
      </c>
      <c r="C7" s="5" t="s">
        <v>22</v>
      </c>
      <c r="D7" s="5" t="s">
        <v>13</v>
      </c>
      <c r="E7" s="5" t="s">
        <v>14</v>
      </c>
      <c r="F7" s="5">
        <v>12</v>
      </c>
      <c r="G7" s="5">
        <v>203</v>
      </c>
      <c r="H7" s="5">
        <v>5</v>
      </c>
      <c r="I7" s="6">
        <v>46024</v>
      </c>
      <c r="J7" s="6">
        <v>46033</v>
      </c>
      <c r="K7" s="10" t="s">
        <v>15</v>
      </c>
      <c r="L7" s="11" t="str">
        <f t="shared" si="0"/>
        <v>MANOJ</v>
      </c>
      <c r="M7" s="12" t="str">
        <f t="shared" si="1"/>
        <v>notebook</v>
      </c>
      <c r="N7" s="13">
        <f t="shared" si="2"/>
        <v>8</v>
      </c>
    </row>
    <row r="8" spans="1:14" ht="15" thickBot="1" x14ac:dyDescent="0.4">
      <c r="A8" s="5">
        <v>1156</v>
      </c>
      <c r="B8" s="5" t="s">
        <v>54</v>
      </c>
      <c r="C8" s="5" t="s">
        <v>38</v>
      </c>
      <c r="D8" s="5" t="s">
        <v>13</v>
      </c>
      <c r="E8" s="5" t="s">
        <v>36</v>
      </c>
      <c r="F8" s="5">
        <v>5</v>
      </c>
      <c r="G8" s="5">
        <v>466</v>
      </c>
      <c r="H8" s="5">
        <v>15</v>
      </c>
      <c r="I8" s="6">
        <v>46025</v>
      </c>
      <c r="J8" s="6">
        <v>46029</v>
      </c>
      <c r="K8" s="10" t="s">
        <v>15</v>
      </c>
      <c r="L8" s="11" t="str">
        <f t="shared" si="0"/>
        <v>MANOJ</v>
      </c>
      <c r="M8" s="12" t="str">
        <f t="shared" si="1"/>
        <v>stapler</v>
      </c>
      <c r="N8" s="13">
        <f t="shared" si="2"/>
        <v>7</v>
      </c>
    </row>
    <row r="9" spans="1:14" ht="15" thickBot="1" x14ac:dyDescent="0.4">
      <c r="A9" s="5">
        <v>1341</v>
      </c>
      <c r="B9" s="5" t="s">
        <v>57</v>
      </c>
      <c r="C9" s="5" t="s">
        <v>38</v>
      </c>
      <c r="D9" s="5" t="s">
        <v>18</v>
      </c>
      <c r="E9" s="5" t="s">
        <v>19</v>
      </c>
      <c r="F9" s="5">
        <v>19</v>
      </c>
      <c r="G9" s="5">
        <v>6488</v>
      </c>
      <c r="H9" s="5">
        <v>15</v>
      </c>
      <c r="I9" s="6">
        <v>46026</v>
      </c>
      <c r="J9" s="6">
        <v>46030</v>
      </c>
      <c r="K9" s="10" t="s">
        <v>20</v>
      </c>
      <c r="L9" s="11" t="str">
        <f t="shared" si="0"/>
        <v>SARA</v>
      </c>
      <c r="M9" s="12" t="str">
        <f t="shared" si="1"/>
        <v>desk</v>
      </c>
      <c r="N9" s="13">
        <f t="shared" si="2"/>
        <v>4</v>
      </c>
    </row>
    <row r="10" spans="1:14" ht="15" thickBot="1" x14ac:dyDescent="0.4">
      <c r="A10" s="5">
        <v>1351</v>
      </c>
      <c r="B10" s="5" t="s">
        <v>42</v>
      </c>
      <c r="C10" s="5" t="s">
        <v>33</v>
      </c>
      <c r="D10" s="5" t="s">
        <v>34</v>
      </c>
      <c r="E10" s="5" t="s">
        <v>45</v>
      </c>
      <c r="F10" s="5">
        <v>12</v>
      </c>
      <c r="G10" s="5">
        <v>1272</v>
      </c>
      <c r="H10" s="5">
        <v>0</v>
      </c>
      <c r="I10" s="6">
        <v>46026</v>
      </c>
      <c r="J10" s="6">
        <v>46029</v>
      </c>
      <c r="K10" s="10" t="s">
        <v>15</v>
      </c>
      <c r="L10" s="11" t="str">
        <f t="shared" si="0"/>
        <v>NISHA</v>
      </c>
      <c r="M10" s="12" t="str">
        <f t="shared" si="1"/>
        <v>monitor</v>
      </c>
      <c r="N10" s="13">
        <f t="shared" si="2"/>
        <v>7</v>
      </c>
    </row>
    <row r="11" spans="1:14" ht="15" thickBot="1" x14ac:dyDescent="0.4">
      <c r="A11" s="5">
        <v>1229</v>
      </c>
      <c r="B11" s="5" t="s">
        <v>57</v>
      </c>
      <c r="C11" s="5" t="s">
        <v>12</v>
      </c>
      <c r="D11" s="5" t="s">
        <v>18</v>
      </c>
      <c r="E11" s="5" t="s">
        <v>56</v>
      </c>
      <c r="F11" s="5">
        <v>14</v>
      </c>
      <c r="G11" s="5">
        <v>5859</v>
      </c>
      <c r="H11" s="5">
        <v>12</v>
      </c>
      <c r="I11" s="6">
        <v>46027</v>
      </c>
      <c r="J11" s="6">
        <v>46036</v>
      </c>
      <c r="K11" s="10" t="s">
        <v>20</v>
      </c>
      <c r="L11" s="11" t="str">
        <f t="shared" si="0"/>
        <v>SARA</v>
      </c>
      <c r="M11" s="12" t="str">
        <f t="shared" si="1"/>
        <v>cabinet</v>
      </c>
      <c r="N11" s="13">
        <f t="shared" si="2"/>
        <v>7</v>
      </c>
    </row>
    <row r="12" spans="1:14" ht="15" thickBot="1" x14ac:dyDescent="0.4">
      <c r="A12" s="5">
        <v>1100</v>
      </c>
      <c r="B12" s="5" t="s">
        <v>11</v>
      </c>
      <c r="C12" s="5" t="s">
        <v>31</v>
      </c>
      <c r="D12" s="5" t="s">
        <v>13</v>
      </c>
      <c r="E12" s="5" t="s">
        <v>14</v>
      </c>
      <c r="F12" s="5">
        <v>11</v>
      </c>
      <c r="G12" s="5">
        <v>296</v>
      </c>
      <c r="H12" s="5">
        <v>10</v>
      </c>
      <c r="I12" s="6">
        <v>46027</v>
      </c>
      <c r="J12" s="6">
        <v>46031</v>
      </c>
      <c r="K12" s="10" t="s">
        <v>51</v>
      </c>
      <c r="L12" s="11" t="str">
        <f t="shared" si="0"/>
        <v>RITESH</v>
      </c>
      <c r="M12" s="12" t="str">
        <f t="shared" si="1"/>
        <v>notebook</v>
      </c>
      <c r="N12" s="13">
        <f t="shared" si="2"/>
        <v>8</v>
      </c>
    </row>
    <row r="13" spans="1:14" ht="15" thickBot="1" x14ac:dyDescent="0.4">
      <c r="A13" s="5">
        <v>1301</v>
      </c>
      <c r="B13" s="5" t="s">
        <v>54</v>
      </c>
      <c r="C13" s="5" t="s">
        <v>17</v>
      </c>
      <c r="D13" s="5" t="s">
        <v>18</v>
      </c>
      <c r="E13" s="5" t="s">
        <v>28</v>
      </c>
      <c r="F13" s="5">
        <v>3</v>
      </c>
      <c r="G13" s="5">
        <v>7020</v>
      </c>
      <c r="H13" s="5">
        <v>10</v>
      </c>
      <c r="I13" s="6">
        <v>46028</v>
      </c>
      <c r="J13" s="6">
        <v>46038</v>
      </c>
      <c r="K13" s="10" t="s">
        <v>24</v>
      </c>
      <c r="L13" s="11" t="str">
        <f t="shared" si="0"/>
        <v>MANOJ</v>
      </c>
      <c r="M13" s="12" t="str">
        <f t="shared" si="1"/>
        <v>chair</v>
      </c>
      <c r="N13" s="13">
        <f t="shared" si="2"/>
        <v>5</v>
      </c>
    </row>
    <row r="14" spans="1:14" ht="15" thickBot="1" x14ac:dyDescent="0.4">
      <c r="A14" s="5">
        <v>1148</v>
      </c>
      <c r="B14" s="5" t="s">
        <v>59</v>
      </c>
      <c r="C14" s="5" t="s">
        <v>33</v>
      </c>
      <c r="D14" s="5" t="s">
        <v>18</v>
      </c>
      <c r="E14" s="5" t="s">
        <v>28</v>
      </c>
      <c r="F14" s="5">
        <v>11</v>
      </c>
      <c r="G14" s="5">
        <v>3023</v>
      </c>
      <c r="H14" s="5">
        <v>7</v>
      </c>
      <c r="I14" s="6">
        <v>46030</v>
      </c>
      <c r="J14" s="6">
        <v>46032</v>
      </c>
      <c r="K14" s="10" t="s">
        <v>24</v>
      </c>
      <c r="L14" s="11" t="str">
        <f t="shared" si="0"/>
        <v>ANITA</v>
      </c>
      <c r="M14" s="12" t="str">
        <f t="shared" si="1"/>
        <v>chair</v>
      </c>
      <c r="N14" s="13">
        <f t="shared" si="2"/>
        <v>5</v>
      </c>
    </row>
    <row r="15" spans="1:14" ht="15" thickBot="1" x14ac:dyDescent="0.4">
      <c r="A15" s="5">
        <v>1038</v>
      </c>
      <c r="B15" s="5" t="s">
        <v>55</v>
      </c>
      <c r="C15" s="5" t="s">
        <v>17</v>
      </c>
      <c r="D15" s="5" t="s">
        <v>13</v>
      </c>
      <c r="E15" s="5" t="s">
        <v>36</v>
      </c>
      <c r="F15" s="5">
        <v>17</v>
      </c>
      <c r="G15" s="5">
        <v>223</v>
      </c>
      <c r="H15" s="5">
        <v>7</v>
      </c>
      <c r="I15" s="6">
        <v>46030</v>
      </c>
      <c r="J15" s="6">
        <v>46031</v>
      </c>
      <c r="K15" s="10" t="s">
        <v>51</v>
      </c>
      <c r="L15" s="11" t="str">
        <f t="shared" si="0"/>
        <v>SNEHA</v>
      </c>
      <c r="M15" s="12" t="str">
        <f t="shared" si="1"/>
        <v>stapler</v>
      </c>
      <c r="N15" s="13">
        <f t="shared" si="2"/>
        <v>7</v>
      </c>
    </row>
    <row r="16" spans="1:14" ht="15" thickBot="1" x14ac:dyDescent="0.4">
      <c r="A16" s="5">
        <v>1035</v>
      </c>
      <c r="B16" s="5" t="s">
        <v>49</v>
      </c>
      <c r="C16" s="5" t="s">
        <v>43</v>
      </c>
      <c r="D16" s="5" t="s">
        <v>18</v>
      </c>
      <c r="E16" s="5" t="s">
        <v>56</v>
      </c>
      <c r="F16" s="5">
        <v>3</v>
      </c>
      <c r="G16" s="5">
        <v>9149</v>
      </c>
      <c r="H16" s="5">
        <v>0</v>
      </c>
      <c r="I16" s="6">
        <v>46031</v>
      </c>
      <c r="J16" s="6">
        <v>46034</v>
      </c>
      <c r="K16" s="10" t="s">
        <v>24</v>
      </c>
      <c r="L16" s="11" t="str">
        <f t="shared" si="0"/>
        <v>AJAY</v>
      </c>
      <c r="M16" s="12" t="str">
        <f t="shared" si="1"/>
        <v>cabinet</v>
      </c>
      <c r="N16" s="13">
        <f t="shared" si="2"/>
        <v>7</v>
      </c>
    </row>
    <row r="17" spans="1:14" ht="15" thickBot="1" x14ac:dyDescent="0.4">
      <c r="A17" s="5">
        <v>1364</v>
      </c>
      <c r="B17" s="5" t="s">
        <v>30</v>
      </c>
      <c r="C17" s="5" t="s">
        <v>22</v>
      </c>
      <c r="D17" s="5" t="s">
        <v>18</v>
      </c>
      <c r="E17" s="5" t="s">
        <v>56</v>
      </c>
      <c r="F17" s="5">
        <v>16</v>
      </c>
      <c r="G17" s="5">
        <v>1744</v>
      </c>
      <c r="H17" s="5">
        <v>15</v>
      </c>
      <c r="I17" s="6">
        <v>46031</v>
      </c>
      <c r="J17" s="6">
        <v>46033</v>
      </c>
      <c r="K17" s="10" t="s">
        <v>51</v>
      </c>
      <c r="L17" s="11" t="str">
        <f t="shared" si="0"/>
        <v>NEHA</v>
      </c>
      <c r="M17" s="12" t="str">
        <f t="shared" si="1"/>
        <v>cabinet</v>
      </c>
      <c r="N17" s="13">
        <f t="shared" si="2"/>
        <v>7</v>
      </c>
    </row>
    <row r="18" spans="1:14" ht="15" thickBot="1" x14ac:dyDescent="0.4">
      <c r="A18" s="5">
        <v>1396</v>
      </c>
      <c r="B18" s="5" t="s">
        <v>21</v>
      </c>
      <c r="C18" s="5" t="s">
        <v>38</v>
      </c>
      <c r="D18" s="5" t="s">
        <v>13</v>
      </c>
      <c r="E18" s="5" t="s">
        <v>53</v>
      </c>
      <c r="F18" s="5">
        <v>8</v>
      </c>
      <c r="G18" s="5">
        <v>54</v>
      </c>
      <c r="H18" s="5">
        <v>15</v>
      </c>
      <c r="I18" s="6">
        <v>46031</v>
      </c>
      <c r="J18" s="6">
        <v>46035</v>
      </c>
      <c r="K18" s="10" t="s">
        <v>15</v>
      </c>
      <c r="L18" s="11" t="str">
        <f t="shared" si="0"/>
        <v>MEERA</v>
      </c>
      <c r="M18" s="12" t="str">
        <f t="shared" si="1"/>
        <v>diary</v>
      </c>
      <c r="N18" s="13">
        <f t="shared" si="2"/>
        <v>5</v>
      </c>
    </row>
    <row r="19" spans="1:14" ht="15" thickBot="1" x14ac:dyDescent="0.4">
      <c r="A19" s="5">
        <v>1330</v>
      </c>
      <c r="B19" s="5" t="s">
        <v>49</v>
      </c>
      <c r="C19" s="5" t="s">
        <v>17</v>
      </c>
      <c r="D19" s="5" t="s">
        <v>18</v>
      </c>
      <c r="E19" s="5" t="s">
        <v>19</v>
      </c>
      <c r="F19" s="5">
        <v>13</v>
      </c>
      <c r="G19" s="5">
        <v>12071</v>
      </c>
      <c r="H19" s="5">
        <v>0</v>
      </c>
      <c r="I19" s="6">
        <v>46032</v>
      </c>
      <c r="J19" s="6">
        <v>46036</v>
      </c>
      <c r="K19" s="10" t="s">
        <v>51</v>
      </c>
      <c r="L19" s="11" t="str">
        <f t="shared" si="0"/>
        <v>AJAY</v>
      </c>
      <c r="M19" s="12" t="str">
        <f t="shared" si="1"/>
        <v>desk</v>
      </c>
      <c r="N19" s="13">
        <f t="shared" si="2"/>
        <v>4</v>
      </c>
    </row>
    <row r="20" spans="1:14" ht="15" thickBot="1" x14ac:dyDescent="0.4">
      <c r="A20" s="5">
        <v>1037</v>
      </c>
      <c r="B20" s="5" t="s">
        <v>46</v>
      </c>
      <c r="C20" s="5" t="s">
        <v>43</v>
      </c>
      <c r="D20" s="5" t="s">
        <v>18</v>
      </c>
      <c r="E20" s="5" t="s">
        <v>56</v>
      </c>
      <c r="F20" s="5">
        <v>6</v>
      </c>
      <c r="G20" s="5">
        <v>14385</v>
      </c>
      <c r="H20" s="5">
        <v>12</v>
      </c>
      <c r="I20" s="6">
        <v>46033</v>
      </c>
      <c r="J20" s="6">
        <v>46043</v>
      </c>
      <c r="K20" s="10" t="s">
        <v>24</v>
      </c>
      <c r="L20" s="11" t="str">
        <f t="shared" si="0"/>
        <v>KIRAN</v>
      </c>
      <c r="M20" s="12" t="str">
        <f t="shared" si="1"/>
        <v>cabinet</v>
      </c>
      <c r="N20" s="13">
        <f t="shared" si="2"/>
        <v>7</v>
      </c>
    </row>
    <row r="21" spans="1:14" ht="15" thickBot="1" x14ac:dyDescent="0.4">
      <c r="A21" s="5">
        <v>1109</v>
      </c>
      <c r="B21" s="5" t="s">
        <v>21</v>
      </c>
      <c r="C21" s="5" t="s">
        <v>31</v>
      </c>
      <c r="D21" s="5" t="s">
        <v>18</v>
      </c>
      <c r="E21" s="5" t="s">
        <v>44</v>
      </c>
      <c r="F21" s="5">
        <v>19</v>
      </c>
      <c r="G21" s="5">
        <v>6512</v>
      </c>
      <c r="H21" s="5">
        <v>10</v>
      </c>
      <c r="I21" s="6">
        <v>46033</v>
      </c>
      <c r="J21" s="6">
        <v>46037</v>
      </c>
      <c r="K21" s="10" t="s">
        <v>20</v>
      </c>
      <c r="L21" s="11" t="str">
        <f t="shared" si="0"/>
        <v>MEERA</v>
      </c>
      <c r="M21" s="12" t="str">
        <f t="shared" si="1"/>
        <v>bookshelf</v>
      </c>
      <c r="N21" s="13">
        <f t="shared" si="2"/>
        <v>9</v>
      </c>
    </row>
    <row r="22" spans="1:14" ht="15" thickBot="1" x14ac:dyDescent="0.4">
      <c r="A22" s="5">
        <v>1008</v>
      </c>
      <c r="B22" s="5" t="s">
        <v>30</v>
      </c>
      <c r="C22" s="5" t="s">
        <v>31</v>
      </c>
      <c r="D22" s="5" t="s">
        <v>18</v>
      </c>
      <c r="E22" s="5" t="s">
        <v>28</v>
      </c>
      <c r="F22" s="5">
        <v>1</v>
      </c>
      <c r="G22" s="5">
        <v>1134</v>
      </c>
      <c r="H22" s="5">
        <v>0</v>
      </c>
      <c r="I22" s="6">
        <v>46033</v>
      </c>
      <c r="J22" s="6">
        <v>46041</v>
      </c>
      <c r="K22" s="10" t="s">
        <v>24</v>
      </c>
      <c r="L22" s="11" t="str">
        <f t="shared" si="0"/>
        <v>NEHA</v>
      </c>
      <c r="M22" s="12" t="str">
        <f t="shared" si="1"/>
        <v>chair</v>
      </c>
      <c r="N22" s="13">
        <f t="shared" si="2"/>
        <v>5</v>
      </c>
    </row>
    <row r="23" spans="1:14" ht="15" thickBot="1" x14ac:dyDescent="0.4">
      <c r="A23" s="5">
        <v>1181</v>
      </c>
      <c r="B23" s="5" t="s">
        <v>58</v>
      </c>
      <c r="C23" s="5" t="s">
        <v>33</v>
      </c>
      <c r="D23" s="5" t="s">
        <v>13</v>
      </c>
      <c r="E23" s="5" t="s">
        <v>36</v>
      </c>
      <c r="F23" s="5">
        <v>4</v>
      </c>
      <c r="G23" s="5">
        <v>357</v>
      </c>
      <c r="H23" s="5">
        <v>2</v>
      </c>
      <c r="I23" s="6">
        <v>46033</v>
      </c>
      <c r="J23" s="6">
        <v>46035</v>
      </c>
      <c r="K23" s="10" t="s">
        <v>15</v>
      </c>
      <c r="L23" s="11" t="str">
        <f t="shared" si="0"/>
        <v>ROHAN</v>
      </c>
      <c r="M23" s="12" t="str">
        <f t="shared" si="1"/>
        <v>stapler</v>
      </c>
      <c r="N23" s="13">
        <f t="shared" si="2"/>
        <v>7</v>
      </c>
    </row>
    <row r="24" spans="1:14" ht="15" thickBot="1" x14ac:dyDescent="0.4">
      <c r="A24" s="5">
        <v>1205</v>
      </c>
      <c r="B24" s="5" t="s">
        <v>21</v>
      </c>
      <c r="C24" s="5" t="s">
        <v>38</v>
      </c>
      <c r="D24" s="5" t="s">
        <v>13</v>
      </c>
      <c r="E24" s="5" t="s">
        <v>36</v>
      </c>
      <c r="F24" s="5">
        <v>1</v>
      </c>
      <c r="G24" s="5">
        <v>112</v>
      </c>
      <c r="H24" s="5">
        <v>7</v>
      </c>
      <c r="I24" s="6">
        <v>46033</v>
      </c>
      <c r="J24" s="6">
        <v>46040</v>
      </c>
      <c r="K24" s="10" t="s">
        <v>51</v>
      </c>
      <c r="L24" s="11" t="str">
        <f t="shared" si="0"/>
        <v>MEERA</v>
      </c>
      <c r="M24" s="12" t="str">
        <f t="shared" si="1"/>
        <v>stapler</v>
      </c>
      <c r="N24" s="13">
        <f t="shared" si="2"/>
        <v>7</v>
      </c>
    </row>
    <row r="25" spans="1:14" ht="15" thickBot="1" x14ac:dyDescent="0.4">
      <c r="A25" s="5">
        <v>1004</v>
      </c>
      <c r="B25" s="5" t="s">
        <v>16</v>
      </c>
      <c r="C25" s="5" t="s">
        <v>25</v>
      </c>
      <c r="D25" s="5" t="s">
        <v>18</v>
      </c>
      <c r="E25" s="5" t="s">
        <v>23</v>
      </c>
      <c r="F25" s="5">
        <v>16</v>
      </c>
      <c r="G25" s="5">
        <v>11739</v>
      </c>
      <c r="H25" s="5">
        <v>12</v>
      </c>
      <c r="I25" s="6">
        <v>46034</v>
      </c>
      <c r="J25" s="6">
        <v>46040</v>
      </c>
      <c r="K25" s="10" t="s">
        <v>20</v>
      </c>
      <c r="L25" s="11" t="str">
        <f t="shared" si="0"/>
        <v>POOJA</v>
      </c>
      <c r="M25" s="12" t="str">
        <f t="shared" si="1"/>
        <v>table</v>
      </c>
      <c r="N25" s="13">
        <f t="shared" si="2"/>
        <v>5</v>
      </c>
    </row>
    <row r="26" spans="1:14" ht="15" thickBot="1" x14ac:dyDescent="0.4">
      <c r="A26" s="5">
        <v>1072</v>
      </c>
      <c r="B26" s="5" t="s">
        <v>16</v>
      </c>
      <c r="C26" s="5" t="s">
        <v>25</v>
      </c>
      <c r="D26" s="5" t="s">
        <v>34</v>
      </c>
      <c r="E26" s="5" t="s">
        <v>61</v>
      </c>
      <c r="F26" s="5">
        <v>20</v>
      </c>
      <c r="G26" s="5">
        <v>58779</v>
      </c>
      <c r="H26" s="5">
        <v>0</v>
      </c>
      <c r="I26" s="6">
        <v>46035</v>
      </c>
      <c r="J26" s="6">
        <v>46036</v>
      </c>
      <c r="K26" s="10" t="s">
        <v>24</v>
      </c>
      <c r="L26" s="11" t="str">
        <f t="shared" si="0"/>
        <v>POOJA</v>
      </c>
      <c r="M26" s="12" t="str">
        <f t="shared" si="1"/>
        <v>mouse</v>
      </c>
      <c r="N26" s="13">
        <f t="shared" si="2"/>
        <v>5</v>
      </c>
    </row>
    <row r="27" spans="1:14" ht="15" thickBot="1" x14ac:dyDescent="0.4">
      <c r="A27" s="5">
        <v>1368</v>
      </c>
      <c r="B27" s="5" t="s">
        <v>55</v>
      </c>
      <c r="C27" s="5" t="s">
        <v>38</v>
      </c>
      <c r="D27" s="5" t="s">
        <v>13</v>
      </c>
      <c r="E27" s="5" t="s">
        <v>36</v>
      </c>
      <c r="F27" s="5">
        <v>9</v>
      </c>
      <c r="G27" s="5">
        <v>115</v>
      </c>
      <c r="H27" s="5">
        <v>0</v>
      </c>
      <c r="I27" s="6">
        <v>46036</v>
      </c>
      <c r="J27" s="6">
        <v>46045</v>
      </c>
      <c r="K27" s="10" t="s">
        <v>24</v>
      </c>
      <c r="L27" s="11" t="str">
        <f t="shared" si="0"/>
        <v>SNEHA</v>
      </c>
      <c r="M27" s="12" t="str">
        <f t="shared" si="1"/>
        <v>stapler</v>
      </c>
      <c r="N27" s="13">
        <f t="shared" si="2"/>
        <v>7</v>
      </c>
    </row>
    <row r="28" spans="1:14" ht="15" thickBot="1" x14ac:dyDescent="0.4">
      <c r="A28" s="5">
        <v>1347</v>
      </c>
      <c r="B28" s="5" t="s">
        <v>29</v>
      </c>
      <c r="C28" s="5" t="s">
        <v>22</v>
      </c>
      <c r="D28" s="5" t="s">
        <v>34</v>
      </c>
      <c r="E28" s="5" t="s">
        <v>35</v>
      </c>
      <c r="F28" s="5">
        <v>16</v>
      </c>
      <c r="G28" s="5">
        <v>6034</v>
      </c>
      <c r="H28" s="5">
        <v>15</v>
      </c>
      <c r="I28" s="6">
        <v>46037</v>
      </c>
      <c r="J28" s="6">
        <v>46044</v>
      </c>
      <c r="K28" s="10" t="s">
        <v>24</v>
      </c>
      <c r="L28" s="11" t="str">
        <f t="shared" si="0"/>
        <v>PRIYA</v>
      </c>
      <c r="M28" s="12" t="str">
        <f t="shared" si="1"/>
        <v>printer</v>
      </c>
      <c r="N28" s="13">
        <f t="shared" si="2"/>
        <v>7</v>
      </c>
    </row>
    <row r="29" spans="1:14" ht="15" thickBot="1" x14ac:dyDescent="0.4">
      <c r="A29" s="5">
        <v>1051</v>
      </c>
      <c r="B29" s="5" t="s">
        <v>58</v>
      </c>
      <c r="C29" s="5" t="s">
        <v>17</v>
      </c>
      <c r="D29" s="5" t="s">
        <v>13</v>
      </c>
      <c r="E29" s="5" t="s">
        <v>36</v>
      </c>
      <c r="F29" s="5">
        <v>12</v>
      </c>
      <c r="G29" s="5">
        <v>47</v>
      </c>
      <c r="H29" s="5">
        <v>2</v>
      </c>
      <c r="I29" s="6">
        <v>46037</v>
      </c>
      <c r="J29" s="6">
        <v>46045</v>
      </c>
      <c r="K29" s="10" t="s">
        <v>15</v>
      </c>
      <c r="L29" s="11" t="str">
        <f t="shared" si="0"/>
        <v>ROHAN</v>
      </c>
      <c r="M29" s="12" t="str">
        <f t="shared" si="1"/>
        <v>stapler</v>
      </c>
      <c r="N29" s="13">
        <f t="shared" si="2"/>
        <v>7</v>
      </c>
    </row>
    <row r="30" spans="1:14" ht="15" thickBot="1" x14ac:dyDescent="0.4">
      <c r="A30" s="5">
        <v>1045</v>
      </c>
      <c r="B30" s="5" t="s">
        <v>32</v>
      </c>
      <c r="C30" s="5" t="s">
        <v>38</v>
      </c>
      <c r="D30" s="5" t="s">
        <v>34</v>
      </c>
      <c r="E30" s="5" t="s">
        <v>35</v>
      </c>
      <c r="F30" s="5">
        <v>3</v>
      </c>
      <c r="G30" s="5">
        <v>62762</v>
      </c>
      <c r="H30" s="5">
        <v>7</v>
      </c>
      <c r="I30" s="6">
        <v>46038</v>
      </c>
      <c r="J30" s="6">
        <v>46039</v>
      </c>
      <c r="K30" s="10" t="s">
        <v>29</v>
      </c>
      <c r="L30" s="11" t="str">
        <f t="shared" si="0"/>
        <v>ASHA</v>
      </c>
      <c r="M30" s="12" t="str">
        <f t="shared" si="1"/>
        <v>printer</v>
      </c>
      <c r="N30" s="13">
        <f t="shared" si="2"/>
        <v>7</v>
      </c>
    </row>
    <row r="31" spans="1:14" ht="15" thickBot="1" x14ac:dyDescent="0.4">
      <c r="A31" s="5">
        <v>1334</v>
      </c>
      <c r="B31" s="5" t="s">
        <v>40</v>
      </c>
      <c r="C31" s="5" t="s">
        <v>12</v>
      </c>
      <c r="D31" s="5" t="s">
        <v>34</v>
      </c>
      <c r="E31" s="5" t="s">
        <v>41</v>
      </c>
      <c r="F31" s="5">
        <v>15</v>
      </c>
      <c r="G31" s="5">
        <v>39853</v>
      </c>
      <c r="H31" s="5">
        <v>7</v>
      </c>
      <c r="I31" s="6">
        <v>46038</v>
      </c>
      <c r="J31" s="6">
        <v>46047</v>
      </c>
      <c r="K31" s="10" t="s">
        <v>51</v>
      </c>
      <c r="L31" s="11" t="str">
        <f t="shared" si="0"/>
        <v>DEEPAK</v>
      </c>
      <c r="M31" s="12" t="str">
        <f t="shared" si="1"/>
        <v>headset</v>
      </c>
      <c r="N31" s="13">
        <f t="shared" si="2"/>
        <v>7</v>
      </c>
    </row>
    <row r="32" spans="1:14" ht="15" thickBot="1" x14ac:dyDescent="0.4">
      <c r="A32" s="5">
        <v>1069</v>
      </c>
      <c r="B32" s="5" t="s">
        <v>52</v>
      </c>
      <c r="C32" s="5" t="s">
        <v>31</v>
      </c>
      <c r="D32" s="5" t="s">
        <v>18</v>
      </c>
      <c r="E32" s="5" t="s">
        <v>28</v>
      </c>
      <c r="F32" s="5">
        <v>9</v>
      </c>
      <c r="G32" s="5">
        <v>4415</v>
      </c>
      <c r="H32" s="5">
        <v>5</v>
      </c>
      <c r="I32" s="6">
        <v>46039</v>
      </c>
      <c r="J32" s="6">
        <v>46046</v>
      </c>
      <c r="K32" s="10" t="s">
        <v>15</v>
      </c>
      <c r="L32" s="11" t="str">
        <f t="shared" si="0"/>
        <v>KOMAL</v>
      </c>
      <c r="M32" s="12" t="str">
        <f t="shared" si="1"/>
        <v>chair</v>
      </c>
      <c r="N32" s="13">
        <f t="shared" si="2"/>
        <v>5</v>
      </c>
    </row>
    <row r="33" spans="1:14" ht="15" thickBot="1" x14ac:dyDescent="0.4">
      <c r="A33" s="5">
        <v>1246</v>
      </c>
      <c r="B33" s="5" t="s">
        <v>55</v>
      </c>
      <c r="C33" s="5" t="s">
        <v>22</v>
      </c>
      <c r="D33" s="5" t="s">
        <v>34</v>
      </c>
      <c r="E33" s="5" t="s">
        <v>35</v>
      </c>
      <c r="F33" s="5">
        <v>13</v>
      </c>
      <c r="G33" s="5">
        <v>1825</v>
      </c>
      <c r="H33" s="5">
        <v>2</v>
      </c>
      <c r="I33" s="6">
        <v>46039</v>
      </c>
      <c r="J33" s="6">
        <v>46045</v>
      </c>
      <c r="K33" s="10" t="s">
        <v>51</v>
      </c>
      <c r="L33" s="11" t="str">
        <f t="shared" si="0"/>
        <v>SNEHA</v>
      </c>
      <c r="M33" s="12" t="str">
        <f t="shared" si="1"/>
        <v>printer</v>
      </c>
      <c r="N33" s="13">
        <f t="shared" si="2"/>
        <v>7</v>
      </c>
    </row>
    <row r="34" spans="1:14" ht="15" thickBot="1" x14ac:dyDescent="0.4">
      <c r="A34" s="5">
        <v>1026</v>
      </c>
      <c r="B34" s="5" t="s">
        <v>49</v>
      </c>
      <c r="C34" s="5" t="s">
        <v>31</v>
      </c>
      <c r="D34" s="5" t="s">
        <v>13</v>
      </c>
      <c r="E34" s="5" t="s">
        <v>50</v>
      </c>
      <c r="F34" s="5">
        <v>17</v>
      </c>
      <c r="G34" s="5">
        <v>323</v>
      </c>
      <c r="H34" s="5">
        <v>10</v>
      </c>
      <c r="I34" s="6">
        <v>46039</v>
      </c>
      <c r="J34" s="6">
        <v>46040</v>
      </c>
      <c r="K34" s="10" t="s">
        <v>29</v>
      </c>
      <c r="L34" s="11" t="str">
        <f t="shared" si="0"/>
        <v>AJAY</v>
      </c>
      <c r="M34" s="12" t="str">
        <f t="shared" si="1"/>
        <v>marker</v>
      </c>
      <c r="N34" s="13">
        <f t="shared" si="2"/>
        <v>6</v>
      </c>
    </row>
    <row r="35" spans="1:14" ht="15" thickBot="1" x14ac:dyDescent="0.4">
      <c r="A35" s="5">
        <v>1260</v>
      </c>
      <c r="B35" s="5" t="s">
        <v>54</v>
      </c>
      <c r="C35" s="5" t="s">
        <v>38</v>
      </c>
      <c r="D35" s="5" t="s">
        <v>34</v>
      </c>
      <c r="E35" s="5" t="s">
        <v>41</v>
      </c>
      <c r="F35" s="5">
        <v>19</v>
      </c>
      <c r="G35" s="5">
        <v>54981</v>
      </c>
      <c r="H35" s="5">
        <v>10</v>
      </c>
      <c r="I35" s="6">
        <v>46040</v>
      </c>
      <c r="J35" s="6">
        <v>46045</v>
      </c>
      <c r="K35" s="10" t="s">
        <v>29</v>
      </c>
      <c r="L35" s="11" t="str">
        <f t="shared" si="0"/>
        <v>MANOJ</v>
      </c>
      <c r="M35" s="12" t="str">
        <f t="shared" si="1"/>
        <v>headset</v>
      </c>
      <c r="N35" s="13">
        <f t="shared" si="2"/>
        <v>7</v>
      </c>
    </row>
    <row r="36" spans="1:14" ht="15" thickBot="1" x14ac:dyDescent="0.4">
      <c r="A36" s="5">
        <v>1103</v>
      </c>
      <c r="B36" s="5" t="s">
        <v>16</v>
      </c>
      <c r="C36" s="5" t="s">
        <v>12</v>
      </c>
      <c r="D36" s="5" t="s">
        <v>18</v>
      </c>
      <c r="E36" s="5" t="s">
        <v>23</v>
      </c>
      <c r="F36" s="5">
        <v>7</v>
      </c>
      <c r="G36" s="5">
        <v>11925</v>
      </c>
      <c r="H36" s="5">
        <v>5</v>
      </c>
      <c r="I36" s="6">
        <v>46040</v>
      </c>
      <c r="J36" s="6">
        <v>46041</v>
      </c>
      <c r="K36" s="10" t="s">
        <v>29</v>
      </c>
      <c r="L36" s="11" t="str">
        <f t="shared" si="0"/>
        <v>POOJA</v>
      </c>
      <c r="M36" s="12" t="str">
        <f t="shared" si="1"/>
        <v>table</v>
      </c>
      <c r="N36" s="13">
        <f t="shared" si="2"/>
        <v>5</v>
      </c>
    </row>
    <row r="37" spans="1:14" ht="15" thickBot="1" x14ac:dyDescent="0.4">
      <c r="A37" s="5">
        <v>1135</v>
      </c>
      <c r="B37" s="5" t="s">
        <v>49</v>
      </c>
      <c r="C37" s="5" t="s">
        <v>43</v>
      </c>
      <c r="D37" s="5" t="s">
        <v>34</v>
      </c>
      <c r="E37" s="5" t="s">
        <v>39</v>
      </c>
      <c r="F37" s="5">
        <v>14</v>
      </c>
      <c r="G37" s="5">
        <v>68534</v>
      </c>
      <c r="H37" s="5">
        <v>0</v>
      </c>
      <c r="I37" s="6">
        <v>46041</v>
      </c>
      <c r="J37" s="6">
        <v>46042</v>
      </c>
      <c r="K37" s="10" t="s">
        <v>15</v>
      </c>
      <c r="L37" s="11" t="str">
        <f t="shared" si="0"/>
        <v>AJAY</v>
      </c>
      <c r="M37" s="12" t="str">
        <f t="shared" si="1"/>
        <v>keyboard</v>
      </c>
      <c r="N37" s="13">
        <f t="shared" si="2"/>
        <v>8</v>
      </c>
    </row>
    <row r="38" spans="1:14" ht="15" thickBot="1" x14ac:dyDescent="0.4">
      <c r="A38" s="5">
        <v>1228</v>
      </c>
      <c r="B38" s="5" t="s">
        <v>29</v>
      </c>
      <c r="C38" s="5" t="s">
        <v>25</v>
      </c>
      <c r="D38" s="5" t="s">
        <v>34</v>
      </c>
      <c r="E38" s="5" t="s">
        <v>45</v>
      </c>
      <c r="F38" s="5">
        <v>16</v>
      </c>
      <c r="G38" s="5">
        <v>17477</v>
      </c>
      <c r="H38" s="5">
        <v>10</v>
      </c>
      <c r="I38" s="6">
        <v>46041</v>
      </c>
      <c r="J38" s="6">
        <v>46043</v>
      </c>
      <c r="K38" s="10" t="s">
        <v>24</v>
      </c>
      <c r="L38" s="11" t="str">
        <f t="shared" si="0"/>
        <v>PRIYA</v>
      </c>
      <c r="M38" s="12" t="str">
        <f t="shared" si="1"/>
        <v>monitor</v>
      </c>
      <c r="N38" s="13">
        <f t="shared" si="2"/>
        <v>7</v>
      </c>
    </row>
    <row r="39" spans="1:14" ht="15" thickBot="1" x14ac:dyDescent="0.4">
      <c r="A39" s="5">
        <v>1313</v>
      </c>
      <c r="B39" s="5" t="s">
        <v>59</v>
      </c>
      <c r="C39" s="5" t="s">
        <v>22</v>
      </c>
      <c r="D39" s="5" t="s">
        <v>18</v>
      </c>
      <c r="E39" s="5" t="s">
        <v>56</v>
      </c>
      <c r="F39" s="5">
        <v>6</v>
      </c>
      <c r="G39" s="5">
        <v>10864</v>
      </c>
      <c r="H39" s="5">
        <v>10</v>
      </c>
      <c r="I39" s="6">
        <v>46041</v>
      </c>
      <c r="J39" s="6">
        <v>46049</v>
      </c>
      <c r="K39" s="10" t="s">
        <v>15</v>
      </c>
      <c r="L39" s="11" t="str">
        <f t="shared" si="0"/>
        <v>ANITA</v>
      </c>
      <c r="M39" s="12" t="str">
        <f t="shared" si="1"/>
        <v>cabinet</v>
      </c>
      <c r="N39" s="13">
        <f t="shared" si="2"/>
        <v>7</v>
      </c>
    </row>
    <row r="40" spans="1:14" ht="15" thickBot="1" x14ac:dyDescent="0.4">
      <c r="A40" s="5">
        <v>1208</v>
      </c>
      <c r="B40" s="5" t="s">
        <v>54</v>
      </c>
      <c r="C40" s="5" t="s">
        <v>43</v>
      </c>
      <c r="D40" s="5" t="s">
        <v>18</v>
      </c>
      <c r="E40" s="5" t="s">
        <v>44</v>
      </c>
      <c r="F40" s="5">
        <v>6</v>
      </c>
      <c r="G40" s="5">
        <v>7627</v>
      </c>
      <c r="H40" s="5">
        <v>10</v>
      </c>
      <c r="I40" s="6">
        <v>46042</v>
      </c>
      <c r="J40" s="6">
        <v>46047</v>
      </c>
      <c r="K40" s="10" t="s">
        <v>20</v>
      </c>
      <c r="L40" s="11" t="str">
        <f t="shared" si="0"/>
        <v>MANOJ</v>
      </c>
      <c r="M40" s="12" t="str">
        <f t="shared" si="1"/>
        <v>bookshelf</v>
      </c>
      <c r="N40" s="13">
        <f t="shared" si="2"/>
        <v>9</v>
      </c>
    </row>
    <row r="41" spans="1:14" ht="15" thickBot="1" x14ac:dyDescent="0.4">
      <c r="A41" s="5">
        <v>1165</v>
      </c>
      <c r="B41" s="5" t="s">
        <v>48</v>
      </c>
      <c r="C41" s="5" t="s">
        <v>25</v>
      </c>
      <c r="D41" s="5" t="s">
        <v>13</v>
      </c>
      <c r="E41" s="5" t="s">
        <v>37</v>
      </c>
      <c r="F41" s="5">
        <v>1</v>
      </c>
      <c r="G41" s="5">
        <v>427</v>
      </c>
      <c r="H41" s="5">
        <v>0</v>
      </c>
      <c r="I41" s="6">
        <v>46042</v>
      </c>
      <c r="J41" s="6">
        <v>46050</v>
      </c>
      <c r="K41" s="10" t="s">
        <v>51</v>
      </c>
      <c r="L41" s="11" t="str">
        <f t="shared" si="0"/>
        <v>NITIN</v>
      </c>
      <c r="M41" s="12" t="str">
        <f t="shared" si="1"/>
        <v>pen pack</v>
      </c>
      <c r="N41" s="13">
        <f t="shared" si="2"/>
        <v>8</v>
      </c>
    </row>
    <row r="42" spans="1:14" ht="15" thickBot="1" x14ac:dyDescent="0.4">
      <c r="A42" s="5">
        <v>1304</v>
      </c>
      <c r="B42" s="5" t="s">
        <v>59</v>
      </c>
      <c r="C42" s="5" t="s">
        <v>25</v>
      </c>
      <c r="D42" s="5" t="s">
        <v>13</v>
      </c>
      <c r="E42" s="5" t="s">
        <v>36</v>
      </c>
      <c r="F42" s="5">
        <v>20</v>
      </c>
      <c r="G42" s="5">
        <v>368</v>
      </c>
      <c r="H42" s="5">
        <v>7</v>
      </c>
      <c r="I42" s="6">
        <v>46042</v>
      </c>
      <c r="J42" s="6">
        <v>46051</v>
      </c>
      <c r="K42" s="10" t="s">
        <v>51</v>
      </c>
      <c r="L42" s="11" t="str">
        <f t="shared" si="0"/>
        <v>ANITA</v>
      </c>
      <c r="M42" s="12" t="str">
        <f t="shared" si="1"/>
        <v>stapler</v>
      </c>
      <c r="N42" s="13">
        <f t="shared" si="2"/>
        <v>7</v>
      </c>
    </row>
    <row r="43" spans="1:14" ht="15" thickBot="1" x14ac:dyDescent="0.4">
      <c r="A43" s="5">
        <v>1141</v>
      </c>
      <c r="B43" s="5" t="s">
        <v>11</v>
      </c>
      <c r="C43" s="5" t="s">
        <v>17</v>
      </c>
      <c r="D43" s="5" t="s">
        <v>18</v>
      </c>
      <c r="E43" s="5" t="s">
        <v>44</v>
      </c>
      <c r="F43" s="5">
        <v>20</v>
      </c>
      <c r="G43" s="5">
        <v>6835</v>
      </c>
      <c r="H43" s="5">
        <v>2</v>
      </c>
      <c r="I43" s="6">
        <v>46043</v>
      </c>
      <c r="J43" s="6">
        <v>46053</v>
      </c>
      <c r="K43" s="10" t="s">
        <v>15</v>
      </c>
      <c r="L43" s="11" t="str">
        <f t="shared" si="0"/>
        <v>RITESH</v>
      </c>
      <c r="M43" s="12" t="str">
        <f t="shared" si="1"/>
        <v>bookshelf</v>
      </c>
      <c r="N43" s="13">
        <f t="shared" si="2"/>
        <v>9</v>
      </c>
    </row>
    <row r="44" spans="1:14" ht="15" thickBot="1" x14ac:dyDescent="0.4">
      <c r="A44" s="5">
        <v>1389</v>
      </c>
      <c r="B44" s="5" t="s">
        <v>32</v>
      </c>
      <c r="C44" s="5" t="s">
        <v>12</v>
      </c>
      <c r="D44" s="5" t="s">
        <v>34</v>
      </c>
      <c r="E44" s="5" t="s">
        <v>41</v>
      </c>
      <c r="F44" s="5">
        <v>3</v>
      </c>
      <c r="G44" s="5">
        <v>56380</v>
      </c>
      <c r="H44" s="5">
        <v>5</v>
      </c>
      <c r="I44" s="6">
        <v>46044</v>
      </c>
      <c r="J44" s="6">
        <v>46048</v>
      </c>
      <c r="K44" s="10" t="s">
        <v>51</v>
      </c>
      <c r="L44" s="11" t="str">
        <f t="shared" si="0"/>
        <v>ASHA</v>
      </c>
      <c r="M44" s="12" t="str">
        <f t="shared" si="1"/>
        <v>headset</v>
      </c>
      <c r="N44" s="13">
        <f t="shared" si="2"/>
        <v>7</v>
      </c>
    </row>
    <row r="45" spans="1:14" ht="15" thickBot="1" x14ac:dyDescent="0.4">
      <c r="A45" s="5">
        <v>1226</v>
      </c>
      <c r="B45" s="5" t="s">
        <v>29</v>
      </c>
      <c r="C45" s="5" t="s">
        <v>31</v>
      </c>
      <c r="D45" s="5" t="s">
        <v>34</v>
      </c>
      <c r="E45" s="5" t="s">
        <v>41</v>
      </c>
      <c r="F45" s="5">
        <v>13</v>
      </c>
      <c r="G45" s="5">
        <v>21332</v>
      </c>
      <c r="H45" s="5">
        <v>0</v>
      </c>
      <c r="I45" s="6">
        <v>46044</v>
      </c>
      <c r="J45" s="6">
        <v>46048</v>
      </c>
      <c r="K45" s="10" t="s">
        <v>29</v>
      </c>
      <c r="L45" s="11" t="str">
        <f t="shared" si="0"/>
        <v>PRIYA</v>
      </c>
      <c r="M45" s="12" t="str">
        <f t="shared" si="1"/>
        <v>headset</v>
      </c>
      <c r="N45" s="13">
        <f t="shared" si="2"/>
        <v>7</v>
      </c>
    </row>
    <row r="46" spans="1:14" ht="15" thickBot="1" x14ac:dyDescent="0.4">
      <c r="A46" s="5">
        <v>1128</v>
      </c>
      <c r="B46" s="5" t="s">
        <v>30</v>
      </c>
      <c r="C46" s="5" t="s">
        <v>22</v>
      </c>
      <c r="D46" s="5" t="s">
        <v>34</v>
      </c>
      <c r="E46" s="5" t="s">
        <v>61</v>
      </c>
      <c r="F46" s="5">
        <v>6</v>
      </c>
      <c r="G46" s="5">
        <v>5001</v>
      </c>
      <c r="H46" s="5">
        <v>7</v>
      </c>
      <c r="I46" s="6">
        <v>46044</v>
      </c>
      <c r="J46" s="6">
        <v>46050</v>
      </c>
      <c r="K46" s="10" t="s">
        <v>29</v>
      </c>
      <c r="L46" s="11" t="str">
        <f t="shared" si="0"/>
        <v>NEHA</v>
      </c>
      <c r="M46" s="12" t="str">
        <f t="shared" si="1"/>
        <v>mouse</v>
      </c>
      <c r="N46" s="13">
        <f t="shared" si="2"/>
        <v>5</v>
      </c>
    </row>
    <row r="47" spans="1:14" ht="15" thickBot="1" x14ac:dyDescent="0.4">
      <c r="A47" s="5">
        <v>1197</v>
      </c>
      <c r="B47" s="5" t="s">
        <v>52</v>
      </c>
      <c r="C47" s="5" t="s">
        <v>31</v>
      </c>
      <c r="D47" s="5" t="s">
        <v>34</v>
      </c>
      <c r="E47" s="5" t="s">
        <v>35</v>
      </c>
      <c r="F47" s="5">
        <v>5</v>
      </c>
      <c r="G47" s="5">
        <v>45352</v>
      </c>
      <c r="H47" s="5">
        <v>12</v>
      </c>
      <c r="I47" s="6">
        <v>46045</v>
      </c>
      <c r="J47" s="6">
        <v>46048</v>
      </c>
      <c r="K47" s="10" t="s">
        <v>15</v>
      </c>
      <c r="L47" s="11" t="str">
        <f t="shared" si="0"/>
        <v>KOMAL</v>
      </c>
      <c r="M47" s="12" t="str">
        <f t="shared" si="1"/>
        <v>printer</v>
      </c>
      <c r="N47" s="13">
        <f t="shared" si="2"/>
        <v>7</v>
      </c>
    </row>
    <row r="48" spans="1:14" ht="15" thickBot="1" x14ac:dyDescent="0.4">
      <c r="A48" s="5">
        <v>1076</v>
      </c>
      <c r="B48" s="5" t="s">
        <v>29</v>
      </c>
      <c r="C48" s="5" t="s">
        <v>17</v>
      </c>
      <c r="D48" s="5" t="s">
        <v>34</v>
      </c>
      <c r="E48" s="5" t="s">
        <v>35</v>
      </c>
      <c r="F48" s="5">
        <v>19</v>
      </c>
      <c r="G48" s="5">
        <v>26714</v>
      </c>
      <c r="H48" s="5">
        <v>5</v>
      </c>
      <c r="I48" s="6">
        <v>46045</v>
      </c>
      <c r="J48" s="6">
        <v>46055</v>
      </c>
      <c r="K48" s="10" t="s">
        <v>29</v>
      </c>
      <c r="L48" s="11" t="str">
        <f t="shared" si="0"/>
        <v>PRIYA</v>
      </c>
      <c r="M48" s="12" t="str">
        <f t="shared" si="1"/>
        <v>printer</v>
      </c>
      <c r="N48" s="13">
        <f t="shared" si="2"/>
        <v>7</v>
      </c>
    </row>
    <row r="49" spans="1:14" ht="15" thickBot="1" x14ac:dyDescent="0.4">
      <c r="A49" s="5">
        <v>1224</v>
      </c>
      <c r="B49" s="5" t="s">
        <v>30</v>
      </c>
      <c r="C49" s="5" t="s">
        <v>38</v>
      </c>
      <c r="D49" s="5" t="s">
        <v>34</v>
      </c>
      <c r="E49" s="5" t="s">
        <v>45</v>
      </c>
      <c r="F49" s="5">
        <v>16</v>
      </c>
      <c r="G49" s="5">
        <v>18378</v>
      </c>
      <c r="H49" s="5">
        <v>10</v>
      </c>
      <c r="I49" s="6">
        <v>46045</v>
      </c>
      <c r="J49" s="6">
        <v>46052</v>
      </c>
      <c r="K49" s="10" t="s">
        <v>24</v>
      </c>
      <c r="L49" s="11" t="str">
        <f t="shared" si="0"/>
        <v>NEHA</v>
      </c>
      <c r="M49" s="12" t="str">
        <f t="shared" si="1"/>
        <v>monitor</v>
      </c>
      <c r="N49" s="13">
        <f t="shared" si="2"/>
        <v>7</v>
      </c>
    </row>
    <row r="50" spans="1:14" ht="15" thickBot="1" x14ac:dyDescent="0.4">
      <c r="A50" s="5">
        <v>1293</v>
      </c>
      <c r="B50" s="5" t="s">
        <v>49</v>
      </c>
      <c r="C50" s="5" t="s">
        <v>43</v>
      </c>
      <c r="D50" s="5" t="s">
        <v>18</v>
      </c>
      <c r="E50" s="5" t="s">
        <v>23</v>
      </c>
      <c r="F50" s="5">
        <v>7</v>
      </c>
      <c r="G50" s="5">
        <v>11481</v>
      </c>
      <c r="H50" s="5">
        <v>15</v>
      </c>
      <c r="I50" s="6">
        <v>46045</v>
      </c>
      <c r="J50" s="6">
        <v>46050</v>
      </c>
      <c r="K50" s="10" t="s">
        <v>20</v>
      </c>
      <c r="L50" s="11" t="str">
        <f t="shared" si="0"/>
        <v>AJAY</v>
      </c>
      <c r="M50" s="12" t="str">
        <f t="shared" si="1"/>
        <v>table</v>
      </c>
      <c r="N50" s="13">
        <f t="shared" si="2"/>
        <v>5</v>
      </c>
    </row>
    <row r="51" spans="1:14" ht="15" thickBot="1" x14ac:dyDescent="0.4">
      <c r="A51" s="5">
        <v>1086</v>
      </c>
      <c r="B51" s="5" t="s">
        <v>32</v>
      </c>
      <c r="C51" s="5" t="s">
        <v>12</v>
      </c>
      <c r="D51" s="5" t="s">
        <v>13</v>
      </c>
      <c r="E51" s="5" t="s">
        <v>53</v>
      </c>
      <c r="F51" s="5">
        <v>15</v>
      </c>
      <c r="G51" s="5">
        <v>40</v>
      </c>
      <c r="H51" s="5">
        <v>10</v>
      </c>
      <c r="I51" s="6">
        <v>46045</v>
      </c>
      <c r="J51" s="6">
        <v>46049</v>
      </c>
      <c r="K51" s="10" t="s">
        <v>24</v>
      </c>
      <c r="L51" s="11" t="str">
        <f t="shared" si="0"/>
        <v>ASHA</v>
      </c>
      <c r="M51" s="12" t="str">
        <f t="shared" si="1"/>
        <v>diary</v>
      </c>
      <c r="N51" s="13">
        <f t="shared" si="2"/>
        <v>5</v>
      </c>
    </row>
    <row r="52" spans="1:14" ht="15" thickBot="1" x14ac:dyDescent="0.4">
      <c r="A52" s="5">
        <v>1029</v>
      </c>
      <c r="B52" s="5" t="s">
        <v>30</v>
      </c>
      <c r="C52" s="5" t="s">
        <v>25</v>
      </c>
      <c r="D52" s="5" t="s">
        <v>13</v>
      </c>
      <c r="E52" s="5" t="s">
        <v>36</v>
      </c>
      <c r="F52" s="5">
        <v>18</v>
      </c>
      <c r="G52" s="5">
        <v>443</v>
      </c>
      <c r="H52" s="5">
        <v>5</v>
      </c>
      <c r="I52" s="6">
        <v>46046</v>
      </c>
      <c r="J52" s="6">
        <v>46054</v>
      </c>
      <c r="K52" s="10" t="s">
        <v>24</v>
      </c>
      <c r="L52" s="11" t="str">
        <f t="shared" si="0"/>
        <v>NEHA</v>
      </c>
      <c r="M52" s="12" t="str">
        <f t="shared" si="1"/>
        <v>stapler</v>
      </c>
      <c r="N52" s="13">
        <f t="shared" si="2"/>
        <v>7</v>
      </c>
    </row>
    <row r="53" spans="1:14" ht="15" thickBot="1" x14ac:dyDescent="0.4">
      <c r="A53" s="5">
        <v>1366</v>
      </c>
      <c r="B53" s="5" t="s">
        <v>26</v>
      </c>
      <c r="C53" s="5" t="s">
        <v>17</v>
      </c>
      <c r="D53" s="5" t="s">
        <v>34</v>
      </c>
      <c r="E53" s="5" t="s">
        <v>61</v>
      </c>
      <c r="F53" s="5">
        <v>20</v>
      </c>
      <c r="G53" s="5">
        <v>44312</v>
      </c>
      <c r="H53" s="5">
        <v>10</v>
      </c>
      <c r="I53" s="6">
        <v>46047</v>
      </c>
      <c r="J53" s="6">
        <v>46054</v>
      </c>
      <c r="K53" s="10" t="s">
        <v>29</v>
      </c>
      <c r="L53" s="11" t="str">
        <f t="shared" si="0"/>
        <v>VIKRAM</v>
      </c>
      <c r="M53" s="12" t="str">
        <f t="shared" si="1"/>
        <v>mouse</v>
      </c>
      <c r="N53" s="13">
        <f t="shared" si="2"/>
        <v>5</v>
      </c>
    </row>
    <row r="54" spans="1:14" ht="15" thickBot="1" x14ac:dyDescent="0.4">
      <c r="A54" s="5">
        <v>1393</v>
      </c>
      <c r="B54" s="5" t="s">
        <v>30</v>
      </c>
      <c r="C54" s="5" t="s">
        <v>25</v>
      </c>
      <c r="D54" s="5" t="s">
        <v>34</v>
      </c>
      <c r="E54" s="5" t="s">
        <v>45</v>
      </c>
      <c r="F54" s="5">
        <v>17</v>
      </c>
      <c r="G54" s="5">
        <v>30351</v>
      </c>
      <c r="H54" s="5">
        <v>15</v>
      </c>
      <c r="I54" s="6">
        <v>46047</v>
      </c>
      <c r="J54" s="6">
        <v>46051</v>
      </c>
      <c r="K54" s="10" t="s">
        <v>51</v>
      </c>
      <c r="L54" s="11" t="str">
        <f t="shared" si="0"/>
        <v>NEHA</v>
      </c>
      <c r="M54" s="12" t="str">
        <f t="shared" si="1"/>
        <v>monitor</v>
      </c>
      <c r="N54" s="13">
        <f t="shared" si="2"/>
        <v>7</v>
      </c>
    </row>
    <row r="55" spans="1:14" ht="15" thickBot="1" x14ac:dyDescent="0.4">
      <c r="A55" s="5">
        <v>1084</v>
      </c>
      <c r="B55" s="5" t="s">
        <v>49</v>
      </c>
      <c r="C55" s="5" t="s">
        <v>31</v>
      </c>
      <c r="D55" s="5" t="s">
        <v>18</v>
      </c>
      <c r="E55" s="5" t="s">
        <v>28</v>
      </c>
      <c r="F55" s="5">
        <v>4</v>
      </c>
      <c r="G55" s="5">
        <v>6901</v>
      </c>
      <c r="H55" s="5">
        <v>10</v>
      </c>
      <c r="I55" s="6">
        <v>46047</v>
      </c>
      <c r="J55" s="6">
        <v>46057</v>
      </c>
      <c r="K55" s="10" t="s">
        <v>20</v>
      </c>
      <c r="L55" s="11" t="str">
        <f t="shared" si="0"/>
        <v>AJAY</v>
      </c>
      <c r="M55" s="12" t="str">
        <f t="shared" si="1"/>
        <v>chair</v>
      </c>
      <c r="N55" s="13">
        <f t="shared" si="2"/>
        <v>5</v>
      </c>
    </row>
    <row r="56" spans="1:14" ht="15" thickBot="1" x14ac:dyDescent="0.4">
      <c r="A56" s="5">
        <v>1385</v>
      </c>
      <c r="B56" s="5" t="s">
        <v>26</v>
      </c>
      <c r="C56" s="5" t="s">
        <v>33</v>
      </c>
      <c r="D56" s="5" t="s">
        <v>34</v>
      </c>
      <c r="E56" s="5" t="s">
        <v>39</v>
      </c>
      <c r="F56" s="5">
        <v>12</v>
      </c>
      <c r="G56" s="5">
        <v>61360</v>
      </c>
      <c r="H56" s="5">
        <v>10</v>
      </c>
      <c r="I56" s="6">
        <v>46048</v>
      </c>
      <c r="J56" s="6">
        <v>46053</v>
      </c>
      <c r="K56" s="10" t="s">
        <v>51</v>
      </c>
      <c r="L56" s="11" t="str">
        <f t="shared" si="0"/>
        <v>VIKRAM</v>
      </c>
      <c r="M56" s="12" t="str">
        <f t="shared" si="1"/>
        <v>keyboard</v>
      </c>
      <c r="N56" s="13">
        <f t="shared" si="2"/>
        <v>8</v>
      </c>
    </row>
    <row r="57" spans="1:14" ht="15" thickBot="1" x14ac:dyDescent="0.4">
      <c r="A57" s="5">
        <v>1176</v>
      </c>
      <c r="B57" s="5" t="s">
        <v>58</v>
      </c>
      <c r="C57" s="5" t="s">
        <v>38</v>
      </c>
      <c r="D57" s="5" t="s">
        <v>34</v>
      </c>
      <c r="E57" s="5" t="s">
        <v>41</v>
      </c>
      <c r="F57" s="5">
        <v>17</v>
      </c>
      <c r="G57" s="5">
        <v>46937</v>
      </c>
      <c r="H57" s="5">
        <v>12</v>
      </c>
      <c r="I57" s="6">
        <v>46048</v>
      </c>
      <c r="J57" s="6">
        <v>46056</v>
      </c>
      <c r="K57" s="10" t="s">
        <v>29</v>
      </c>
      <c r="L57" s="11" t="str">
        <f t="shared" si="0"/>
        <v>ROHAN</v>
      </c>
      <c r="M57" s="12" t="str">
        <f t="shared" si="1"/>
        <v>headset</v>
      </c>
      <c r="N57" s="13">
        <f t="shared" si="2"/>
        <v>7</v>
      </c>
    </row>
    <row r="58" spans="1:14" ht="15" thickBot="1" x14ac:dyDescent="0.4">
      <c r="A58" s="5">
        <v>1307</v>
      </c>
      <c r="B58" s="5" t="s">
        <v>57</v>
      </c>
      <c r="C58" s="5" t="s">
        <v>43</v>
      </c>
      <c r="D58" s="5" t="s">
        <v>34</v>
      </c>
      <c r="E58" s="5" t="s">
        <v>35</v>
      </c>
      <c r="F58" s="5">
        <v>18</v>
      </c>
      <c r="G58" s="5">
        <v>7541</v>
      </c>
      <c r="H58" s="5">
        <v>12</v>
      </c>
      <c r="I58" s="6">
        <v>46048</v>
      </c>
      <c r="J58" s="6">
        <v>46051</v>
      </c>
      <c r="K58" s="10" t="s">
        <v>51</v>
      </c>
      <c r="L58" s="11" t="str">
        <f t="shared" si="0"/>
        <v>SARA</v>
      </c>
      <c r="M58" s="12" t="str">
        <f t="shared" si="1"/>
        <v>printer</v>
      </c>
      <c r="N58" s="13">
        <f t="shared" si="2"/>
        <v>7</v>
      </c>
    </row>
    <row r="59" spans="1:14" ht="15" thickBot="1" x14ac:dyDescent="0.4">
      <c r="A59" s="5">
        <v>1348</v>
      </c>
      <c r="B59" s="5" t="s">
        <v>11</v>
      </c>
      <c r="C59" s="5" t="s">
        <v>33</v>
      </c>
      <c r="D59" s="5" t="s">
        <v>13</v>
      </c>
      <c r="E59" s="5" t="s">
        <v>50</v>
      </c>
      <c r="F59" s="5">
        <v>12</v>
      </c>
      <c r="G59" s="5">
        <v>244</v>
      </c>
      <c r="H59" s="5">
        <v>7</v>
      </c>
      <c r="I59" s="6">
        <v>46048</v>
      </c>
      <c r="J59" s="6">
        <v>46053</v>
      </c>
      <c r="K59" s="10" t="s">
        <v>15</v>
      </c>
      <c r="L59" s="11" t="str">
        <f t="shared" si="0"/>
        <v>RITESH</v>
      </c>
      <c r="M59" s="12" t="str">
        <f t="shared" si="1"/>
        <v>marker</v>
      </c>
      <c r="N59" s="13">
        <f t="shared" si="2"/>
        <v>6</v>
      </c>
    </row>
    <row r="60" spans="1:14" ht="15" thickBot="1" x14ac:dyDescent="0.4">
      <c r="A60" s="5">
        <v>1092</v>
      </c>
      <c r="B60" s="5" t="s">
        <v>21</v>
      </c>
      <c r="C60" s="5" t="s">
        <v>22</v>
      </c>
      <c r="D60" s="5" t="s">
        <v>34</v>
      </c>
      <c r="E60" s="5" t="s">
        <v>41</v>
      </c>
      <c r="F60" s="5">
        <v>9</v>
      </c>
      <c r="G60" s="5">
        <v>23438</v>
      </c>
      <c r="H60" s="5">
        <v>2</v>
      </c>
      <c r="I60" s="6">
        <v>46049</v>
      </c>
      <c r="J60" s="6">
        <v>46055</v>
      </c>
      <c r="K60" s="10" t="s">
        <v>29</v>
      </c>
      <c r="L60" s="11" t="str">
        <f t="shared" si="0"/>
        <v>MEERA</v>
      </c>
      <c r="M60" s="12" t="str">
        <f t="shared" si="1"/>
        <v>headset</v>
      </c>
      <c r="N60" s="13">
        <f t="shared" si="2"/>
        <v>7</v>
      </c>
    </row>
    <row r="61" spans="1:14" ht="15" thickBot="1" x14ac:dyDescent="0.4">
      <c r="A61" s="5">
        <v>1116</v>
      </c>
      <c r="B61" s="5" t="s">
        <v>16</v>
      </c>
      <c r="C61" s="5" t="s">
        <v>25</v>
      </c>
      <c r="D61" s="5" t="s">
        <v>18</v>
      </c>
      <c r="E61" s="5" t="s">
        <v>56</v>
      </c>
      <c r="F61" s="5">
        <v>2</v>
      </c>
      <c r="G61" s="5">
        <v>12692</v>
      </c>
      <c r="H61" s="5">
        <v>15</v>
      </c>
      <c r="I61" s="6">
        <v>46049</v>
      </c>
      <c r="J61" s="6">
        <v>46051</v>
      </c>
      <c r="K61" s="10" t="s">
        <v>15</v>
      </c>
      <c r="L61" s="11" t="str">
        <f t="shared" si="0"/>
        <v>POOJA</v>
      </c>
      <c r="M61" s="12" t="str">
        <f t="shared" si="1"/>
        <v>cabinet</v>
      </c>
      <c r="N61" s="13">
        <f t="shared" si="2"/>
        <v>7</v>
      </c>
    </row>
    <row r="62" spans="1:14" ht="15" thickBot="1" x14ac:dyDescent="0.4">
      <c r="A62" s="5">
        <v>1230</v>
      </c>
      <c r="B62" s="5" t="s">
        <v>59</v>
      </c>
      <c r="C62" s="5" t="s">
        <v>33</v>
      </c>
      <c r="D62" s="5" t="s">
        <v>34</v>
      </c>
      <c r="E62" s="5" t="s">
        <v>60</v>
      </c>
      <c r="F62" s="5">
        <v>7</v>
      </c>
      <c r="G62" s="5">
        <v>2932</v>
      </c>
      <c r="H62" s="5">
        <v>7</v>
      </c>
      <c r="I62" s="6">
        <v>46050</v>
      </c>
      <c r="J62" s="6">
        <v>46059</v>
      </c>
      <c r="K62" s="10" t="s">
        <v>24</v>
      </c>
      <c r="L62" s="11" t="str">
        <f t="shared" si="0"/>
        <v>ANITA</v>
      </c>
      <c r="M62" s="12" t="str">
        <f t="shared" si="1"/>
        <v>laptop</v>
      </c>
      <c r="N62" s="13">
        <f t="shared" si="2"/>
        <v>6</v>
      </c>
    </row>
    <row r="63" spans="1:14" ht="15" thickBot="1" x14ac:dyDescent="0.4">
      <c r="A63" s="5">
        <v>1173</v>
      </c>
      <c r="B63" s="5" t="s">
        <v>40</v>
      </c>
      <c r="C63" s="5" t="s">
        <v>17</v>
      </c>
      <c r="D63" s="5" t="s">
        <v>13</v>
      </c>
      <c r="E63" s="5" t="s">
        <v>37</v>
      </c>
      <c r="F63" s="5">
        <v>15</v>
      </c>
      <c r="G63" s="5">
        <v>214</v>
      </c>
      <c r="H63" s="5">
        <v>10</v>
      </c>
      <c r="I63" s="6">
        <v>46050</v>
      </c>
      <c r="J63" s="6">
        <v>46060</v>
      </c>
      <c r="K63" s="10" t="s">
        <v>51</v>
      </c>
      <c r="L63" s="11" t="str">
        <f t="shared" si="0"/>
        <v>DEEPAK</v>
      </c>
      <c r="M63" s="12" t="str">
        <f t="shared" si="1"/>
        <v>pen pack</v>
      </c>
      <c r="N63" s="13">
        <f t="shared" si="2"/>
        <v>8</v>
      </c>
    </row>
    <row r="64" spans="1:14" ht="15" thickBot="1" x14ac:dyDescent="0.4">
      <c r="A64" s="5">
        <v>1250</v>
      </c>
      <c r="B64" s="5" t="s">
        <v>11</v>
      </c>
      <c r="C64" s="5" t="s">
        <v>17</v>
      </c>
      <c r="D64" s="5" t="s">
        <v>34</v>
      </c>
      <c r="E64" s="5" t="s">
        <v>45</v>
      </c>
      <c r="F64" s="5">
        <v>2</v>
      </c>
      <c r="G64" s="5">
        <v>65953</v>
      </c>
      <c r="H64" s="5">
        <v>7</v>
      </c>
      <c r="I64" s="6">
        <v>46051</v>
      </c>
      <c r="J64" s="6">
        <v>46053</v>
      </c>
      <c r="K64" s="10" t="s">
        <v>29</v>
      </c>
      <c r="L64" s="11" t="str">
        <f t="shared" si="0"/>
        <v>RITESH</v>
      </c>
      <c r="M64" s="12" t="str">
        <f t="shared" si="1"/>
        <v>monitor</v>
      </c>
      <c r="N64" s="13">
        <f t="shared" si="2"/>
        <v>7</v>
      </c>
    </row>
    <row r="65" spans="1:14" ht="15" thickBot="1" x14ac:dyDescent="0.4">
      <c r="A65" s="5">
        <v>1375</v>
      </c>
      <c r="B65" s="5" t="s">
        <v>46</v>
      </c>
      <c r="C65" s="5" t="s">
        <v>43</v>
      </c>
      <c r="D65" s="5" t="s">
        <v>34</v>
      </c>
      <c r="E65" s="5" t="s">
        <v>45</v>
      </c>
      <c r="F65" s="5">
        <v>20</v>
      </c>
      <c r="G65" s="5">
        <v>56766</v>
      </c>
      <c r="H65" s="5">
        <v>0</v>
      </c>
      <c r="I65" s="6">
        <v>46052</v>
      </c>
      <c r="J65" s="6">
        <v>46061</v>
      </c>
      <c r="K65" s="10" t="s">
        <v>24</v>
      </c>
      <c r="L65" s="11" t="str">
        <f t="shared" si="0"/>
        <v>KIRAN</v>
      </c>
      <c r="M65" s="12" t="str">
        <f t="shared" si="1"/>
        <v>monitor</v>
      </c>
      <c r="N65" s="13">
        <f t="shared" si="2"/>
        <v>7</v>
      </c>
    </row>
    <row r="66" spans="1:14" ht="15" thickBot="1" x14ac:dyDescent="0.4">
      <c r="A66" s="5">
        <v>1190</v>
      </c>
      <c r="B66" s="5" t="s">
        <v>57</v>
      </c>
      <c r="C66" s="5" t="s">
        <v>17</v>
      </c>
      <c r="D66" s="5" t="s">
        <v>18</v>
      </c>
      <c r="E66" s="5" t="s">
        <v>28</v>
      </c>
      <c r="F66" s="5">
        <v>4</v>
      </c>
      <c r="G66" s="5">
        <v>10154</v>
      </c>
      <c r="H66" s="5">
        <v>7</v>
      </c>
      <c r="I66" s="6">
        <v>46052</v>
      </c>
      <c r="J66" s="6">
        <v>46062</v>
      </c>
      <c r="K66" s="10" t="s">
        <v>20</v>
      </c>
      <c r="L66" s="11" t="str">
        <f t="shared" si="0"/>
        <v>SARA</v>
      </c>
      <c r="M66" s="12" t="str">
        <f t="shared" si="1"/>
        <v>chair</v>
      </c>
      <c r="N66" s="13">
        <f t="shared" si="2"/>
        <v>5</v>
      </c>
    </row>
    <row r="67" spans="1:14" ht="15" thickBot="1" x14ac:dyDescent="0.4">
      <c r="A67" s="5">
        <v>1034</v>
      </c>
      <c r="B67" s="5" t="s">
        <v>55</v>
      </c>
      <c r="C67" s="5" t="s">
        <v>33</v>
      </c>
      <c r="D67" s="5" t="s">
        <v>18</v>
      </c>
      <c r="E67" s="5" t="s">
        <v>28</v>
      </c>
      <c r="F67" s="5">
        <v>17</v>
      </c>
      <c r="G67" s="5">
        <v>5104</v>
      </c>
      <c r="H67" s="5">
        <v>12</v>
      </c>
      <c r="I67" s="6">
        <v>46052</v>
      </c>
      <c r="J67" s="6">
        <v>46061</v>
      </c>
      <c r="K67" s="10" t="s">
        <v>51</v>
      </c>
      <c r="L67" s="11" t="str">
        <f t="shared" ref="L67:L130" si="3">UPPER(B67)</f>
        <v>SNEHA</v>
      </c>
      <c r="M67" s="12" t="str">
        <f t="shared" ref="M67:M130" si="4">LOWER(E67)</f>
        <v>chair</v>
      </c>
      <c r="N67" s="13">
        <f t="shared" ref="N67:N130" si="5">LEN(E67)</f>
        <v>5</v>
      </c>
    </row>
    <row r="68" spans="1:14" ht="15" thickBot="1" x14ac:dyDescent="0.4">
      <c r="A68" s="5">
        <v>1210</v>
      </c>
      <c r="B68" s="5" t="s">
        <v>30</v>
      </c>
      <c r="C68" s="5" t="s">
        <v>31</v>
      </c>
      <c r="D68" s="5" t="s">
        <v>13</v>
      </c>
      <c r="E68" s="5" t="s">
        <v>53</v>
      </c>
      <c r="F68" s="5">
        <v>10</v>
      </c>
      <c r="G68" s="5">
        <v>349</v>
      </c>
      <c r="H68" s="5">
        <v>0</v>
      </c>
      <c r="I68" s="6">
        <v>46052</v>
      </c>
      <c r="J68" s="6">
        <v>46060</v>
      </c>
      <c r="K68" s="10" t="s">
        <v>29</v>
      </c>
      <c r="L68" s="11" t="str">
        <f t="shared" si="3"/>
        <v>NEHA</v>
      </c>
      <c r="M68" s="12" t="str">
        <f t="shared" si="4"/>
        <v>diary</v>
      </c>
      <c r="N68" s="13">
        <f t="shared" si="5"/>
        <v>5</v>
      </c>
    </row>
    <row r="69" spans="1:14" ht="15" thickBot="1" x14ac:dyDescent="0.4">
      <c r="A69" s="5">
        <v>1149</v>
      </c>
      <c r="B69" s="5" t="s">
        <v>26</v>
      </c>
      <c r="C69" s="5" t="s">
        <v>38</v>
      </c>
      <c r="D69" s="5" t="s">
        <v>34</v>
      </c>
      <c r="E69" s="5" t="s">
        <v>35</v>
      </c>
      <c r="F69" s="5">
        <v>10</v>
      </c>
      <c r="G69" s="5">
        <v>22853</v>
      </c>
      <c r="H69" s="5">
        <v>7</v>
      </c>
      <c r="I69" s="6">
        <v>46053</v>
      </c>
      <c r="J69" s="6">
        <v>46054</v>
      </c>
      <c r="K69" s="10" t="s">
        <v>29</v>
      </c>
      <c r="L69" s="11" t="str">
        <f t="shared" si="3"/>
        <v>VIKRAM</v>
      </c>
      <c r="M69" s="12" t="str">
        <f t="shared" si="4"/>
        <v>printer</v>
      </c>
      <c r="N69" s="13">
        <f t="shared" si="5"/>
        <v>7</v>
      </c>
    </row>
    <row r="70" spans="1:14" ht="15" thickBot="1" x14ac:dyDescent="0.4">
      <c r="A70" s="5">
        <v>1324</v>
      </c>
      <c r="B70" s="5" t="s">
        <v>32</v>
      </c>
      <c r="C70" s="5" t="s">
        <v>22</v>
      </c>
      <c r="D70" s="5" t="s">
        <v>18</v>
      </c>
      <c r="E70" s="5" t="s">
        <v>19</v>
      </c>
      <c r="F70" s="5">
        <v>1</v>
      </c>
      <c r="G70" s="5">
        <v>4286</v>
      </c>
      <c r="H70" s="5">
        <v>15</v>
      </c>
      <c r="I70" s="6">
        <v>46053</v>
      </c>
      <c r="J70" s="6">
        <v>46056</v>
      </c>
      <c r="K70" s="10" t="s">
        <v>20</v>
      </c>
      <c r="L70" s="11" t="str">
        <f t="shared" si="3"/>
        <v>ASHA</v>
      </c>
      <c r="M70" s="12" t="str">
        <f t="shared" si="4"/>
        <v>desk</v>
      </c>
      <c r="N70" s="13">
        <f t="shared" si="5"/>
        <v>4</v>
      </c>
    </row>
    <row r="71" spans="1:14" ht="15" thickBot="1" x14ac:dyDescent="0.4">
      <c r="A71" s="5">
        <v>1096</v>
      </c>
      <c r="B71" s="5" t="s">
        <v>49</v>
      </c>
      <c r="C71" s="5" t="s">
        <v>17</v>
      </c>
      <c r="D71" s="5" t="s">
        <v>18</v>
      </c>
      <c r="E71" s="5" t="s">
        <v>23</v>
      </c>
      <c r="F71" s="5">
        <v>15</v>
      </c>
      <c r="G71" s="5">
        <v>14724</v>
      </c>
      <c r="H71" s="5">
        <v>15</v>
      </c>
      <c r="I71" s="6">
        <v>46054</v>
      </c>
      <c r="J71" s="6">
        <v>46061</v>
      </c>
      <c r="K71" s="10" t="s">
        <v>20</v>
      </c>
      <c r="L71" s="11" t="str">
        <f t="shared" si="3"/>
        <v>AJAY</v>
      </c>
      <c r="M71" s="12" t="str">
        <f t="shared" si="4"/>
        <v>table</v>
      </c>
      <c r="N71" s="13">
        <f t="shared" si="5"/>
        <v>5</v>
      </c>
    </row>
    <row r="72" spans="1:14" ht="15" thickBot="1" x14ac:dyDescent="0.4">
      <c r="A72" s="5">
        <v>1006</v>
      </c>
      <c r="B72" s="5" t="s">
        <v>27</v>
      </c>
      <c r="C72" s="5" t="s">
        <v>25</v>
      </c>
      <c r="D72" s="5" t="s">
        <v>18</v>
      </c>
      <c r="E72" s="5" t="s">
        <v>28</v>
      </c>
      <c r="F72" s="5">
        <v>3</v>
      </c>
      <c r="G72" s="5">
        <v>2714</v>
      </c>
      <c r="H72" s="5">
        <v>5</v>
      </c>
      <c r="I72" s="6">
        <v>46055</v>
      </c>
      <c r="J72" s="6">
        <v>46062</v>
      </c>
      <c r="K72" s="10" t="s">
        <v>29</v>
      </c>
      <c r="L72" s="11" t="str">
        <f t="shared" si="3"/>
        <v>ARJUN</v>
      </c>
      <c r="M72" s="12" t="str">
        <f t="shared" si="4"/>
        <v>chair</v>
      </c>
      <c r="N72" s="13">
        <f t="shared" si="5"/>
        <v>5</v>
      </c>
    </row>
    <row r="73" spans="1:14" ht="15" thickBot="1" x14ac:dyDescent="0.4">
      <c r="A73" s="5">
        <v>1285</v>
      </c>
      <c r="B73" s="5" t="s">
        <v>32</v>
      </c>
      <c r="C73" s="5" t="s">
        <v>38</v>
      </c>
      <c r="D73" s="5" t="s">
        <v>13</v>
      </c>
      <c r="E73" s="5" t="s">
        <v>36</v>
      </c>
      <c r="F73" s="5">
        <v>7</v>
      </c>
      <c r="G73" s="5">
        <v>439</v>
      </c>
      <c r="H73" s="5">
        <v>15</v>
      </c>
      <c r="I73" s="6">
        <v>46055</v>
      </c>
      <c r="J73" s="6">
        <v>46058</v>
      </c>
      <c r="K73" s="10" t="s">
        <v>20</v>
      </c>
      <c r="L73" s="11" t="str">
        <f t="shared" si="3"/>
        <v>ASHA</v>
      </c>
      <c r="M73" s="12" t="str">
        <f t="shared" si="4"/>
        <v>stapler</v>
      </c>
      <c r="N73" s="13">
        <f t="shared" si="5"/>
        <v>7</v>
      </c>
    </row>
    <row r="74" spans="1:14" ht="15" thickBot="1" x14ac:dyDescent="0.4">
      <c r="A74" s="5">
        <v>1281</v>
      </c>
      <c r="B74" s="5" t="s">
        <v>55</v>
      </c>
      <c r="C74" s="5" t="s">
        <v>17</v>
      </c>
      <c r="D74" s="5" t="s">
        <v>13</v>
      </c>
      <c r="E74" s="5" t="s">
        <v>50</v>
      </c>
      <c r="F74" s="5">
        <v>6</v>
      </c>
      <c r="G74" s="5">
        <v>253</v>
      </c>
      <c r="H74" s="5">
        <v>0</v>
      </c>
      <c r="I74" s="6">
        <v>46055</v>
      </c>
      <c r="J74" s="6">
        <v>46063</v>
      </c>
      <c r="K74" s="10" t="s">
        <v>24</v>
      </c>
      <c r="L74" s="11" t="str">
        <f t="shared" si="3"/>
        <v>SNEHA</v>
      </c>
      <c r="M74" s="12" t="str">
        <f t="shared" si="4"/>
        <v>marker</v>
      </c>
      <c r="N74" s="13">
        <f t="shared" si="5"/>
        <v>6</v>
      </c>
    </row>
    <row r="75" spans="1:14" ht="15" thickBot="1" x14ac:dyDescent="0.4">
      <c r="A75" s="5">
        <v>1136</v>
      </c>
      <c r="B75" s="5" t="s">
        <v>27</v>
      </c>
      <c r="C75" s="5" t="s">
        <v>43</v>
      </c>
      <c r="D75" s="5" t="s">
        <v>18</v>
      </c>
      <c r="E75" s="5" t="s">
        <v>56</v>
      </c>
      <c r="F75" s="5">
        <v>19</v>
      </c>
      <c r="G75" s="5">
        <v>14528</v>
      </c>
      <c r="H75" s="5">
        <v>12</v>
      </c>
      <c r="I75" s="6">
        <v>46056</v>
      </c>
      <c r="J75" s="6">
        <v>46062</v>
      </c>
      <c r="K75" s="10" t="s">
        <v>24</v>
      </c>
      <c r="L75" s="11" t="str">
        <f t="shared" si="3"/>
        <v>ARJUN</v>
      </c>
      <c r="M75" s="12" t="str">
        <f t="shared" si="4"/>
        <v>cabinet</v>
      </c>
      <c r="N75" s="13">
        <f t="shared" si="5"/>
        <v>7</v>
      </c>
    </row>
    <row r="76" spans="1:14" ht="15" thickBot="1" x14ac:dyDescent="0.4">
      <c r="A76" s="5">
        <v>1394</v>
      </c>
      <c r="B76" s="5" t="s">
        <v>54</v>
      </c>
      <c r="C76" s="5" t="s">
        <v>12</v>
      </c>
      <c r="D76" s="5" t="s">
        <v>13</v>
      </c>
      <c r="E76" s="5" t="s">
        <v>14</v>
      </c>
      <c r="F76" s="5">
        <v>10</v>
      </c>
      <c r="G76" s="5">
        <v>138</v>
      </c>
      <c r="H76" s="5">
        <v>2</v>
      </c>
      <c r="I76" s="6">
        <v>46056</v>
      </c>
      <c r="J76" s="6">
        <v>46057</v>
      </c>
      <c r="K76" s="10" t="s">
        <v>15</v>
      </c>
      <c r="L76" s="11" t="str">
        <f t="shared" si="3"/>
        <v>MANOJ</v>
      </c>
      <c r="M76" s="12" t="str">
        <f t="shared" si="4"/>
        <v>notebook</v>
      </c>
      <c r="N76" s="13">
        <f t="shared" si="5"/>
        <v>8</v>
      </c>
    </row>
    <row r="77" spans="1:14" ht="15" thickBot="1" x14ac:dyDescent="0.4">
      <c r="A77" s="5">
        <v>1105</v>
      </c>
      <c r="B77" s="5" t="s">
        <v>59</v>
      </c>
      <c r="C77" s="5" t="s">
        <v>25</v>
      </c>
      <c r="D77" s="5" t="s">
        <v>13</v>
      </c>
      <c r="E77" s="5" t="s">
        <v>50</v>
      </c>
      <c r="F77" s="5">
        <v>2</v>
      </c>
      <c r="G77" s="5">
        <v>493</v>
      </c>
      <c r="H77" s="5">
        <v>12</v>
      </c>
      <c r="I77" s="6">
        <v>46057</v>
      </c>
      <c r="J77" s="6">
        <v>46066</v>
      </c>
      <c r="K77" s="10" t="s">
        <v>51</v>
      </c>
      <c r="L77" s="11" t="str">
        <f t="shared" si="3"/>
        <v>ANITA</v>
      </c>
      <c r="M77" s="12" t="str">
        <f t="shared" si="4"/>
        <v>marker</v>
      </c>
      <c r="N77" s="13">
        <f t="shared" si="5"/>
        <v>6</v>
      </c>
    </row>
    <row r="78" spans="1:14" ht="15" thickBot="1" x14ac:dyDescent="0.4">
      <c r="A78" s="5">
        <v>1256</v>
      </c>
      <c r="B78" s="5" t="s">
        <v>48</v>
      </c>
      <c r="C78" s="5" t="s">
        <v>31</v>
      </c>
      <c r="D78" s="5" t="s">
        <v>13</v>
      </c>
      <c r="E78" s="5" t="s">
        <v>50</v>
      </c>
      <c r="F78" s="5">
        <v>19</v>
      </c>
      <c r="G78" s="5">
        <v>406</v>
      </c>
      <c r="H78" s="5">
        <v>7</v>
      </c>
      <c r="I78" s="6">
        <v>46057</v>
      </c>
      <c r="J78" s="6">
        <v>46061</v>
      </c>
      <c r="K78" s="10" t="s">
        <v>15</v>
      </c>
      <c r="L78" s="11" t="str">
        <f t="shared" si="3"/>
        <v>NITIN</v>
      </c>
      <c r="M78" s="12" t="str">
        <f t="shared" si="4"/>
        <v>marker</v>
      </c>
      <c r="N78" s="13">
        <f t="shared" si="5"/>
        <v>6</v>
      </c>
    </row>
    <row r="79" spans="1:14" ht="15" thickBot="1" x14ac:dyDescent="0.4">
      <c r="A79" s="5">
        <v>1081</v>
      </c>
      <c r="B79" s="5" t="s">
        <v>47</v>
      </c>
      <c r="C79" s="5" t="s">
        <v>12</v>
      </c>
      <c r="D79" s="5" t="s">
        <v>34</v>
      </c>
      <c r="E79" s="5" t="s">
        <v>35</v>
      </c>
      <c r="F79" s="5">
        <v>15</v>
      </c>
      <c r="G79" s="5">
        <v>59912</v>
      </c>
      <c r="H79" s="5">
        <v>7</v>
      </c>
      <c r="I79" s="6">
        <v>46058</v>
      </c>
      <c r="J79" s="6">
        <v>46060</v>
      </c>
      <c r="K79" s="10" t="s">
        <v>51</v>
      </c>
      <c r="L79" s="11" t="str">
        <f t="shared" si="3"/>
        <v>YASH</v>
      </c>
      <c r="M79" s="12" t="str">
        <f t="shared" si="4"/>
        <v>printer</v>
      </c>
      <c r="N79" s="13">
        <f t="shared" si="5"/>
        <v>7</v>
      </c>
    </row>
    <row r="80" spans="1:14" ht="15" thickBot="1" x14ac:dyDescent="0.4">
      <c r="A80" s="5">
        <v>1067</v>
      </c>
      <c r="B80" s="5" t="s">
        <v>32</v>
      </c>
      <c r="C80" s="5" t="s">
        <v>43</v>
      </c>
      <c r="D80" s="5" t="s">
        <v>18</v>
      </c>
      <c r="E80" s="5" t="s">
        <v>56</v>
      </c>
      <c r="F80" s="5">
        <v>14</v>
      </c>
      <c r="G80" s="5">
        <v>10869</v>
      </c>
      <c r="H80" s="5">
        <v>0</v>
      </c>
      <c r="I80" s="6">
        <v>46058</v>
      </c>
      <c r="J80" s="6">
        <v>46062</v>
      </c>
      <c r="K80" s="10" t="s">
        <v>29</v>
      </c>
      <c r="L80" s="11" t="str">
        <f t="shared" si="3"/>
        <v>ASHA</v>
      </c>
      <c r="M80" s="12" t="str">
        <f t="shared" si="4"/>
        <v>cabinet</v>
      </c>
      <c r="N80" s="13">
        <f t="shared" si="5"/>
        <v>7</v>
      </c>
    </row>
    <row r="81" spans="1:14" ht="15" thickBot="1" x14ac:dyDescent="0.4">
      <c r="A81" s="5">
        <v>1099</v>
      </c>
      <c r="B81" s="5" t="s">
        <v>26</v>
      </c>
      <c r="C81" s="5" t="s">
        <v>31</v>
      </c>
      <c r="D81" s="5" t="s">
        <v>18</v>
      </c>
      <c r="E81" s="5" t="s">
        <v>19</v>
      </c>
      <c r="F81" s="5">
        <v>1</v>
      </c>
      <c r="G81" s="5">
        <v>5165</v>
      </c>
      <c r="H81" s="5">
        <v>2</v>
      </c>
      <c r="I81" s="6">
        <v>46058</v>
      </c>
      <c r="J81" s="6">
        <v>46060</v>
      </c>
      <c r="K81" s="10" t="s">
        <v>15</v>
      </c>
      <c r="L81" s="11" t="str">
        <f t="shared" si="3"/>
        <v>VIKRAM</v>
      </c>
      <c r="M81" s="12" t="str">
        <f t="shared" si="4"/>
        <v>desk</v>
      </c>
      <c r="N81" s="13">
        <f t="shared" si="5"/>
        <v>4</v>
      </c>
    </row>
    <row r="82" spans="1:14" ht="15" thickBot="1" x14ac:dyDescent="0.4">
      <c r="A82" s="5">
        <v>1061</v>
      </c>
      <c r="B82" s="5" t="s">
        <v>57</v>
      </c>
      <c r="C82" s="5" t="s">
        <v>12</v>
      </c>
      <c r="D82" s="5" t="s">
        <v>34</v>
      </c>
      <c r="E82" s="5" t="s">
        <v>41</v>
      </c>
      <c r="F82" s="5">
        <v>16</v>
      </c>
      <c r="G82" s="5">
        <v>59084</v>
      </c>
      <c r="H82" s="5">
        <v>0</v>
      </c>
      <c r="I82" s="6">
        <v>46060</v>
      </c>
      <c r="J82" s="6">
        <v>46069</v>
      </c>
      <c r="K82" s="10" t="s">
        <v>20</v>
      </c>
      <c r="L82" s="11" t="str">
        <f t="shared" si="3"/>
        <v>SARA</v>
      </c>
      <c r="M82" s="12" t="str">
        <f t="shared" si="4"/>
        <v>headset</v>
      </c>
      <c r="N82" s="13">
        <f t="shared" si="5"/>
        <v>7</v>
      </c>
    </row>
    <row r="83" spans="1:14" ht="15" thickBot="1" x14ac:dyDescent="0.4">
      <c r="A83" s="5">
        <v>1232</v>
      </c>
      <c r="B83" s="5" t="s">
        <v>21</v>
      </c>
      <c r="C83" s="5" t="s">
        <v>12</v>
      </c>
      <c r="D83" s="5" t="s">
        <v>34</v>
      </c>
      <c r="E83" s="5" t="s">
        <v>60</v>
      </c>
      <c r="F83" s="5">
        <v>3</v>
      </c>
      <c r="G83" s="5">
        <v>13272</v>
      </c>
      <c r="H83" s="5">
        <v>2</v>
      </c>
      <c r="I83" s="6">
        <v>46060</v>
      </c>
      <c r="J83" s="6">
        <v>46065</v>
      </c>
      <c r="K83" s="10" t="s">
        <v>15</v>
      </c>
      <c r="L83" s="11" t="str">
        <f t="shared" si="3"/>
        <v>MEERA</v>
      </c>
      <c r="M83" s="12" t="str">
        <f t="shared" si="4"/>
        <v>laptop</v>
      </c>
      <c r="N83" s="13">
        <f t="shared" si="5"/>
        <v>6</v>
      </c>
    </row>
    <row r="84" spans="1:14" ht="15" thickBot="1" x14ac:dyDescent="0.4">
      <c r="A84" s="5">
        <v>1104</v>
      </c>
      <c r="B84" s="5" t="s">
        <v>16</v>
      </c>
      <c r="C84" s="5" t="s">
        <v>43</v>
      </c>
      <c r="D84" s="5" t="s">
        <v>18</v>
      </c>
      <c r="E84" s="5" t="s">
        <v>19</v>
      </c>
      <c r="F84" s="5">
        <v>10</v>
      </c>
      <c r="G84" s="5">
        <v>12848</v>
      </c>
      <c r="H84" s="5">
        <v>15</v>
      </c>
      <c r="I84" s="6">
        <v>46060</v>
      </c>
      <c r="J84" s="6">
        <v>46064</v>
      </c>
      <c r="K84" s="10" t="s">
        <v>29</v>
      </c>
      <c r="L84" s="11" t="str">
        <f t="shared" si="3"/>
        <v>POOJA</v>
      </c>
      <c r="M84" s="12" t="str">
        <f t="shared" si="4"/>
        <v>desk</v>
      </c>
      <c r="N84" s="13">
        <f t="shared" si="5"/>
        <v>4</v>
      </c>
    </row>
    <row r="85" spans="1:14" ht="15" thickBot="1" x14ac:dyDescent="0.4">
      <c r="A85" s="5">
        <v>1140</v>
      </c>
      <c r="B85" s="5" t="s">
        <v>57</v>
      </c>
      <c r="C85" s="5" t="s">
        <v>38</v>
      </c>
      <c r="D85" s="5" t="s">
        <v>34</v>
      </c>
      <c r="E85" s="5" t="s">
        <v>41</v>
      </c>
      <c r="F85" s="5">
        <v>5</v>
      </c>
      <c r="G85" s="5">
        <v>68012</v>
      </c>
      <c r="H85" s="5">
        <v>5</v>
      </c>
      <c r="I85" s="6">
        <v>46061</v>
      </c>
      <c r="J85" s="6">
        <v>46065</v>
      </c>
      <c r="K85" s="10" t="s">
        <v>15</v>
      </c>
      <c r="L85" s="11" t="str">
        <f t="shared" si="3"/>
        <v>SARA</v>
      </c>
      <c r="M85" s="12" t="str">
        <f t="shared" si="4"/>
        <v>headset</v>
      </c>
      <c r="N85" s="13">
        <f t="shared" si="5"/>
        <v>7</v>
      </c>
    </row>
    <row r="86" spans="1:14" ht="15" thickBot="1" x14ac:dyDescent="0.4">
      <c r="A86" s="5">
        <v>1120</v>
      </c>
      <c r="B86" s="5" t="s">
        <v>32</v>
      </c>
      <c r="C86" s="5" t="s">
        <v>38</v>
      </c>
      <c r="D86" s="5" t="s">
        <v>13</v>
      </c>
      <c r="E86" s="5" t="s">
        <v>36</v>
      </c>
      <c r="F86" s="5">
        <v>10</v>
      </c>
      <c r="G86" s="5">
        <v>438</v>
      </c>
      <c r="H86" s="5">
        <v>10</v>
      </c>
      <c r="I86" s="6">
        <v>46061</v>
      </c>
      <c r="J86" s="6">
        <v>46065</v>
      </c>
      <c r="K86" s="10" t="s">
        <v>51</v>
      </c>
      <c r="L86" s="11" t="str">
        <f t="shared" si="3"/>
        <v>ASHA</v>
      </c>
      <c r="M86" s="12" t="str">
        <f t="shared" si="4"/>
        <v>stapler</v>
      </c>
      <c r="N86" s="13">
        <f t="shared" si="5"/>
        <v>7</v>
      </c>
    </row>
    <row r="87" spans="1:14" ht="15" thickBot="1" x14ac:dyDescent="0.4">
      <c r="A87" s="5">
        <v>1395</v>
      </c>
      <c r="B87" s="5" t="s">
        <v>54</v>
      </c>
      <c r="C87" s="5" t="s">
        <v>33</v>
      </c>
      <c r="D87" s="5" t="s">
        <v>18</v>
      </c>
      <c r="E87" s="5" t="s">
        <v>44</v>
      </c>
      <c r="F87" s="5">
        <v>18</v>
      </c>
      <c r="G87" s="5">
        <v>10402</v>
      </c>
      <c r="H87" s="5">
        <v>15</v>
      </c>
      <c r="I87" s="6">
        <v>46062</v>
      </c>
      <c r="J87" s="6">
        <v>46067</v>
      </c>
      <c r="K87" s="10" t="s">
        <v>29</v>
      </c>
      <c r="L87" s="11" t="str">
        <f t="shared" si="3"/>
        <v>MANOJ</v>
      </c>
      <c r="M87" s="12" t="str">
        <f t="shared" si="4"/>
        <v>bookshelf</v>
      </c>
      <c r="N87" s="13">
        <f t="shared" si="5"/>
        <v>9</v>
      </c>
    </row>
    <row r="88" spans="1:14" ht="15" thickBot="1" x14ac:dyDescent="0.4">
      <c r="A88" s="5">
        <v>1152</v>
      </c>
      <c r="B88" s="5" t="s">
        <v>27</v>
      </c>
      <c r="C88" s="5" t="s">
        <v>31</v>
      </c>
      <c r="D88" s="5" t="s">
        <v>34</v>
      </c>
      <c r="E88" s="5" t="s">
        <v>61</v>
      </c>
      <c r="F88" s="5">
        <v>14</v>
      </c>
      <c r="G88" s="5">
        <v>8150</v>
      </c>
      <c r="H88" s="5">
        <v>10</v>
      </c>
      <c r="I88" s="6">
        <v>46062</v>
      </c>
      <c r="J88" s="6">
        <v>46070</v>
      </c>
      <c r="K88" s="10" t="s">
        <v>15</v>
      </c>
      <c r="L88" s="11" t="str">
        <f t="shared" si="3"/>
        <v>ARJUN</v>
      </c>
      <c r="M88" s="12" t="str">
        <f t="shared" si="4"/>
        <v>mouse</v>
      </c>
      <c r="N88" s="13">
        <f t="shared" si="5"/>
        <v>5</v>
      </c>
    </row>
    <row r="89" spans="1:14" ht="15" thickBot="1" x14ac:dyDescent="0.4">
      <c r="A89" s="5">
        <v>1369</v>
      </c>
      <c r="B89" s="5" t="s">
        <v>57</v>
      </c>
      <c r="C89" s="5" t="s">
        <v>25</v>
      </c>
      <c r="D89" s="5" t="s">
        <v>18</v>
      </c>
      <c r="E89" s="5" t="s">
        <v>19</v>
      </c>
      <c r="F89" s="5">
        <v>19</v>
      </c>
      <c r="G89" s="5">
        <v>5840</v>
      </c>
      <c r="H89" s="5">
        <v>5</v>
      </c>
      <c r="I89" s="6">
        <v>46062</v>
      </c>
      <c r="J89" s="6">
        <v>46067</v>
      </c>
      <c r="K89" s="10" t="s">
        <v>15</v>
      </c>
      <c r="L89" s="11" t="str">
        <f t="shared" si="3"/>
        <v>SARA</v>
      </c>
      <c r="M89" s="12" t="str">
        <f t="shared" si="4"/>
        <v>desk</v>
      </c>
      <c r="N89" s="13">
        <f t="shared" si="5"/>
        <v>4</v>
      </c>
    </row>
    <row r="90" spans="1:14" ht="15" thickBot="1" x14ac:dyDescent="0.4">
      <c r="A90" s="5">
        <v>1010</v>
      </c>
      <c r="B90" s="5" t="s">
        <v>11</v>
      </c>
      <c r="C90" s="5" t="s">
        <v>17</v>
      </c>
      <c r="D90" s="5" t="s">
        <v>13</v>
      </c>
      <c r="E90" s="5" t="s">
        <v>36</v>
      </c>
      <c r="F90" s="5">
        <v>14</v>
      </c>
      <c r="G90" s="5">
        <v>470</v>
      </c>
      <c r="H90" s="5">
        <v>5</v>
      </c>
      <c r="I90" s="6">
        <v>46062</v>
      </c>
      <c r="J90" s="6">
        <v>46068</v>
      </c>
      <c r="K90" s="10" t="s">
        <v>15</v>
      </c>
      <c r="L90" s="11" t="str">
        <f t="shared" si="3"/>
        <v>RITESH</v>
      </c>
      <c r="M90" s="12" t="str">
        <f t="shared" si="4"/>
        <v>stapler</v>
      </c>
      <c r="N90" s="13">
        <f t="shared" si="5"/>
        <v>7</v>
      </c>
    </row>
    <row r="91" spans="1:14" ht="15" thickBot="1" x14ac:dyDescent="0.4">
      <c r="A91" s="5">
        <v>1374</v>
      </c>
      <c r="B91" s="5" t="s">
        <v>57</v>
      </c>
      <c r="C91" s="5" t="s">
        <v>33</v>
      </c>
      <c r="D91" s="5" t="s">
        <v>34</v>
      </c>
      <c r="E91" s="5" t="s">
        <v>35</v>
      </c>
      <c r="F91" s="5">
        <v>12</v>
      </c>
      <c r="G91" s="5">
        <v>66052</v>
      </c>
      <c r="H91" s="5">
        <v>2</v>
      </c>
      <c r="I91" s="6">
        <v>46063</v>
      </c>
      <c r="J91" s="6">
        <v>46066</v>
      </c>
      <c r="K91" s="10" t="s">
        <v>51</v>
      </c>
      <c r="L91" s="11" t="str">
        <f t="shared" si="3"/>
        <v>SARA</v>
      </c>
      <c r="M91" s="12" t="str">
        <f t="shared" si="4"/>
        <v>printer</v>
      </c>
      <c r="N91" s="13">
        <f t="shared" si="5"/>
        <v>7</v>
      </c>
    </row>
    <row r="92" spans="1:14" ht="15" thickBot="1" x14ac:dyDescent="0.4">
      <c r="A92" s="5">
        <v>1296</v>
      </c>
      <c r="B92" s="5" t="s">
        <v>26</v>
      </c>
      <c r="C92" s="5" t="s">
        <v>38</v>
      </c>
      <c r="D92" s="5" t="s">
        <v>13</v>
      </c>
      <c r="E92" s="5" t="s">
        <v>50</v>
      </c>
      <c r="F92" s="5">
        <v>6</v>
      </c>
      <c r="G92" s="5">
        <v>201</v>
      </c>
      <c r="H92" s="5">
        <v>0</v>
      </c>
      <c r="I92" s="6">
        <v>46063</v>
      </c>
      <c r="J92" s="6">
        <v>46072</v>
      </c>
      <c r="K92" s="10" t="s">
        <v>51</v>
      </c>
      <c r="L92" s="11" t="str">
        <f t="shared" si="3"/>
        <v>VIKRAM</v>
      </c>
      <c r="M92" s="12" t="str">
        <f t="shared" si="4"/>
        <v>marker</v>
      </c>
      <c r="N92" s="13">
        <f t="shared" si="5"/>
        <v>6</v>
      </c>
    </row>
    <row r="93" spans="1:14" ht="15" thickBot="1" x14ac:dyDescent="0.4">
      <c r="A93" s="5">
        <v>1142</v>
      </c>
      <c r="B93" s="5" t="s">
        <v>40</v>
      </c>
      <c r="C93" s="5" t="s">
        <v>25</v>
      </c>
      <c r="D93" s="5" t="s">
        <v>34</v>
      </c>
      <c r="E93" s="5" t="s">
        <v>60</v>
      </c>
      <c r="F93" s="5">
        <v>9</v>
      </c>
      <c r="G93" s="5">
        <v>59788</v>
      </c>
      <c r="H93" s="5">
        <v>7</v>
      </c>
      <c r="I93" s="6">
        <v>46064</v>
      </c>
      <c r="J93" s="6">
        <v>46071</v>
      </c>
      <c r="K93" s="10" t="s">
        <v>29</v>
      </c>
      <c r="L93" s="11" t="str">
        <f t="shared" si="3"/>
        <v>DEEPAK</v>
      </c>
      <c r="M93" s="12" t="str">
        <f t="shared" si="4"/>
        <v>laptop</v>
      </c>
      <c r="N93" s="13">
        <f t="shared" si="5"/>
        <v>6</v>
      </c>
    </row>
    <row r="94" spans="1:14" ht="15" thickBot="1" x14ac:dyDescent="0.4">
      <c r="A94" s="5">
        <v>1053</v>
      </c>
      <c r="B94" s="5" t="s">
        <v>16</v>
      </c>
      <c r="C94" s="5" t="s">
        <v>33</v>
      </c>
      <c r="D94" s="5" t="s">
        <v>18</v>
      </c>
      <c r="E94" s="5" t="s">
        <v>28</v>
      </c>
      <c r="F94" s="5">
        <v>1</v>
      </c>
      <c r="G94" s="5">
        <v>9749</v>
      </c>
      <c r="H94" s="5">
        <v>15</v>
      </c>
      <c r="I94" s="6">
        <v>46064</v>
      </c>
      <c r="J94" s="6">
        <v>46070</v>
      </c>
      <c r="K94" s="10" t="s">
        <v>24</v>
      </c>
      <c r="L94" s="11" t="str">
        <f t="shared" si="3"/>
        <v>POOJA</v>
      </c>
      <c r="M94" s="12" t="str">
        <f t="shared" si="4"/>
        <v>chair</v>
      </c>
      <c r="N94" s="13">
        <f t="shared" si="5"/>
        <v>5</v>
      </c>
    </row>
    <row r="95" spans="1:14" ht="15" thickBot="1" x14ac:dyDescent="0.4">
      <c r="A95" s="5">
        <v>1089</v>
      </c>
      <c r="B95" s="5" t="s">
        <v>46</v>
      </c>
      <c r="C95" s="5" t="s">
        <v>12</v>
      </c>
      <c r="D95" s="5" t="s">
        <v>34</v>
      </c>
      <c r="E95" s="5" t="s">
        <v>35</v>
      </c>
      <c r="F95" s="5">
        <v>10</v>
      </c>
      <c r="G95" s="5">
        <v>17041</v>
      </c>
      <c r="H95" s="5">
        <v>2</v>
      </c>
      <c r="I95" s="6">
        <v>46066</v>
      </c>
      <c r="J95" s="6">
        <v>46071</v>
      </c>
      <c r="K95" s="10" t="s">
        <v>24</v>
      </c>
      <c r="L95" s="11" t="str">
        <f t="shared" si="3"/>
        <v>KIRAN</v>
      </c>
      <c r="M95" s="12" t="str">
        <f t="shared" si="4"/>
        <v>printer</v>
      </c>
      <c r="N95" s="13">
        <f t="shared" si="5"/>
        <v>7</v>
      </c>
    </row>
    <row r="96" spans="1:14" ht="15" thickBot="1" x14ac:dyDescent="0.4">
      <c r="A96" s="5">
        <v>1174</v>
      </c>
      <c r="B96" s="5" t="s">
        <v>58</v>
      </c>
      <c r="C96" s="5" t="s">
        <v>38</v>
      </c>
      <c r="D96" s="5" t="s">
        <v>13</v>
      </c>
      <c r="E96" s="5" t="s">
        <v>14</v>
      </c>
      <c r="F96" s="5">
        <v>13</v>
      </c>
      <c r="G96" s="5">
        <v>155</v>
      </c>
      <c r="H96" s="5">
        <v>2</v>
      </c>
      <c r="I96" s="6">
        <v>46066</v>
      </c>
      <c r="J96" s="6">
        <v>46069</v>
      </c>
      <c r="K96" s="10" t="s">
        <v>24</v>
      </c>
      <c r="L96" s="11" t="str">
        <f t="shared" si="3"/>
        <v>ROHAN</v>
      </c>
      <c r="M96" s="12" t="str">
        <f t="shared" si="4"/>
        <v>notebook</v>
      </c>
      <c r="N96" s="13">
        <f t="shared" si="5"/>
        <v>8</v>
      </c>
    </row>
    <row r="97" spans="1:14" ht="15" thickBot="1" x14ac:dyDescent="0.4">
      <c r="A97" s="5">
        <v>1114</v>
      </c>
      <c r="B97" s="5" t="s">
        <v>16</v>
      </c>
      <c r="C97" s="5" t="s">
        <v>25</v>
      </c>
      <c r="D97" s="5" t="s">
        <v>13</v>
      </c>
      <c r="E97" s="5" t="s">
        <v>50</v>
      </c>
      <c r="F97" s="5">
        <v>13</v>
      </c>
      <c r="G97" s="5">
        <v>32</v>
      </c>
      <c r="H97" s="5">
        <v>15</v>
      </c>
      <c r="I97" s="6">
        <v>46066</v>
      </c>
      <c r="J97" s="6">
        <v>46069</v>
      </c>
      <c r="K97" s="10" t="s">
        <v>15</v>
      </c>
      <c r="L97" s="11" t="str">
        <f t="shared" si="3"/>
        <v>POOJA</v>
      </c>
      <c r="M97" s="12" t="str">
        <f t="shared" si="4"/>
        <v>marker</v>
      </c>
      <c r="N97" s="13">
        <f t="shared" si="5"/>
        <v>6</v>
      </c>
    </row>
    <row r="98" spans="1:14" ht="15" thickBot="1" x14ac:dyDescent="0.4">
      <c r="A98" s="5">
        <v>1057</v>
      </c>
      <c r="B98" s="5" t="s">
        <v>59</v>
      </c>
      <c r="C98" s="5" t="s">
        <v>22</v>
      </c>
      <c r="D98" s="5" t="s">
        <v>18</v>
      </c>
      <c r="E98" s="5" t="s">
        <v>28</v>
      </c>
      <c r="F98" s="5">
        <v>2</v>
      </c>
      <c r="G98" s="5">
        <v>9531</v>
      </c>
      <c r="H98" s="5">
        <v>15</v>
      </c>
      <c r="I98" s="6">
        <v>46067</v>
      </c>
      <c r="J98" s="6">
        <v>46076</v>
      </c>
      <c r="K98" s="10" t="s">
        <v>51</v>
      </c>
      <c r="L98" s="11" t="str">
        <f t="shared" si="3"/>
        <v>ANITA</v>
      </c>
      <c r="M98" s="12" t="str">
        <f t="shared" si="4"/>
        <v>chair</v>
      </c>
      <c r="N98" s="13">
        <f t="shared" si="5"/>
        <v>5</v>
      </c>
    </row>
    <row r="99" spans="1:14" ht="15" thickBot="1" x14ac:dyDescent="0.4">
      <c r="A99" s="5">
        <v>1088</v>
      </c>
      <c r="B99" s="5" t="s">
        <v>40</v>
      </c>
      <c r="C99" s="5" t="s">
        <v>33</v>
      </c>
      <c r="D99" s="5" t="s">
        <v>34</v>
      </c>
      <c r="E99" s="5" t="s">
        <v>41</v>
      </c>
      <c r="F99" s="5">
        <v>20</v>
      </c>
      <c r="G99" s="5">
        <v>41165</v>
      </c>
      <c r="H99" s="5">
        <v>0</v>
      </c>
      <c r="I99" s="6">
        <v>46068</v>
      </c>
      <c r="J99" s="6">
        <v>46069</v>
      </c>
      <c r="K99" s="10" t="s">
        <v>20</v>
      </c>
      <c r="L99" s="11" t="str">
        <f t="shared" si="3"/>
        <v>DEEPAK</v>
      </c>
      <c r="M99" s="12" t="str">
        <f t="shared" si="4"/>
        <v>headset</v>
      </c>
      <c r="N99" s="13">
        <f t="shared" si="5"/>
        <v>7</v>
      </c>
    </row>
    <row r="100" spans="1:14" ht="15" thickBot="1" x14ac:dyDescent="0.4">
      <c r="A100" s="5">
        <v>1243</v>
      </c>
      <c r="B100" s="5" t="s">
        <v>30</v>
      </c>
      <c r="C100" s="5" t="s">
        <v>31</v>
      </c>
      <c r="D100" s="5" t="s">
        <v>34</v>
      </c>
      <c r="E100" s="5" t="s">
        <v>41</v>
      </c>
      <c r="F100" s="5">
        <v>5</v>
      </c>
      <c r="G100" s="5">
        <v>11570</v>
      </c>
      <c r="H100" s="5">
        <v>15</v>
      </c>
      <c r="I100" s="6">
        <v>46069</v>
      </c>
      <c r="J100" s="6">
        <v>46077</v>
      </c>
      <c r="K100" s="10" t="s">
        <v>24</v>
      </c>
      <c r="L100" s="11" t="str">
        <f t="shared" si="3"/>
        <v>NEHA</v>
      </c>
      <c r="M100" s="12" t="str">
        <f t="shared" si="4"/>
        <v>headset</v>
      </c>
      <c r="N100" s="13">
        <f t="shared" si="5"/>
        <v>7</v>
      </c>
    </row>
    <row r="101" spans="1:14" ht="15" thickBot="1" x14ac:dyDescent="0.4">
      <c r="A101" s="5">
        <v>1153</v>
      </c>
      <c r="B101" s="5" t="s">
        <v>42</v>
      </c>
      <c r="C101" s="5" t="s">
        <v>25</v>
      </c>
      <c r="D101" s="5" t="s">
        <v>18</v>
      </c>
      <c r="E101" s="5" t="s">
        <v>23</v>
      </c>
      <c r="F101" s="5">
        <v>19</v>
      </c>
      <c r="G101" s="5">
        <v>10273</v>
      </c>
      <c r="H101" s="5">
        <v>12</v>
      </c>
      <c r="I101" s="6">
        <v>46069</v>
      </c>
      <c r="J101" s="6">
        <v>46072</v>
      </c>
      <c r="K101" s="10" t="s">
        <v>29</v>
      </c>
      <c r="L101" s="11" t="str">
        <f t="shared" si="3"/>
        <v>NISHA</v>
      </c>
      <c r="M101" s="12" t="str">
        <f t="shared" si="4"/>
        <v>table</v>
      </c>
      <c r="N101" s="13">
        <f t="shared" si="5"/>
        <v>5</v>
      </c>
    </row>
    <row r="102" spans="1:14" ht="15" thickBot="1" x14ac:dyDescent="0.4">
      <c r="A102" s="5">
        <v>1365</v>
      </c>
      <c r="B102" s="5" t="s">
        <v>46</v>
      </c>
      <c r="C102" s="5" t="s">
        <v>33</v>
      </c>
      <c r="D102" s="5" t="s">
        <v>13</v>
      </c>
      <c r="E102" s="5" t="s">
        <v>50</v>
      </c>
      <c r="F102" s="5">
        <v>17</v>
      </c>
      <c r="G102" s="5">
        <v>119</v>
      </c>
      <c r="H102" s="5">
        <v>7</v>
      </c>
      <c r="I102" s="6">
        <v>46070</v>
      </c>
      <c r="J102" s="6">
        <v>46072</v>
      </c>
      <c r="K102" s="10" t="s">
        <v>20</v>
      </c>
      <c r="L102" s="11" t="str">
        <f t="shared" si="3"/>
        <v>KIRAN</v>
      </c>
      <c r="M102" s="12" t="str">
        <f t="shared" si="4"/>
        <v>marker</v>
      </c>
      <c r="N102" s="13">
        <f t="shared" si="5"/>
        <v>6</v>
      </c>
    </row>
    <row r="103" spans="1:14" ht="15" thickBot="1" x14ac:dyDescent="0.4">
      <c r="A103" s="5">
        <v>1036</v>
      </c>
      <c r="B103" s="5" t="s">
        <v>11</v>
      </c>
      <c r="C103" s="5" t="s">
        <v>25</v>
      </c>
      <c r="D103" s="5" t="s">
        <v>13</v>
      </c>
      <c r="E103" s="5" t="s">
        <v>36</v>
      </c>
      <c r="F103" s="5">
        <v>20</v>
      </c>
      <c r="G103" s="5">
        <v>161</v>
      </c>
      <c r="H103" s="5">
        <v>7</v>
      </c>
      <c r="I103" s="6">
        <v>46071</v>
      </c>
      <c r="J103" s="6">
        <v>46077</v>
      </c>
      <c r="K103" s="10" t="s">
        <v>24</v>
      </c>
      <c r="L103" s="11" t="str">
        <f t="shared" si="3"/>
        <v>RITESH</v>
      </c>
      <c r="M103" s="12" t="str">
        <f t="shared" si="4"/>
        <v>stapler</v>
      </c>
      <c r="N103" s="13">
        <f t="shared" si="5"/>
        <v>7</v>
      </c>
    </row>
    <row r="104" spans="1:14" ht="15" thickBot="1" x14ac:dyDescent="0.4">
      <c r="A104" s="5">
        <v>1371</v>
      </c>
      <c r="B104" s="5" t="s">
        <v>48</v>
      </c>
      <c r="C104" s="5" t="s">
        <v>38</v>
      </c>
      <c r="D104" s="5" t="s">
        <v>18</v>
      </c>
      <c r="E104" s="5" t="s">
        <v>19</v>
      </c>
      <c r="F104" s="5">
        <v>19</v>
      </c>
      <c r="G104" s="5">
        <v>1087</v>
      </c>
      <c r="H104" s="5">
        <v>15</v>
      </c>
      <c r="I104" s="6">
        <v>46072</v>
      </c>
      <c r="J104" s="6">
        <v>46082</v>
      </c>
      <c r="K104" s="10" t="s">
        <v>20</v>
      </c>
      <c r="L104" s="11" t="str">
        <f t="shared" si="3"/>
        <v>NITIN</v>
      </c>
      <c r="M104" s="12" t="str">
        <f t="shared" si="4"/>
        <v>desk</v>
      </c>
      <c r="N104" s="13">
        <f t="shared" si="5"/>
        <v>4</v>
      </c>
    </row>
    <row r="105" spans="1:14" ht="15" thickBot="1" x14ac:dyDescent="0.4">
      <c r="A105" s="5">
        <v>1323</v>
      </c>
      <c r="B105" s="5" t="s">
        <v>57</v>
      </c>
      <c r="C105" s="5" t="s">
        <v>38</v>
      </c>
      <c r="D105" s="5" t="s">
        <v>34</v>
      </c>
      <c r="E105" s="5" t="s">
        <v>61</v>
      </c>
      <c r="F105" s="5">
        <v>2</v>
      </c>
      <c r="G105" s="5">
        <v>32074</v>
      </c>
      <c r="H105" s="5">
        <v>10</v>
      </c>
      <c r="I105" s="6">
        <v>46073</v>
      </c>
      <c r="J105" s="6">
        <v>46078</v>
      </c>
      <c r="K105" s="10" t="s">
        <v>15</v>
      </c>
      <c r="L105" s="11" t="str">
        <f t="shared" si="3"/>
        <v>SARA</v>
      </c>
      <c r="M105" s="12" t="str">
        <f t="shared" si="4"/>
        <v>mouse</v>
      </c>
      <c r="N105" s="13">
        <f t="shared" si="5"/>
        <v>5</v>
      </c>
    </row>
    <row r="106" spans="1:14" ht="15" thickBot="1" x14ac:dyDescent="0.4">
      <c r="A106" s="5">
        <v>1253</v>
      </c>
      <c r="B106" s="5" t="s">
        <v>21</v>
      </c>
      <c r="C106" s="5" t="s">
        <v>31</v>
      </c>
      <c r="D106" s="5" t="s">
        <v>34</v>
      </c>
      <c r="E106" s="5" t="s">
        <v>45</v>
      </c>
      <c r="F106" s="5">
        <v>20</v>
      </c>
      <c r="G106" s="5">
        <v>47880</v>
      </c>
      <c r="H106" s="5">
        <v>7</v>
      </c>
      <c r="I106" s="6">
        <v>46074</v>
      </c>
      <c r="J106" s="6">
        <v>46075</v>
      </c>
      <c r="K106" s="10" t="s">
        <v>29</v>
      </c>
      <c r="L106" s="11" t="str">
        <f t="shared" si="3"/>
        <v>MEERA</v>
      </c>
      <c r="M106" s="12" t="str">
        <f t="shared" si="4"/>
        <v>monitor</v>
      </c>
      <c r="N106" s="13">
        <f t="shared" si="5"/>
        <v>7</v>
      </c>
    </row>
    <row r="107" spans="1:14" ht="15" thickBot="1" x14ac:dyDescent="0.4">
      <c r="A107" s="5">
        <v>1384</v>
      </c>
      <c r="B107" s="5" t="s">
        <v>59</v>
      </c>
      <c r="C107" s="5" t="s">
        <v>12</v>
      </c>
      <c r="D107" s="5" t="s">
        <v>34</v>
      </c>
      <c r="E107" s="5" t="s">
        <v>39</v>
      </c>
      <c r="F107" s="5">
        <v>15</v>
      </c>
      <c r="G107" s="5">
        <v>38116</v>
      </c>
      <c r="H107" s="5">
        <v>0</v>
      </c>
      <c r="I107" s="6">
        <v>46074</v>
      </c>
      <c r="J107" s="6">
        <v>46078</v>
      </c>
      <c r="K107" s="10" t="s">
        <v>29</v>
      </c>
      <c r="L107" s="11" t="str">
        <f t="shared" si="3"/>
        <v>ANITA</v>
      </c>
      <c r="M107" s="12" t="str">
        <f t="shared" si="4"/>
        <v>keyboard</v>
      </c>
      <c r="N107" s="13">
        <f t="shared" si="5"/>
        <v>8</v>
      </c>
    </row>
    <row r="108" spans="1:14" ht="15" thickBot="1" x14ac:dyDescent="0.4">
      <c r="A108" s="5">
        <v>1378</v>
      </c>
      <c r="B108" s="5" t="s">
        <v>55</v>
      </c>
      <c r="C108" s="5" t="s">
        <v>22</v>
      </c>
      <c r="D108" s="5" t="s">
        <v>34</v>
      </c>
      <c r="E108" s="5" t="s">
        <v>45</v>
      </c>
      <c r="F108" s="5">
        <v>15</v>
      </c>
      <c r="G108" s="5">
        <v>22693</v>
      </c>
      <c r="H108" s="5">
        <v>12</v>
      </c>
      <c r="I108" s="6">
        <v>46074</v>
      </c>
      <c r="J108" s="6">
        <v>46080</v>
      </c>
      <c r="K108" s="10" t="s">
        <v>51</v>
      </c>
      <c r="L108" s="11" t="str">
        <f t="shared" si="3"/>
        <v>SNEHA</v>
      </c>
      <c r="M108" s="12" t="str">
        <f t="shared" si="4"/>
        <v>monitor</v>
      </c>
      <c r="N108" s="13">
        <f t="shared" si="5"/>
        <v>7</v>
      </c>
    </row>
    <row r="109" spans="1:14" ht="15" thickBot="1" x14ac:dyDescent="0.4">
      <c r="A109" s="5">
        <v>1058</v>
      </c>
      <c r="B109" s="5" t="s">
        <v>52</v>
      </c>
      <c r="C109" s="5" t="s">
        <v>38</v>
      </c>
      <c r="D109" s="5" t="s">
        <v>18</v>
      </c>
      <c r="E109" s="5" t="s">
        <v>28</v>
      </c>
      <c r="F109" s="5">
        <v>10</v>
      </c>
      <c r="G109" s="5">
        <v>5532</v>
      </c>
      <c r="H109" s="5">
        <v>7</v>
      </c>
      <c r="I109" s="6">
        <v>46074</v>
      </c>
      <c r="J109" s="6">
        <v>46084</v>
      </c>
      <c r="K109" s="10" t="s">
        <v>24</v>
      </c>
      <c r="L109" s="11" t="str">
        <f t="shared" si="3"/>
        <v>KOMAL</v>
      </c>
      <c r="M109" s="12" t="str">
        <f t="shared" si="4"/>
        <v>chair</v>
      </c>
      <c r="N109" s="13">
        <f t="shared" si="5"/>
        <v>5</v>
      </c>
    </row>
    <row r="110" spans="1:14" ht="15" thickBot="1" x14ac:dyDescent="0.4">
      <c r="A110" s="5">
        <v>1337</v>
      </c>
      <c r="B110" s="5" t="s">
        <v>16</v>
      </c>
      <c r="C110" s="5" t="s">
        <v>12</v>
      </c>
      <c r="D110" s="5" t="s">
        <v>13</v>
      </c>
      <c r="E110" s="5" t="s">
        <v>53</v>
      </c>
      <c r="F110" s="5">
        <v>14</v>
      </c>
      <c r="G110" s="5">
        <v>373</v>
      </c>
      <c r="H110" s="5">
        <v>10</v>
      </c>
      <c r="I110" s="6">
        <v>46074</v>
      </c>
      <c r="J110" s="6">
        <v>46080</v>
      </c>
      <c r="K110" s="10" t="s">
        <v>29</v>
      </c>
      <c r="L110" s="11" t="str">
        <f t="shared" si="3"/>
        <v>POOJA</v>
      </c>
      <c r="M110" s="12" t="str">
        <f t="shared" si="4"/>
        <v>diary</v>
      </c>
      <c r="N110" s="13">
        <f t="shared" si="5"/>
        <v>5</v>
      </c>
    </row>
    <row r="111" spans="1:14" ht="15" thickBot="1" x14ac:dyDescent="0.4">
      <c r="A111" s="5">
        <v>1201</v>
      </c>
      <c r="B111" s="5" t="s">
        <v>54</v>
      </c>
      <c r="C111" s="5" t="s">
        <v>31</v>
      </c>
      <c r="D111" s="5" t="s">
        <v>13</v>
      </c>
      <c r="E111" s="5" t="s">
        <v>53</v>
      </c>
      <c r="F111" s="5">
        <v>18</v>
      </c>
      <c r="G111" s="5">
        <v>139</v>
      </c>
      <c r="H111" s="5">
        <v>12</v>
      </c>
      <c r="I111" s="6">
        <v>46075</v>
      </c>
      <c r="J111" s="6">
        <v>46076</v>
      </c>
      <c r="K111" s="10" t="s">
        <v>20</v>
      </c>
      <c r="L111" s="11" t="str">
        <f t="shared" si="3"/>
        <v>MANOJ</v>
      </c>
      <c r="M111" s="12" t="str">
        <f t="shared" si="4"/>
        <v>diary</v>
      </c>
      <c r="N111" s="13">
        <f t="shared" si="5"/>
        <v>5</v>
      </c>
    </row>
    <row r="112" spans="1:14" ht="15" thickBot="1" x14ac:dyDescent="0.4">
      <c r="A112" s="5">
        <v>1082</v>
      </c>
      <c r="B112" s="5" t="s">
        <v>21</v>
      </c>
      <c r="C112" s="5" t="s">
        <v>12</v>
      </c>
      <c r="D112" s="5" t="s">
        <v>13</v>
      </c>
      <c r="E112" s="5" t="s">
        <v>14</v>
      </c>
      <c r="F112" s="5">
        <v>7</v>
      </c>
      <c r="G112" s="5">
        <v>133</v>
      </c>
      <c r="H112" s="5">
        <v>10</v>
      </c>
      <c r="I112" s="6">
        <v>46075</v>
      </c>
      <c r="J112" s="6">
        <v>46085</v>
      </c>
      <c r="K112" s="10" t="s">
        <v>51</v>
      </c>
      <c r="L112" s="11" t="str">
        <f t="shared" si="3"/>
        <v>MEERA</v>
      </c>
      <c r="M112" s="12" t="str">
        <f t="shared" si="4"/>
        <v>notebook</v>
      </c>
      <c r="N112" s="13">
        <f t="shared" si="5"/>
        <v>8</v>
      </c>
    </row>
    <row r="113" spans="1:14" ht="15" thickBot="1" x14ac:dyDescent="0.4">
      <c r="A113" s="5">
        <v>1325</v>
      </c>
      <c r="B113" s="5" t="s">
        <v>48</v>
      </c>
      <c r="C113" s="5" t="s">
        <v>43</v>
      </c>
      <c r="D113" s="5" t="s">
        <v>34</v>
      </c>
      <c r="E113" s="5" t="s">
        <v>39</v>
      </c>
      <c r="F113" s="5">
        <v>9</v>
      </c>
      <c r="G113" s="5">
        <v>58442</v>
      </c>
      <c r="H113" s="5">
        <v>12</v>
      </c>
      <c r="I113" s="6">
        <v>46076</v>
      </c>
      <c r="J113" s="6">
        <v>46085</v>
      </c>
      <c r="K113" s="10" t="s">
        <v>20</v>
      </c>
      <c r="L113" s="11" t="str">
        <f t="shared" si="3"/>
        <v>NITIN</v>
      </c>
      <c r="M113" s="12" t="str">
        <f t="shared" si="4"/>
        <v>keyboard</v>
      </c>
      <c r="N113" s="13">
        <f t="shared" si="5"/>
        <v>8</v>
      </c>
    </row>
    <row r="114" spans="1:14" ht="15" thickBot="1" x14ac:dyDescent="0.4">
      <c r="A114" s="5">
        <v>1107</v>
      </c>
      <c r="B114" s="5" t="s">
        <v>52</v>
      </c>
      <c r="C114" s="5" t="s">
        <v>17</v>
      </c>
      <c r="D114" s="5" t="s">
        <v>34</v>
      </c>
      <c r="E114" s="5" t="s">
        <v>60</v>
      </c>
      <c r="F114" s="5">
        <v>4</v>
      </c>
      <c r="G114" s="5">
        <v>14291</v>
      </c>
      <c r="H114" s="5">
        <v>2</v>
      </c>
      <c r="I114" s="6">
        <v>46076</v>
      </c>
      <c r="J114" s="6">
        <v>46078</v>
      </c>
      <c r="K114" s="10" t="s">
        <v>15</v>
      </c>
      <c r="L114" s="11" t="str">
        <f t="shared" si="3"/>
        <v>KOMAL</v>
      </c>
      <c r="M114" s="12" t="str">
        <f t="shared" si="4"/>
        <v>laptop</v>
      </c>
      <c r="N114" s="13">
        <f t="shared" si="5"/>
        <v>6</v>
      </c>
    </row>
    <row r="115" spans="1:14" ht="15" thickBot="1" x14ac:dyDescent="0.4">
      <c r="A115" s="5">
        <v>1390</v>
      </c>
      <c r="B115" s="5" t="s">
        <v>58</v>
      </c>
      <c r="C115" s="5" t="s">
        <v>43</v>
      </c>
      <c r="D115" s="5" t="s">
        <v>18</v>
      </c>
      <c r="E115" s="5" t="s">
        <v>19</v>
      </c>
      <c r="F115" s="5">
        <v>9</v>
      </c>
      <c r="G115" s="5">
        <v>7670</v>
      </c>
      <c r="H115" s="5">
        <v>0</v>
      </c>
      <c r="I115" s="6">
        <v>46076</v>
      </c>
      <c r="J115" s="6">
        <v>46081</v>
      </c>
      <c r="K115" s="10" t="s">
        <v>51</v>
      </c>
      <c r="L115" s="11" t="str">
        <f t="shared" si="3"/>
        <v>ROHAN</v>
      </c>
      <c r="M115" s="12" t="str">
        <f t="shared" si="4"/>
        <v>desk</v>
      </c>
      <c r="N115" s="13">
        <f t="shared" si="5"/>
        <v>4</v>
      </c>
    </row>
    <row r="116" spans="1:14" ht="15" thickBot="1" x14ac:dyDescent="0.4">
      <c r="A116" s="5">
        <v>1113</v>
      </c>
      <c r="B116" s="5" t="s">
        <v>26</v>
      </c>
      <c r="C116" s="5" t="s">
        <v>43</v>
      </c>
      <c r="D116" s="5" t="s">
        <v>18</v>
      </c>
      <c r="E116" s="5" t="s">
        <v>56</v>
      </c>
      <c r="F116" s="5">
        <v>13</v>
      </c>
      <c r="G116" s="5">
        <v>6719</v>
      </c>
      <c r="H116" s="5">
        <v>15</v>
      </c>
      <c r="I116" s="6">
        <v>46076</v>
      </c>
      <c r="J116" s="6">
        <v>46081</v>
      </c>
      <c r="K116" s="10" t="s">
        <v>24</v>
      </c>
      <c r="L116" s="11" t="str">
        <f t="shared" si="3"/>
        <v>VIKRAM</v>
      </c>
      <c r="M116" s="12" t="str">
        <f t="shared" si="4"/>
        <v>cabinet</v>
      </c>
      <c r="N116" s="13">
        <f t="shared" si="5"/>
        <v>7</v>
      </c>
    </row>
    <row r="117" spans="1:14" ht="15" thickBot="1" x14ac:dyDescent="0.4">
      <c r="A117" s="5">
        <v>1070</v>
      </c>
      <c r="B117" s="5" t="s">
        <v>52</v>
      </c>
      <c r="C117" s="5" t="s">
        <v>43</v>
      </c>
      <c r="D117" s="5" t="s">
        <v>13</v>
      </c>
      <c r="E117" s="5" t="s">
        <v>36</v>
      </c>
      <c r="F117" s="5">
        <v>10</v>
      </c>
      <c r="G117" s="5">
        <v>233</v>
      </c>
      <c r="H117" s="5">
        <v>7</v>
      </c>
      <c r="I117" s="6">
        <v>46076</v>
      </c>
      <c r="J117" s="6">
        <v>46077</v>
      </c>
      <c r="K117" s="10" t="s">
        <v>29</v>
      </c>
      <c r="L117" s="11" t="str">
        <f t="shared" si="3"/>
        <v>KOMAL</v>
      </c>
      <c r="M117" s="12" t="str">
        <f t="shared" si="4"/>
        <v>stapler</v>
      </c>
      <c r="N117" s="13">
        <f t="shared" si="5"/>
        <v>7</v>
      </c>
    </row>
    <row r="118" spans="1:14" ht="15" thickBot="1" x14ac:dyDescent="0.4">
      <c r="A118" s="5">
        <v>1157</v>
      </c>
      <c r="B118" s="5" t="s">
        <v>52</v>
      </c>
      <c r="C118" s="5" t="s">
        <v>33</v>
      </c>
      <c r="D118" s="5" t="s">
        <v>13</v>
      </c>
      <c r="E118" s="5" t="s">
        <v>50</v>
      </c>
      <c r="F118" s="5">
        <v>3</v>
      </c>
      <c r="G118" s="5">
        <v>203</v>
      </c>
      <c r="H118" s="5">
        <v>15</v>
      </c>
      <c r="I118" s="6">
        <v>46076</v>
      </c>
      <c r="J118" s="6">
        <v>46080</v>
      </c>
      <c r="K118" s="10" t="s">
        <v>29</v>
      </c>
      <c r="L118" s="11" t="str">
        <f t="shared" si="3"/>
        <v>KOMAL</v>
      </c>
      <c r="M118" s="12" t="str">
        <f t="shared" si="4"/>
        <v>marker</v>
      </c>
      <c r="N118" s="13">
        <f t="shared" si="5"/>
        <v>6</v>
      </c>
    </row>
    <row r="119" spans="1:14" ht="15" thickBot="1" x14ac:dyDescent="0.4">
      <c r="A119" s="5">
        <v>1110</v>
      </c>
      <c r="B119" s="5" t="s">
        <v>49</v>
      </c>
      <c r="C119" s="5" t="s">
        <v>38</v>
      </c>
      <c r="D119" s="5" t="s">
        <v>18</v>
      </c>
      <c r="E119" s="5" t="s">
        <v>23</v>
      </c>
      <c r="F119" s="5">
        <v>14</v>
      </c>
      <c r="G119" s="5">
        <v>6793</v>
      </c>
      <c r="H119" s="5">
        <v>7</v>
      </c>
      <c r="I119" s="6">
        <v>46077</v>
      </c>
      <c r="J119" s="6">
        <v>46082</v>
      </c>
      <c r="K119" s="10" t="s">
        <v>29</v>
      </c>
      <c r="L119" s="11" t="str">
        <f t="shared" si="3"/>
        <v>AJAY</v>
      </c>
      <c r="M119" s="12" t="str">
        <f t="shared" si="4"/>
        <v>table</v>
      </c>
      <c r="N119" s="13">
        <f t="shared" si="5"/>
        <v>5</v>
      </c>
    </row>
    <row r="120" spans="1:14" ht="15" thickBot="1" x14ac:dyDescent="0.4">
      <c r="A120" s="5">
        <v>1223</v>
      </c>
      <c r="B120" s="5" t="s">
        <v>59</v>
      </c>
      <c r="C120" s="5" t="s">
        <v>17</v>
      </c>
      <c r="D120" s="5" t="s">
        <v>18</v>
      </c>
      <c r="E120" s="5" t="s">
        <v>23</v>
      </c>
      <c r="F120" s="5">
        <v>4</v>
      </c>
      <c r="G120" s="5">
        <v>2249</v>
      </c>
      <c r="H120" s="5">
        <v>7</v>
      </c>
      <c r="I120" s="6">
        <v>46077</v>
      </c>
      <c r="J120" s="6">
        <v>46084</v>
      </c>
      <c r="K120" s="10" t="s">
        <v>15</v>
      </c>
      <c r="L120" s="11" t="str">
        <f t="shared" si="3"/>
        <v>ANITA</v>
      </c>
      <c r="M120" s="12" t="str">
        <f t="shared" si="4"/>
        <v>table</v>
      </c>
      <c r="N120" s="13">
        <f t="shared" si="5"/>
        <v>5</v>
      </c>
    </row>
    <row r="121" spans="1:14" ht="15" thickBot="1" x14ac:dyDescent="0.4">
      <c r="A121" s="5">
        <v>1055</v>
      </c>
      <c r="B121" s="5" t="s">
        <v>48</v>
      </c>
      <c r="C121" s="5" t="s">
        <v>12</v>
      </c>
      <c r="D121" s="5" t="s">
        <v>13</v>
      </c>
      <c r="E121" s="5" t="s">
        <v>37</v>
      </c>
      <c r="F121" s="5">
        <v>18</v>
      </c>
      <c r="G121" s="5">
        <v>185</v>
      </c>
      <c r="H121" s="5">
        <v>15</v>
      </c>
      <c r="I121" s="6">
        <v>46077</v>
      </c>
      <c r="J121" s="6">
        <v>46078</v>
      </c>
      <c r="K121" s="10" t="s">
        <v>15</v>
      </c>
      <c r="L121" s="11" t="str">
        <f t="shared" si="3"/>
        <v>NITIN</v>
      </c>
      <c r="M121" s="12" t="str">
        <f t="shared" si="4"/>
        <v>pen pack</v>
      </c>
      <c r="N121" s="13">
        <f t="shared" si="5"/>
        <v>8</v>
      </c>
    </row>
    <row r="122" spans="1:14" ht="15" thickBot="1" x14ac:dyDescent="0.4">
      <c r="A122" s="5">
        <v>1272</v>
      </c>
      <c r="B122" s="5" t="s">
        <v>52</v>
      </c>
      <c r="C122" s="5" t="s">
        <v>38</v>
      </c>
      <c r="D122" s="5" t="s">
        <v>34</v>
      </c>
      <c r="E122" s="5" t="s">
        <v>41</v>
      </c>
      <c r="F122" s="5">
        <v>13</v>
      </c>
      <c r="G122" s="5">
        <v>42179</v>
      </c>
      <c r="H122" s="5">
        <v>0</v>
      </c>
      <c r="I122" s="6">
        <v>46078</v>
      </c>
      <c r="J122" s="6">
        <v>46084</v>
      </c>
      <c r="K122" s="10" t="s">
        <v>20</v>
      </c>
      <c r="L122" s="11" t="str">
        <f t="shared" si="3"/>
        <v>KOMAL</v>
      </c>
      <c r="M122" s="12" t="str">
        <f t="shared" si="4"/>
        <v>headset</v>
      </c>
      <c r="N122" s="13">
        <f t="shared" si="5"/>
        <v>7</v>
      </c>
    </row>
    <row r="123" spans="1:14" ht="15" thickBot="1" x14ac:dyDescent="0.4">
      <c r="A123" s="5">
        <v>1316</v>
      </c>
      <c r="B123" s="5" t="s">
        <v>46</v>
      </c>
      <c r="C123" s="5" t="s">
        <v>12</v>
      </c>
      <c r="D123" s="5" t="s">
        <v>18</v>
      </c>
      <c r="E123" s="5" t="s">
        <v>28</v>
      </c>
      <c r="F123" s="5">
        <v>7</v>
      </c>
      <c r="G123" s="5">
        <v>9838</v>
      </c>
      <c r="H123" s="5">
        <v>7</v>
      </c>
      <c r="I123" s="6">
        <v>46078</v>
      </c>
      <c r="J123" s="6">
        <v>46085</v>
      </c>
      <c r="K123" s="10" t="s">
        <v>20</v>
      </c>
      <c r="L123" s="11" t="str">
        <f t="shared" si="3"/>
        <v>KIRAN</v>
      </c>
      <c r="M123" s="12" t="str">
        <f t="shared" si="4"/>
        <v>chair</v>
      </c>
      <c r="N123" s="13">
        <f t="shared" si="5"/>
        <v>5</v>
      </c>
    </row>
    <row r="124" spans="1:14" ht="15" thickBot="1" x14ac:dyDescent="0.4">
      <c r="A124" s="5">
        <v>1020</v>
      </c>
      <c r="B124" s="5" t="s">
        <v>46</v>
      </c>
      <c r="C124" s="5" t="s">
        <v>12</v>
      </c>
      <c r="D124" s="5" t="s">
        <v>18</v>
      </c>
      <c r="E124" s="5" t="s">
        <v>19</v>
      </c>
      <c r="F124" s="5">
        <v>5</v>
      </c>
      <c r="G124" s="5">
        <v>4582</v>
      </c>
      <c r="H124" s="5">
        <v>5</v>
      </c>
      <c r="I124" s="6">
        <v>46078</v>
      </c>
      <c r="J124" s="6">
        <v>46083</v>
      </c>
      <c r="K124" s="10" t="s">
        <v>15</v>
      </c>
      <c r="L124" s="11" t="str">
        <f t="shared" si="3"/>
        <v>KIRAN</v>
      </c>
      <c r="M124" s="12" t="str">
        <f t="shared" si="4"/>
        <v>desk</v>
      </c>
      <c r="N124" s="13">
        <f t="shared" si="5"/>
        <v>4</v>
      </c>
    </row>
    <row r="125" spans="1:14" ht="15" thickBot="1" x14ac:dyDescent="0.4">
      <c r="A125" s="5">
        <v>1349</v>
      </c>
      <c r="B125" s="5" t="s">
        <v>40</v>
      </c>
      <c r="C125" s="5" t="s">
        <v>33</v>
      </c>
      <c r="D125" s="5" t="s">
        <v>34</v>
      </c>
      <c r="E125" s="5" t="s">
        <v>35</v>
      </c>
      <c r="F125" s="5">
        <v>20</v>
      </c>
      <c r="G125" s="5">
        <v>62721</v>
      </c>
      <c r="H125" s="5">
        <v>7</v>
      </c>
      <c r="I125" s="6">
        <v>46079</v>
      </c>
      <c r="J125" s="6">
        <v>46083</v>
      </c>
      <c r="K125" s="10" t="s">
        <v>20</v>
      </c>
      <c r="L125" s="11" t="str">
        <f t="shared" si="3"/>
        <v>DEEPAK</v>
      </c>
      <c r="M125" s="12" t="str">
        <f t="shared" si="4"/>
        <v>printer</v>
      </c>
      <c r="N125" s="13">
        <f t="shared" si="5"/>
        <v>7</v>
      </c>
    </row>
    <row r="126" spans="1:14" ht="15" thickBot="1" x14ac:dyDescent="0.4">
      <c r="A126" s="5">
        <v>1158</v>
      </c>
      <c r="B126" s="5" t="s">
        <v>26</v>
      </c>
      <c r="C126" s="5" t="s">
        <v>38</v>
      </c>
      <c r="D126" s="5" t="s">
        <v>34</v>
      </c>
      <c r="E126" s="5" t="s">
        <v>41</v>
      </c>
      <c r="F126" s="5">
        <v>13</v>
      </c>
      <c r="G126" s="5">
        <v>12518</v>
      </c>
      <c r="H126" s="5">
        <v>2</v>
      </c>
      <c r="I126" s="6">
        <v>46079</v>
      </c>
      <c r="J126" s="6">
        <v>46082</v>
      </c>
      <c r="K126" s="10" t="s">
        <v>51</v>
      </c>
      <c r="L126" s="11" t="str">
        <f t="shared" si="3"/>
        <v>VIKRAM</v>
      </c>
      <c r="M126" s="12" t="str">
        <f t="shared" si="4"/>
        <v>headset</v>
      </c>
      <c r="N126" s="13">
        <f t="shared" si="5"/>
        <v>7</v>
      </c>
    </row>
    <row r="127" spans="1:14" ht="15" thickBot="1" x14ac:dyDescent="0.4">
      <c r="A127" s="5">
        <v>1163</v>
      </c>
      <c r="B127" s="5" t="s">
        <v>29</v>
      </c>
      <c r="C127" s="5" t="s">
        <v>38</v>
      </c>
      <c r="D127" s="5" t="s">
        <v>34</v>
      </c>
      <c r="E127" s="5" t="s">
        <v>39</v>
      </c>
      <c r="F127" s="5">
        <v>9</v>
      </c>
      <c r="G127" s="5">
        <v>62440</v>
      </c>
      <c r="H127" s="5">
        <v>2</v>
      </c>
      <c r="I127" s="6">
        <v>46081</v>
      </c>
      <c r="J127" s="6">
        <v>46086</v>
      </c>
      <c r="K127" s="10" t="s">
        <v>29</v>
      </c>
      <c r="L127" s="11" t="str">
        <f t="shared" si="3"/>
        <v>PRIYA</v>
      </c>
      <c r="M127" s="12" t="str">
        <f t="shared" si="4"/>
        <v>keyboard</v>
      </c>
      <c r="N127" s="13">
        <f t="shared" si="5"/>
        <v>8</v>
      </c>
    </row>
    <row r="128" spans="1:14" ht="15" thickBot="1" x14ac:dyDescent="0.4">
      <c r="A128" s="5">
        <v>1042</v>
      </c>
      <c r="B128" s="5" t="s">
        <v>46</v>
      </c>
      <c r="C128" s="5" t="s">
        <v>33</v>
      </c>
      <c r="D128" s="5" t="s">
        <v>13</v>
      </c>
      <c r="E128" s="5" t="s">
        <v>53</v>
      </c>
      <c r="F128" s="5">
        <v>16</v>
      </c>
      <c r="G128" s="5">
        <v>232</v>
      </c>
      <c r="H128" s="5">
        <v>0</v>
      </c>
      <c r="I128" s="6">
        <v>46081</v>
      </c>
      <c r="J128" s="6">
        <v>46088</v>
      </c>
      <c r="K128" s="10" t="s">
        <v>29</v>
      </c>
      <c r="L128" s="11" t="str">
        <f t="shared" si="3"/>
        <v>KIRAN</v>
      </c>
      <c r="M128" s="12" t="str">
        <f t="shared" si="4"/>
        <v>diary</v>
      </c>
      <c r="N128" s="13">
        <f t="shared" si="5"/>
        <v>5</v>
      </c>
    </row>
    <row r="129" spans="1:14" ht="15" thickBot="1" x14ac:dyDescent="0.4">
      <c r="A129" s="5">
        <v>1001</v>
      </c>
      <c r="B129" s="5" t="s">
        <v>11</v>
      </c>
      <c r="C129" s="5" t="s">
        <v>12</v>
      </c>
      <c r="D129" s="5" t="s">
        <v>13</v>
      </c>
      <c r="E129" s="5" t="s">
        <v>14</v>
      </c>
      <c r="F129" s="5">
        <v>3</v>
      </c>
      <c r="G129" s="5">
        <v>222</v>
      </c>
      <c r="H129" s="5">
        <v>15</v>
      </c>
      <c r="I129" s="6">
        <v>46081</v>
      </c>
      <c r="J129" s="6">
        <v>46083</v>
      </c>
      <c r="K129" s="10" t="s">
        <v>15</v>
      </c>
      <c r="L129" s="11" t="str">
        <f t="shared" si="3"/>
        <v>RITESH</v>
      </c>
      <c r="M129" s="12" t="str">
        <f t="shared" si="4"/>
        <v>notebook</v>
      </c>
      <c r="N129" s="13">
        <f t="shared" si="5"/>
        <v>8</v>
      </c>
    </row>
    <row r="130" spans="1:14" ht="15" thickBot="1" x14ac:dyDescent="0.4">
      <c r="A130" s="5">
        <v>1202</v>
      </c>
      <c r="B130" s="5" t="s">
        <v>57</v>
      </c>
      <c r="C130" s="5" t="s">
        <v>22</v>
      </c>
      <c r="D130" s="5" t="s">
        <v>34</v>
      </c>
      <c r="E130" s="5" t="s">
        <v>35</v>
      </c>
      <c r="F130" s="5">
        <v>2</v>
      </c>
      <c r="G130" s="5">
        <v>20312</v>
      </c>
      <c r="H130" s="5">
        <v>12</v>
      </c>
      <c r="I130" s="6">
        <v>46082</v>
      </c>
      <c r="J130" s="6">
        <v>46091</v>
      </c>
      <c r="K130" s="10" t="s">
        <v>15</v>
      </c>
      <c r="L130" s="11" t="str">
        <f t="shared" si="3"/>
        <v>SARA</v>
      </c>
      <c r="M130" s="12" t="str">
        <f t="shared" si="4"/>
        <v>printer</v>
      </c>
      <c r="N130" s="13">
        <f t="shared" si="5"/>
        <v>7</v>
      </c>
    </row>
    <row r="131" spans="1:14" ht="15" thickBot="1" x14ac:dyDescent="0.4">
      <c r="A131" s="5">
        <v>1066</v>
      </c>
      <c r="B131" s="5" t="s">
        <v>47</v>
      </c>
      <c r="C131" s="5" t="s">
        <v>25</v>
      </c>
      <c r="D131" s="5" t="s">
        <v>18</v>
      </c>
      <c r="E131" s="5" t="s">
        <v>44</v>
      </c>
      <c r="F131" s="5">
        <v>15</v>
      </c>
      <c r="G131" s="5">
        <v>11987</v>
      </c>
      <c r="H131" s="5">
        <v>5</v>
      </c>
      <c r="I131" s="6">
        <v>46082</v>
      </c>
      <c r="J131" s="6">
        <v>46083</v>
      </c>
      <c r="K131" s="10" t="s">
        <v>15</v>
      </c>
      <c r="L131" s="11" t="str">
        <f t="shared" ref="L131:L194" si="6">UPPER(B131)</f>
        <v>YASH</v>
      </c>
      <c r="M131" s="12" t="str">
        <f t="shared" ref="M131:M194" si="7">LOWER(E131)</f>
        <v>bookshelf</v>
      </c>
      <c r="N131" s="13">
        <f t="shared" ref="N131:N194" si="8">LEN(E131)</f>
        <v>9</v>
      </c>
    </row>
    <row r="132" spans="1:14" ht="15" thickBot="1" x14ac:dyDescent="0.4">
      <c r="A132" s="5">
        <v>1033</v>
      </c>
      <c r="B132" s="5" t="s">
        <v>11</v>
      </c>
      <c r="C132" s="5" t="s">
        <v>43</v>
      </c>
      <c r="D132" s="5" t="s">
        <v>18</v>
      </c>
      <c r="E132" s="5" t="s">
        <v>19</v>
      </c>
      <c r="F132" s="5">
        <v>9</v>
      </c>
      <c r="G132" s="5">
        <v>4895</v>
      </c>
      <c r="H132" s="5">
        <v>2</v>
      </c>
      <c r="I132" s="6">
        <v>46082</v>
      </c>
      <c r="J132" s="6">
        <v>46084</v>
      </c>
      <c r="K132" s="10" t="s">
        <v>29</v>
      </c>
      <c r="L132" s="11" t="str">
        <f t="shared" si="6"/>
        <v>RITESH</v>
      </c>
      <c r="M132" s="12" t="str">
        <f t="shared" si="7"/>
        <v>desk</v>
      </c>
      <c r="N132" s="13">
        <f t="shared" si="8"/>
        <v>4</v>
      </c>
    </row>
    <row r="133" spans="1:14" ht="15" thickBot="1" x14ac:dyDescent="0.4">
      <c r="A133" s="5">
        <v>1284</v>
      </c>
      <c r="B133" s="5" t="s">
        <v>40</v>
      </c>
      <c r="C133" s="5" t="s">
        <v>25</v>
      </c>
      <c r="D133" s="5" t="s">
        <v>13</v>
      </c>
      <c r="E133" s="5" t="s">
        <v>37</v>
      </c>
      <c r="F133" s="5">
        <v>16</v>
      </c>
      <c r="G133" s="5">
        <v>419</v>
      </c>
      <c r="H133" s="5">
        <v>2</v>
      </c>
      <c r="I133" s="6">
        <v>46082</v>
      </c>
      <c r="J133" s="6">
        <v>46090</v>
      </c>
      <c r="K133" s="10" t="s">
        <v>15</v>
      </c>
      <c r="L133" s="11" t="str">
        <f t="shared" si="6"/>
        <v>DEEPAK</v>
      </c>
      <c r="M133" s="12" t="str">
        <f t="shared" si="7"/>
        <v>pen pack</v>
      </c>
      <c r="N133" s="13">
        <f t="shared" si="8"/>
        <v>8</v>
      </c>
    </row>
    <row r="134" spans="1:14" ht="15" thickBot="1" x14ac:dyDescent="0.4">
      <c r="A134" s="5">
        <v>1017</v>
      </c>
      <c r="B134" s="5" t="s">
        <v>46</v>
      </c>
      <c r="C134" s="5" t="s">
        <v>38</v>
      </c>
      <c r="D134" s="5" t="s">
        <v>13</v>
      </c>
      <c r="E134" s="5" t="s">
        <v>36</v>
      </c>
      <c r="F134" s="5">
        <v>8</v>
      </c>
      <c r="G134" s="5">
        <v>179</v>
      </c>
      <c r="H134" s="5">
        <v>15</v>
      </c>
      <c r="I134" s="6">
        <v>46082</v>
      </c>
      <c r="J134" s="6">
        <v>46084</v>
      </c>
      <c r="K134" s="10" t="s">
        <v>15</v>
      </c>
      <c r="L134" s="11" t="str">
        <f t="shared" si="6"/>
        <v>KIRAN</v>
      </c>
      <c r="M134" s="12" t="str">
        <f t="shared" si="7"/>
        <v>stapler</v>
      </c>
      <c r="N134" s="13">
        <f t="shared" si="8"/>
        <v>7</v>
      </c>
    </row>
    <row r="135" spans="1:14" ht="15" thickBot="1" x14ac:dyDescent="0.4">
      <c r="A135" s="5">
        <v>1271</v>
      </c>
      <c r="B135" s="5" t="s">
        <v>40</v>
      </c>
      <c r="C135" s="5" t="s">
        <v>33</v>
      </c>
      <c r="D135" s="5" t="s">
        <v>34</v>
      </c>
      <c r="E135" s="5" t="s">
        <v>60</v>
      </c>
      <c r="F135" s="5">
        <v>20</v>
      </c>
      <c r="G135" s="5">
        <v>36941</v>
      </c>
      <c r="H135" s="5">
        <v>15</v>
      </c>
      <c r="I135" s="6">
        <v>46083</v>
      </c>
      <c r="J135" s="6">
        <v>46085</v>
      </c>
      <c r="K135" s="10" t="s">
        <v>29</v>
      </c>
      <c r="L135" s="11" t="str">
        <f t="shared" si="6"/>
        <v>DEEPAK</v>
      </c>
      <c r="M135" s="12" t="str">
        <f t="shared" si="7"/>
        <v>laptop</v>
      </c>
      <c r="N135" s="13">
        <f t="shared" si="8"/>
        <v>6</v>
      </c>
    </row>
    <row r="136" spans="1:14" ht="15" thickBot="1" x14ac:dyDescent="0.4">
      <c r="A136" s="5">
        <v>1298</v>
      </c>
      <c r="B136" s="5" t="s">
        <v>21</v>
      </c>
      <c r="C136" s="5" t="s">
        <v>12</v>
      </c>
      <c r="D136" s="5" t="s">
        <v>34</v>
      </c>
      <c r="E136" s="5" t="s">
        <v>61</v>
      </c>
      <c r="F136" s="5">
        <v>19</v>
      </c>
      <c r="G136" s="5">
        <v>20745</v>
      </c>
      <c r="H136" s="5">
        <v>2</v>
      </c>
      <c r="I136" s="6">
        <v>46083</v>
      </c>
      <c r="J136" s="6">
        <v>46093</v>
      </c>
      <c r="K136" s="10" t="s">
        <v>24</v>
      </c>
      <c r="L136" s="11" t="str">
        <f t="shared" si="6"/>
        <v>MEERA</v>
      </c>
      <c r="M136" s="12" t="str">
        <f t="shared" si="7"/>
        <v>mouse</v>
      </c>
      <c r="N136" s="13">
        <f t="shared" si="8"/>
        <v>5</v>
      </c>
    </row>
    <row r="137" spans="1:14" ht="15" thickBot="1" x14ac:dyDescent="0.4">
      <c r="A137" s="5">
        <v>1078</v>
      </c>
      <c r="B137" s="5" t="s">
        <v>52</v>
      </c>
      <c r="C137" s="5" t="s">
        <v>17</v>
      </c>
      <c r="D137" s="5" t="s">
        <v>34</v>
      </c>
      <c r="E137" s="5" t="s">
        <v>39</v>
      </c>
      <c r="F137" s="5">
        <v>11</v>
      </c>
      <c r="G137" s="5">
        <v>24278</v>
      </c>
      <c r="H137" s="5">
        <v>12</v>
      </c>
      <c r="I137" s="6">
        <v>46084</v>
      </c>
      <c r="J137" s="6">
        <v>46090</v>
      </c>
      <c r="K137" s="10" t="s">
        <v>29</v>
      </c>
      <c r="L137" s="11" t="str">
        <f t="shared" si="6"/>
        <v>KOMAL</v>
      </c>
      <c r="M137" s="12" t="str">
        <f t="shared" si="7"/>
        <v>keyboard</v>
      </c>
      <c r="N137" s="13">
        <f t="shared" si="8"/>
        <v>8</v>
      </c>
    </row>
    <row r="138" spans="1:14" ht="15" thickBot="1" x14ac:dyDescent="0.4">
      <c r="A138" s="5">
        <v>1138</v>
      </c>
      <c r="B138" s="5" t="s">
        <v>55</v>
      </c>
      <c r="C138" s="5" t="s">
        <v>43</v>
      </c>
      <c r="D138" s="5" t="s">
        <v>18</v>
      </c>
      <c r="E138" s="5" t="s">
        <v>19</v>
      </c>
      <c r="F138" s="5">
        <v>5</v>
      </c>
      <c r="G138" s="5">
        <v>14466</v>
      </c>
      <c r="H138" s="5">
        <v>2</v>
      </c>
      <c r="I138" s="6">
        <v>46084</v>
      </c>
      <c r="J138" s="6">
        <v>46092</v>
      </c>
      <c r="K138" s="10" t="s">
        <v>51</v>
      </c>
      <c r="L138" s="11" t="str">
        <f t="shared" si="6"/>
        <v>SNEHA</v>
      </c>
      <c r="M138" s="12" t="str">
        <f t="shared" si="7"/>
        <v>desk</v>
      </c>
      <c r="N138" s="13">
        <f t="shared" si="8"/>
        <v>4</v>
      </c>
    </row>
    <row r="139" spans="1:14" ht="15" thickBot="1" x14ac:dyDescent="0.4">
      <c r="A139" s="5">
        <v>1280</v>
      </c>
      <c r="B139" s="5" t="s">
        <v>59</v>
      </c>
      <c r="C139" s="5" t="s">
        <v>38</v>
      </c>
      <c r="D139" s="5" t="s">
        <v>13</v>
      </c>
      <c r="E139" s="5" t="s">
        <v>53</v>
      </c>
      <c r="F139" s="5">
        <v>9</v>
      </c>
      <c r="G139" s="5">
        <v>50</v>
      </c>
      <c r="H139" s="5">
        <v>7</v>
      </c>
      <c r="I139" s="6">
        <v>46085</v>
      </c>
      <c r="J139" s="6">
        <v>46095</v>
      </c>
      <c r="K139" s="10" t="s">
        <v>51</v>
      </c>
      <c r="L139" s="11" t="str">
        <f t="shared" si="6"/>
        <v>ANITA</v>
      </c>
      <c r="M139" s="12" t="str">
        <f t="shared" si="7"/>
        <v>diary</v>
      </c>
      <c r="N139" s="13">
        <f t="shared" si="8"/>
        <v>5</v>
      </c>
    </row>
    <row r="140" spans="1:14" ht="15" thickBot="1" x14ac:dyDescent="0.4">
      <c r="A140" s="5">
        <v>1012</v>
      </c>
      <c r="B140" s="5" t="s">
        <v>26</v>
      </c>
      <c r="C140" s="5" t="s">
        <v>38</v>
      </c>
      <c r="D140" s="5" t="s">
        <v>34</v>
      </c>
      <c r="E140" s="5" t="s">
        <v>39</v>
      </c>
      <c r="F140" s="5">
        <v>3</v>
      </c>
      <c r="G140" s="5">
        <v>64615</v>
      </c>
      <c r="H140" s="5">
        <v>10</v>
      </c>
      <c r="I140" s="6">
        <v>46086</v>
      </c>
      <c r="J140" s="6">
        <v>46095</v>
      </c>
      <c r="K140" s="10" t="s">
        <v>29</v>
      </c>
      <c r="L140" s="11" t="str">
        <f t="shared" si="6"/>
        <v>VIKRAM</v>
      </c>
      <c r="M140" s="12" t="str">
        <f t="shared" si="7"/>
        <v>keyboard</v>
      </c>
      <c r="N140" s="13">
        <f t="shared" si="8"/>
        <v>8</v>
      </c>
    </row>
    <row r="141" spans="1:14" ht="15" thickBot="1" x14ac:dyDescent="0.4">
      <c r="A141" s="5">
        <v>1336</v>
      </c>
      <c r="B141" s="5" t="s">
        <v>16</v>
      </c>
      <c r="C141" s="5" t="s">
        <v>25</v>
      </c>
      <c r="D141" s="5" t="s">
        <v>18</v>
      </c>
      <c r="E141" s="5" t="s">
        <v>56</v>
      </c>
      <c r="F141" s="5">
        <v>10</v>
      </c>
      <c r="G141" s="5">
        <v>5624</v>
      </c>
      <c r="H141" s="5">
        <v>0</v>
      </c>
      <c r="I141" s="6">
        <v>46086</v>
      </c>
      <c r="J141" s="6">
        <v>46092</v>
      </c>
      <c r="K141" s="10" t="s">
        <v>29</v>
      </c>
      <c r="L141" s="11" t="str">
        <f t="shared" si="6"/>
        <v>POOJA</v>
      </c>
      <c r="M141" s="12" t="str">
        <f t="shared" si="7"/>
        <v>cabinet</v>
      </c>
      <c r="N141" s="13">
        <f t="shared" si="8"/>
        <v>7</v>
      </c>
    </row>
    <row r="142" spans="1:14" ht="15" thickBot="1" x14ac:dyDescent="0.4">
      <c r="A142" s="5">
        <v>1277</v>
      </c>
      <c r="B142" s="5" t="s">
        <v>59</v>
      </c>
      <c r="C142" s="5" t="s">
        <v>17</v>
      </c>
      <c r="D142" s="5" t="s">
        <v>13</v>
      </c>
      <c r="E142" s="5" t="s">
        <v>36</v>
      </c>
      <c r="F142" s="5">
        <v>14</v>
      </c>
      <c r="G142" s="5">
        <v>276</v>
      </c>
      <c r="H142" s="5">
        <v>0</v>
      </c>
      <c r="I142" s="6">
        <v>46086</v>
      </c>
      <c r="J142" s="6">
        <v>46089</v>
      </c>
      <c r="K142" s="10" t="s">
        <v>15</v>
      </c>
      <c r="L142" s="11" t="str">
        <f t="shared" si="6"/>
        <v>ANITA</v>
      </c>
      <c r="M142" s="12" t="str">
        <f t="shared" si="7"/>
        <v>stapler</v>
      </c>
      <c r="N142" s="13">
        <f t="shared" si="8"/>
        <v>7</v>
      </c>
    </row>
    <row r="143" spans="1:14" ht="15" thickBot="1" x14ac:dyDescent="0.4">
      <c r="A143" s="5">
        <v>1090</v>
      </c>
      <c r="B143" s="5" t="s">
        <v>49</v>
      </c>
      <c r="C143" s="5" t="s">
        <v>31</v>
      </c>
      <c r="D143" s="5" t="s">
        <v>34</v>
      </c>
      <c r="E143" s="5" t="s">
        <v>45</v>
      </c>
      <c r="F143" s="5">
        <v>19</v>
      </c>
      <c r="G143" s="5">
        <v>66139</v>
      </c>
      <c r="H143" s="5">
        <v>5</v>
      </c>
      <c r="I143" s="6">
        <v>46088</v>
      </c>
      <c r="J143" s="6">
        <v>46095</v>
      </c>
      <c r="K143" s="10" t="s">
        <v>24</v>
      </c>
      <c r="L143" s="11" t="str">
        <f t="shared" si="6"/>
        <v>AJAY</v>
      </c>
      <c r="M143" s="12" t="str">
        <f t="shared" si="7"/>
        <v>monitor</v>
      </c>
      <c r="N143" s="13">
        <f t="shared" si="8"/>
        <v>7</v>
      </c>
    </row>
    <row r="144" spans="1:14" ht="15" thickBot="1" x14ac:dyDescent="0.4">
      <c r="A144" s="5">
        <v>1175</v>
      </c>
      <c r="B144" s="5" t="s">
        <v>26</v>
      </c>
      <c r="C144" s="5" t="s">
        <v>17</v>
      </c>
      <c r="D144" s="5" t="s">
        <v>34</v>
      </c>
      <c r="E144" s="5" t="s">
        <v>41</v>
      </c>
      <c r="F144" s="5">
        <v>10</v>
      </c>
      <c r="G144" s="5">
        <v>20339</v>
      </c>
      <c r="H144" s="5">
        <v>2</v>
      </c>
      <c r="I144" s="6">
        <v>46088</v>
      </c>
      <c r="J144" s="6">
        <v>46094</v>
      </c>
      <c r="K144" s="10" t="s">
        <v>20</v>
      </c>
      <c r="L144" s="11" t="str">
        <f t="shared" si="6"/>
        <v>VIKRAM</v>
      </c>
      <c r="M144" s="12" t="str">
        <f t="shared" si="7"/>
        <v>headset</v>
      </c>
      <c r="N144" s="13">
        <f t="shared" si="8"/>
        <v>7</v>
      </c>
    </row>
    <row r="145" spans="1:14" ht="15" thickBot="1" x14ac:dyDescent="0.4">
      <c r="A145" s="5">
        <v>1097</v>
      </c>
      <c r="B145" s="5" t="s">
        <v>52</v>
      </c>
      <c r="C145" s="5" t="s">
        <v>22</v>
      </c>
      <c r="D145" s="5" t="s">
        <v>34</v>
      </c>
      <c r="E145" s="5" t="s">
        <v>61</v>
      </c>
      <c r="F145" s="5">
        <v>10</v>
      </c>
      <c r="G145" s="5">
        <v>28980</v>
      </c>
      <c r="H145" s="5">
        <v>10</v>
      </c>
      <c r="I145" s="6">
        <v>46089</v>
      </c>
      <c r="J145" s="6">
        <v>46094</v>
      </c>
      <c r="K145" s="10" t="s">
        <v>24</v>
      </c>
      <c r="L145" s="11" t="str">
        <f t="shared" si="6"/>
        <v>KOMAL</v>
      </c>
      <c r="M145" s="12" t="str">
        <f t="shared" si="7"/>
        <v>mouse</v>
      </c>
      <c r="N145" s="13">
        <f t="shared" si="8"/>
        <v>5</v>
      </c>
    </row>
    <row r="146" spans="1:14" ht="15" thickBot="1" x14ac:dyDescent="0.4">
      <c r="A146" s="5">
        <v>1381</v>
      </c>
      <c r="B146" s="5" t="s">
        <v>55</v>
      </c>
      <c r="C146" s="5" t="s">
        <v>33</v>
      </c>
      <c r="D146" s="5" t="s">
        <v>18</v>
      </c>
      <c r="E146" s="5" t="s">
        <v>28</v>
      </c>
      <c r="F146" s="5">
        <v>5</v>
      </c>
      <c r="G146" s="5">
        <v>7484</v>
      </c>
      <c r="H146" s="5">
        <v>2</v>
      </c>
      <c r="I146" s="6">
        <v>46089</v>
      </c>
      <c r="J146" s="6">
        <v>46093</v>
      </c>
      <c r="K146" s="10" t="s">
        <v>20</v>
      </c>
      <c r="L146" s="11" t="str">
        <f t="shared" si="6"/>
        <v>SNEHA</v>
      </c>
      <c r="M146" s="12" t="str">
        <f t="shared" si="7"/>
        <v>chair</v>
      </c>
      <c r="N146" s="13">
        <f t="shared" si="8"/>
        <v>5</v>
      </c>
    </row>
    <row r="147" spans="1:14" ht="15" thickBot="1" x14ac:dyDescent="0.4">
      <c r="A147" s="5">
        <v>1018</v>
      </c>
      <c r="B147" s="5" t="s">
        <v>47</v>
      </c>
      <c r="C147" s="5" t="s">
        <v>25</v>
      </c>
      <c r="D147" s="5" t="s">
        <v>13</v>
      </c>
      <c r="E147" s="5" t="s">
        <v>14</v>
      </c>
      <c r="F147" s="5">
        <v>20</v>
      </c>
      <c r="G147" s="5">
        <v>301</v>
      </c>
      <c r="H147" s="5">
        <v>0</v>
      </c>
      <c r="I147" s="6">
        <v>46089</v>
      </c>
      <c r="J147" s="6">
        <v>46094</v>
      </c>
      <c r="K147" s="10" t="s">
        <v>29</v>
      </c>
      <c r="L147" s="11" t="str">
        <f t="shared" si="6"/>
        <v>YASH</v>
      </c>
      <c r="M147" s="12" t="str">
        <f t="shared" si="7"/>
        <v>notebook</v>
      </c>
      <c r="N147" s="13">
        <f t="shared" si="8"/>
        <v>8</v>
      </c>
    </row>
    <row r="148" spans="1:14" ht="15" thickBot="1" x14ac:dyDescent="0.4">
      <c r="A148" s="5">
        <v>1031</v>
      </c>
      <c r="B148" s="5" t="s">
        <v>54</v>
      </c>
      <c r="C148" s="5" t="s">
        <v>31</v>
      </c>
      <c r="D148" s="5" t="s">
        <v>13</v>
      </c>
      <c r="E148" s="5" t="s">
        <v>53</v>
      </c>
      <c r="F148" s="5">
        <v>2</v>
      </c>
      <c r="G148" s="5">
        <v>184</v>
      </c>
      <c r="H148" s="5">
        <v>5</v>
      </c>
      <c r="I148" s="6">
        <v>46089</v>
      </c>
      <c r="J148" s="6">
        <v>46093</v>
      </c>
      <c r="K148" s="10" t="s">
        <v>20</v>
      </c>
      <c r="L148" s="11" t="str">
        <f t="shared" si="6"/>
        <v>MANOJ</v>
      </c>
      <c r="M148" s="12" t="str">
        <f t="shared" si="7"/>
        <v>diary</v>
      </c>
      <c r="N148" s="13">
        <f t="shared" si="8"/>
        <v>5</v>
      </c>
    </row>
    <row r="149" spans="1:14" ht="15" thickBot="1" x14ac:dyDescent="0.4">
      <c r="A149" s="5">
        <v>1399</v>
      </c>
      <c r="B149" s="5" t="s">
        <v>48</v>
      </c>
      <c r="C149" s="5" t="s">
        <v>31</v>
      </c>
      <c r="D149" s="5" t="s">
        <v>13</v>
      </c>
      <c r="E149" s="5" t="s">
        <v>14</v>
      </c>
      <c r="F149" s="5">
        <v>15</v>
      </c>
      <c r="G149" s="5">
        <v>87</v>
      </c>
      <c r="H149" s="5">
        <v>15</v>
      </c>
      <c r="I149" s="6">
        <v>46089</v>
      </c>
      <c r="J149" s="6">
        <v>46093</v>
      </c>
      <c r="K149" s="10" t="s">
        <v>20</v>
      </c>
      <c r="L149" s="11" t="str">
        <f t="shared" si="6"/>
        <v>NITIN</v>
      </c>
      <c r="M149" s="12" t="str">
        <f t="shared" si="7"/>
        <v>notebook</v>
      </c>
      <c r="N149" s="13">
        <f t="shared" si="8"/>
        <v>8</v>
      </c>
    </row>
    <row r="150" spans="1:14" ht="15" thickBot="1" x14ac:dyDescent="0.4">
      <c r="A150" s="5">
        <v>1192</v>
      </c>
      <c r="B150" s="5" t="s">
        <v>21</v>
      </c>
      <c r="C150" s="5" t="s">
        <v>33</v>
      </c>
      <c r="D150" s="5" t="s">
        <v>13</v>
      </c>
      <c r="E150" s="5" t="s">
        <v>53</v>
      </c>
      <c r="F150" s="5">
        <v>18</v>
      </c>
      <c r="G150" s="5">
        <v>49</v>
      </c>
      <c r="H150" s="5">
        <v>12</v>
      </c>
      <c r="I150" s="6">
        <v>46089</v>
      </c>
      <c r="J150" s="6">
        <v>46095</v>
      </c>
      <c r="K150" s="10" t="s">
        <v>24</v>
      </c>
      <c r="L150" s="11" t="str">
        <f t="shared" si="6"/>
        <v>MEERA</v>
      </c>
      <c r="M150" s="12" t="str">
        <f t="shared" si="7"/>
        <v>diary</v>
      </c>
      <c r="N150" s="13">
        <f t="shared" si="8"/>
        <v>5</v>
      </c>
    </row>
    <row r="151" spans="1:14" ht="15" thickBot="1" x14ac:dyDescent="0.4">
      <c r="A151" s="5">
        <v>1400</v>
      </c>
      <c r="B151" s="5" t="s">
        <v>40</v>
      </c>
      <c r="C151" s="5" t="s">
        <v>22</v>
      </c>
      <c r="D151" s="5" t="s">
        <v>34</v>
      </c>
      <c r="E151" s="5" t="s">
        <v>35</v>
      </c>
      <c r="F151" s="5">
        <v>13</v>
      </c>
      <c r="G151" s="5">
        <v>52411</v>
      </c>
      <c r="H151" s="5">
        <v>15</v>
      </c>
      <c r="I151" s="6">
        <v>46090</v>
      </c>
      <c r="J151" s="6">
        <v>46092</v>
      </c>
      <c r="K151" s="10" t="s">
        <v>20</v>
      </c>
      <c r="L151" s="11" t="str">
        <f t="shared" si="6"/>
        <v>DEEPAK</v>
      </c>
      <c r="M151" s="12" t="str">
        <f t="shared" si="7"/>
        <v>printer</v>
      </c>
      <c r="N151" s="13">
        <f t="shared" si="8"/>
        <v>7</v>
      </c>
    </row>
    <row r="152" spans="1:14" ht="15" thickBot="1" x14ac:dyDescent="0.4">
      <c r="A152" s="5">
        <v>1112</v>
      </c>
      <c r="B152" s="5" t="s">
        <v>21</v>
      </c>
      <c r="C152" s="5" t="s">
        <v>43</v>
      </c>
      <c r="D152" s="5" t="s">
        <v>18</v>
      </c>
      <c r="E152" s="5" t="s">
        <v>44</v>
      </c>
      <c r="F152" s="5">
        <v>7</v>
      </c>
      <c r="G152" s="5">
        <v>1959</v>
      </c>
      <c r="H152" s="5">
        <v>15</v>
      </c>
      <c r="I152" s="6">
        <v>46090</v>
      </c>
      <c r="J152" s="6">
        <v>46100</v>
      </c>
      <c r="K152" s="10" t="s">
        <v>15</v>
      </c>
      <c r="L152" s="11" t="str">
        <f t="shared" si="6"/>
        <v>MEERA</v>
      </c>
      <c r="M152" s="12" t="str">
        <f t="shared" si="7"/>
        <v>bookshelf</v>
      </c>
      <c r="N152" s="13">
        <f t="shared" si="8"/>
        <v>9</v>
      </c>
    </row>
    <row r="153" spans="1:14" ht="15" thickBot="1" x14ac:dyDescent="0.4">
      <c r="A153" s="5">
        <v>1043</v>
      </c>
      <c r="B153" s="5" t="s">
        <v>49</v>
      </c>
      <c r="C153" s="5" t="s">
        <v>38</v>
      </c>
      <c r="D153" s="5" t="s">
        <v>34</v>
      </c>
      <c r="E153" s="5" t="s">
        <v>35</v>
      </c>
      <c r="F153" s="5">
        <v>20</v>
      </c>
      <c r="G153" s="5">
        <v>46093</v>
      </c>
      <c r="H153" s="5">
        <v>5</v>
      </c>
      <c r="I153" s="6">
        <v>46091</v>
      </c>
      <c r="J153" s="6">
        <v>46098</v>
      </c>
      <c r="K153" s="10" t="s">
        <v>29</v>
      </c>
      <c r="L153" s="11" t="str">
        <f t="shared" si="6"/>
        <v>AJAY</v>
      </c>
      <c r="M153" s="12" t="str">
        <f t="shared" si="7"/>
        <v>printer</v>
      </c>
      <c r="N153" s="13">
        <f t="shared" si="8"/>
        <v>7</v>
      </c>
    </row>
    <row r="154" spans="1:14" ht="15" thickBot="1" x14ac:dyDescent="0.4">
      <c r="A154" s="5">
        <v>1255</v>
      </c>
      <c r="B154" s="5" t="s">
        <v>32</v>
      </c>
      <c r="C154" s="5" t="s">
        <v>17</v>
      </c>
      <c r="D154" s="5" t="s">
        <v>18</v>
      </c>
      <c r="E154" s="5" t="s">
        <v>19</v>
      </c>
      <c r="F154" s="5">
        <v>1</v>
      </c>
      <c r="G154" s="5">
        <v>2240</v>
      </c>
      <c r="H154" s="5">
        <v>5</v>
      </c>
      <c r="I154" s="6">
        <v>46091</v>
      </c>
      <c r="J154" s="6">
        <v>46095</v>
      </c>
      <c r="K154" s="10" t="s">
        <v>20</v>
      </c>
      <c r="L154" s="11" t="str">
        <f t="shared" si="6"/>
        <v>ASHA</v>
      </c>
      <c r="M154" s="12" t="str">
        <f t="shared" si="7"/>
        <v>desk</v>
      </c>
      <c r="N154" s="13">
        <f t="shared" si="8"/>
        <v>4</v>
      </c>
    </row>
    <row r="155" spans="1:14" ht="15" thickBot="1" x14ac:dyDescent="0.4">
      <c r="A155" s="5">
        <v>1106</v>
      </c>
      <c r="B155" s="5" t="s">
        <v>27</v>
      </c>
      <c r="C155" s="5" t="s">
        <v>43</v>
      </c>
      <c r="D155" s="5" t="s">
        <v>18</v>
      </c>
      <c r="E155" s="5" t="s">
        <v>23</v>
      </c>
      <c r="F155" s="5">
        <v>20</v>
      </c>
      <c r="G155" s="5">
        <v>2141</v>
      </c>
      <c r="H155" s="5">
        <v>2</v>
      </c>
      <c r="I155" s="6">
        <v>46091</v>
      </c>
      <c r="J155" s="6">
        <v>46097</v>
      </c>
      <c r="K155" s="10" t="s">
        <v>29</v>
      </c>
      <c r="L155" s="11" t="str">
        <f t="shared" si="6"/>
        <v>ARJUN</v>
      </c>
      <c r="M155" s="12" t="str">
        <f t="shared" si="7"/>
        <v>table</v>
      </c>
      <c r="N155" s="13">
        <f t="shared" si="8"/>
        <v>5</v>
      </c>
    </row>
    <row r="156" spans="1:14" ht="15" thickBot="1" x14ac:dyDescent="0.4">
      <c r="A156" s="5">
        <v>1275</v>
      </c>
      <c r="B156" s="5" t="s">
        <v>16</v>
      </c>
      <c r="C156" s="5" t="s">
        <v>31</v>
      </c>
      <c r="D156" s="5" t="s">
        <v>13</v>
      </c>
      <c r="E156" s="5" t="s">
        <v>50</v>
      </c>
      <c r="F156" s="5">
        <v>20</v>
      </c>
      <c r="G156" s="5">
        <v>451</v>
      </c>
      <c r="H156" s="5">
        <v>15</v>
      </c>
      <c r="I156" s="6">
        <v>46092</v>
      </c>
      <c r="J156" s="6">
        <v>46094</v>
      </c>
      <c r="K156" s="10" t="s">
        <v>20</v>
      </c>
      <c r="L156" s="11" t="str">
        <f t="shared" si="6"/>
        <v>POOJA</v>
      </c>
      <c r="M156" s="12" t="str">
        <f t="shared" si="7"/>
        <v>marker</v>
      </c>
      <c r="N156" s="13">
        <f t="shared" si="8"/>
        <v>6</v>
      </c>
    </row>
    <row r="157" spans="1:14" ht="15" thickBot="1" x14ac:dyDescent="0.4">
      <c r="A157" s="5">
        <v>1166</v>
      </c>
      <c r="B157" s="5" t="s">
        <v>32</v>
      </c>
      <c r="C157" s="5" t="s">
        <v>31</v>
      </c>
      <c r="D157" s="5" t="s">
        <v>13</v>
      </c>
      <c r="E157" s="5" t="s">
        <v>37</v>
      </c>
      <c r="F157" s="5">
        <v>1</v>
      </c>
      <c r="G157" s="5">
        <v>396</v>
      </c>
      <c r="H157" s="5">
        <v>5</v>
      </c>
      <c r="I157" s="6">
        <v>46092</v>
      </c>
      <c r="J157" s="6">
        <v>46093</v>
      </c>
      <c r="K157" s="10" t="s">
        <v>20</v>
      </c>
      <c r="L157" s="11" t="str">
        <f t="shared" si="6"/>
        <v>ASHA</v>
      </c>
      <c r="M157" s="12" t="str">
        <f t="shared" si="7"/>
        <v>pen pack</v>
      </c>
      <c r="N157" s="13">
        <f t="shared" si="8"/>
        <v>8</v>
      </c>
    </row>
    <row r="158" spans="1:14" ht="15" thickBot="1" x14ac:dyDescent="0.4">
      <c r="A158" s="5">
        <v>1139</v>
      </c>
      <c r="B158" s="5" t="s">
        <v>55</v>
      </c>
      <c r="C158" s="5" t="s">
        <v>33</v>
      </c>
      <c r="D158" s="5" t="s">
        <v>34</v>
      </c>
      <c r="E158" s="5" t="s">
        <v>61</v>
      </c>
      <c r="F158" s="5">
        <v>17</v>
      </c>
      <c r="G158" s="5">
        <v>28839</v>
      </c>
      <c r="H158" s="5">
        <v>10</v>
      </c>
      <c r="I158" s="6">
        <v>46093</v>
      </c>
      <c r="J158" s="6">
        <v>46099</v>
      </c>
      <c r="K158" s="10" t="s">
        <v>15</v>
      </c>
      <c r="L158" s="11" t="str">
        <f t="shared" si="6"/>
        <v>SNEHA</v>
      </c>
      <c r="M158" s="12" t="str">
        <f t="shared" si="7"/>
        <v>mouse</v>
      </c>
      <c r="N158" s="13">
        <f t="shared" si="8"/>
        <v>5</v>
      </c>
    </row>
    <row r="159" spans="1:14" ht="15" thickBot="1" x14ac:dyDescent="0.4">
      <c r="A159" s="5">
        <v>1155</v>
      </c>
      <c r="B159" s="5" t="s">
        <v>11</v>
      </c>
      <c r="C159" s="5" t="s">
        <v>31</v>
      </c>
      <c r="D159" s="5" t="s">
        <v>18</v>
      </c>
      <c r="E159" s="5" t="s">
        <v>28</v>
      </c>
      <c r="F159" s="5">
        <v>13</v>
      </c>
      <c r="G159" s="5">
        <v>4341</v>
      </c>
      <c r="H159" s="5">
        <v>15</v>
      </c>
      <c r="I159" s="6">
        <v>46093</v>
      </c>
      <c r="J159" s="6">
        <v>46096</v>
      </c>
      <c r="K159" s="10" t="s">
        <v>24</v>
      </c>
      <c r="L159" s="11" t="str">
        <f t="shared" si="6"/>
        <v>RITESH</v>
      </c>
      <c r="M159" s="12" t="str">
        <f t="shared" si="7"/>
        <v>chair</v>
      </c>
      <c r="N159" s="13">
        <f t="shared" si="8"/>
        <v>5</v>
      </c>
    </row>
    <row r="160" spans="1:14" ht="15" thickBot="1" x14ac:dyDescent="0.4">
      <c r="A160" s="5">
        <v>1319</v>
      </c>
      <c r="B160" s="5" t="s">
        <v>21</v>
      </c>
      <c r="C160" s="5" t="s">
        <v>17</v>
      </c>
      <c r="D160" s="5" t="s">
        <v>34</v>
      </c>
      <c r="E160" s="5" t="s">
        <v>61</v>
      </c>
      <c r="F160" s="5">
        <v>17</v>
      </c>
      <c r="G160" s="5">
        <v>58407</v>
      </c>
      <c r="H160" s="5">
        <v>7</v>
      </c>
      <c r="I160" s="6">
        <v>46094</v>
      </c>
      <c r="J160" s="6">
        <v>46102</v>
      </c>
      <c r="K160" s="10" t="s">
        <v>15</v>
      </c>
      <c r="L160" s="11" t="str">
        <f t="shared" si="6"/>
        <v>MEERA</v>
      </c>
      <c r="M160" s="12" t="str">
        <f t="shared" si="7"/>
        <v>mouse</v>
      </c>
      <c r="N160" s="13">
        <f t="shared" si="8"/>
        <v>5</v>
      </c>
    </row>
    <row r="161" spans="1:14" ht="15" thickBot="1" x14ac:dyDescent="0.4">
      <c r="A161" s="5">
        <v>1388</v>
      </c>
      <c r="B161" s="5" t="s">
        <v>55</v>
      </c>
      <c r="C161" s="5" t="s">
        <v>31</v>
      </c>
      <c r="D161" s="5" t="s">
        <v>18</v>
      </c>
      <c r="E161" s="5" t="s">
        <v>28</v>
      </c>
      <c r="F161" s="5">
        <v>12</v>
      </c>
      <c r="G161" s="5">
        <v>11662</v>
      </c>
      <c r="H161" s="5">
        <v>12</v>
      </c>
      <c r="I161" s="6">
        <v>46094</v>
      </c>
      <c r="J161" s="6">
        <v>46096</v>
      </c>
      <c r="K161" s="10" t="s">
        <v>20</v>
      </c>
      <c r="L161" s="11" t="str">
        <f t="shared" si="6"/>
        <v>SNEHA</v>
      </c>
      <c r="M161" s="12" t="str">
        <f t="shared" si="7"/>
        <v>chair</v>
      </c>
      <c r="N161" s="13">
        <f t="shared" si="8"/>
        <v>5</v>
      </c>
    </row>
    <row r="162" spans="1:14" ht="15" thickBot="1" x14ac:dyDescent="0.4">
      <c r="A162" s="5">
        <v>1362</v>
      </c>
      <c r="B162" s="5" t="s">
        <v>16</v>
      </c>
      <c r="C162" s="5" t="s">
        <v>12</v>
      </c>
      <c r="D162" s="5" t="s">
        <v>18</v>
      </c>
      <c r="E162" s="5" t="s">
        <v>28</v>
      </c>
      <c r="F162" s="5">
        <v>1</v>
      </c>
      <c r="G162" s="5">
        <v>10474</v>
      </c>
      <c r="H162" s="5">
        <v>0</v>
      </c>
      <c r="I162" s="6">
        <v>46094</v>
      </c>
      <c r="J162" s="6">
        <v>46096</v>
      </c>
      <c r="K162" s="10" t="s">
        <v>29</v>
      </c>
      <c r="L162" s="11" t="str">
        <f t="shared" si="6"/>
        <v>POOJA</v>
      </c>
      <c r="M162" s="12" t="str">
        <f t="shared" si="7"/>
        <v>chair</v>
      </c>
      <c r="N162" s="13">
        <f t="shared" si="8"/>
        <v>5</v>
      </c>
    </row>
    <row r="163" spans="1:14" ht="15" thickBot="1" x14ac:dyDescent="0.4">
      <c r="A163" s="5">
        <v>1345</v>
      </c>
      <c r="B163" s="5" t="s">
        <v>32</v>
      </c>
      <c r="C163" s="5" t="s">
        <v>12</v>
      </c>
      <c r="D163" s="5" t="s">
        <v>34</v>
      </c>
      <c r="E163" s="5" t="s">
        <v>45</v>
      </c>
      <c r="F163" s="5">
        <v>12</v>
      </c>
      <c r="G163" s="5">
        <v>50544</v>
      </c>
      <c r="H163" s="5">
        <v>10</v>
      </c>
      <c r="I163" s="6">
        <v>46095</v>
      </c>
      <c r="J163" s="6">
        <v>46097</v>
      </c>
      <c r="K163" s="10" t="s">
        <v>29</v>
      </c>
      <c r="L163" s="11" t="str">
        <f t="shared" si="6"/>
        <v>ASHA</v>
      </c>
      <c r="M163" s="12" t="str">
        <f t="shared" si="7"/>
        <v>monitor</v>
      </c>
      <c r="N163" s="13">
        <f t="shared" si="8"/>
        <v>7</v>
      </c>
    </row>
    <row r="164" spans="1:14" ht="15" thickBot="1" x14ac:dyDescent="0.4">
      <c r="A164" s="5">
        <v>1013</v>
      </c>
      <c r="B164" s="5" t="s">
        <v>16</v>
      </c>
      <c r="C164" s="5" t="s">
        <v>31</v>
      </c>
      <c r="D164" s="5" t="s">
        <v>13</v>
      </c>
      <c r="E164" s="5" t="s">
        <v>36</v>
      </c>
      <c r="F164" s="5">
        <v>17</v>
      </c>
      <c r="G164" s="5">
        <v>459</v>
      </c>
      <c r="H164" s="5">
        <v>12</v>
      </c>
      <c r="I164" s="6">
        <v>46095</v>
      </c>
      <c r="J164" s="6">
        <v>46105</v>
      </c>
      <c r="K164" s="10" t="s">
        <v>29</v>
      </c>
      <c r="L164" s="11" t="str">
        <f t="shared" si="6"/>
        <v>POOJA</v>
      </c>
      <c r="M164" s="12" t="str">
        <f t="shared" si="7"/>
        <v>stapler</v>
      </c>
      <c r="N164" s="13">
        <f t="shared" si="8"/>
        <v>7</v>
      </c>
    </row>
    <row r="165" spans="1:14" ht="15" thickBot="1" x14ac:dyDescent="0.4">
      <c r="A165" s="5">
        <v>1359</v>
      </c>
      <c r="B165" s="5" t="s">
        <v>54</v>
      </c>
      <c r="C165" s="5" t="s">
        <v>12</v>
      </c>
      <c r="D165" s="5" t="s">
        <v>34</v>
      </c>
      <c r="E165" s="5" t="s">
        <v>61</v>
      </c>
      <c r="F165" s="5">
        <v>9</v>
      </c>
      <c r="G165" s="5">
        <v>38179</v>
      </c>
      <c r="H165" s="5">
        <v>0</v>
      </c>
      <c r="I165" s="6">
        <v>46096</v>
      </c>
      <c r="J165" s="6">
        <v>46099</v>
      </c>
      <c r="K165" s="10" t="s">
        <v>15</v>
      </c>
      <c r="L165" s="11" t="str">
        <f t="shared" si="6"/>
        <v>MANOJ</v>
      </c>
      <c r="M165" s="12" t="str">
        <f t="shared" si="7"/>
        <v>mouse</v>
      </c>
      <c r="N165" s="13">
        <f t="shared" si="8"/>
        <v>5</v>
      </c>
    </row>
    <row r="166" spans="1:14" ht="15" thickBot="1" x14ac:dyDescent="0.4">
      <c r="A166" s="5">
        <v>1266</v>
      </c>
      <c r="B166" s="5" t="s">
        <v>29</v>
      </c>
      <c r="C166" s="5" t="s">
        <v>33</v>
      </c>
      <c r="D166" s="5" t="s">
        <v>13</v>
      </c>
      <c r="E166" s="5" t="s">
        <v>14</v>
      </c>
      <c r="F166" s="5">
        <v>17</v>
      </c>
      <c r="G166" s="5">
        <v>365</v>
      </c>
      <c r="H166" s="5">
        <v>2</v>
      </c>
      <c r="I166" s="6">
        <v>46096</v>
      </c>
      <c r="J166" s="6">
        <v>46104</v>
      </c>
      <c r="K166" s="10" t="s">
        <v>51</v>
      </c>
      <c r="L166" s="11" t="str">
        <f t="shared" si="6"/>
        <v>PRIYA</v>
      </c>
      <c r="M166" s="12" t="str">
        <f t="shared" si="7"/>
        <v>notebook</v>
      </c>
      <c r="N166" s="13">
        <f t="shared" si="8"/>
        <v>8</v>
      </c>
    </row>
    <row r="167" spans="1:14" ht="15" thickBot="1" x14ac:dyDescent="0.4">
      <c r="A167" s="5">
        <v>1238</v>
      </c>
      <c r="B167" s="5" t="s">
        <v>30</v>
      </c>
      <c r="C167" s="5" t="s">
        <v>31</v>
      </c>
      <c r="D167" s="5" t="s">
        <v>13</v>
      </c>
      <c r="E167" s="5" t="s">
        <v>14</v>
      </c>
      <c r="F167" s="5">
        <v>6</v>
      </c>
      <c r="G167" s="5">
        <v>180</v>
      </c>
      <c r="H167" s="5">
        <v>12</v>
      </c>
      <c r="I167" s="6">
        <v>46096</v>
      </c>
      <c r="J167" s="6">
        <v>46097</v>
      </c>
      <c r="K167" s="10" t="s">
        <v>51</v>
      </c>
      <c r="L167" s="11" t="str">
        <f t="shared" si="6"/>
        <v>NEHA</v>
      </c>
      <c r="M167" s="12" t="str">
        <f t="shared" si="7"/>
        <v>notebook</v>
      </c>
      <c r="N167" s="13">
        <f t="shared" si="8"/>
        <v>8</v>
      </c>
    </row>
    <row r="168" spans="1:14" ht="15" thickBot="1" x14ac:dyDescent="0.4">
      <c r="A168" s="5">
        <v>1276</v>
      </c>
      <c r="B168" s="5" t="s">
        <v>40</v>
      </c>
      <c r="C168" s="5" t="s">
        <v>12</v>
      </c>
      <c r="D168" s="5" t="s">
        <v>18</v>
      </c>
      <c r="E168" s="5" t="s">
        <v>19</v>
      </c>
      <c r="F168" s="5">
        <v>1</v>
      </c>
      <c r="G168" s="5">
        <v>13437</v>
      </c>
      <c r="H168" s="5">
        <v>15</v>
      </c>
      <c r="I168" s="6">
        <v>46097</v>
      </c>
      <c r="J168" s="6">
        <v>46099</v>
      </c>
      <c r="K168" s="10" t="s">
        <v>24</v>
      </c>
      <c r="L168" s="11" t="str">
        <f t="shared" si="6"/>
        <v>DEEPAK</v>
      </c>
      <c r="M168" s="12" t="str">
        <f t="shared" si="7"/>
        <v>desk</v>
      </c>
      <c r="N168" s="13">
        <f t="shared" si="8"/>
        <v>4</v>
      </c>
    </row>
    <row r="169" spans="1:14" ht="15" thickBot="1" x14ac:dyDescent="0.4">
      <c r="A169" s="5">
        <v>1030</v>
      </c>
      <c r="B169" s="5" t="s">
        <v>52</v>
      </c>
      <c r="C169" s="5" t="s">
        <v>12</v>
      </c>
      <c r="D169" s="5" t="s">
        <v>13</v>
      </c>
      <c r="E169" s="5" t="s">
        <v>53</v>
      </c>
      <c r="F169" s="5">
        <v>13</v>
      </c>
      <c r="G169" s="5">
        <v>336</v>
      </c>
      <c r="H169" s="5">
        <v>10</v>
      </c>
      <c r="I169" s="6">
        <v>46098</v>
      </c>
      <c r="J169" s="6">
        <v>46108</v>
      </c>
      <c r="K169" s="10" t="s">
        <v>15</v>
      </c>
      <c r="L169" s="11" t="str">
        <f t="shared" si="6"/>
        <v>KOMAL</v>
      </c>
      <c r="M169" s="12" t="str">
        <f t="shared" si="7"/>
        <v>diary</v>
      </c>
      <c r="N169" s="13">
        <f t="shared" si="8"/>
        <v>5</v>
      </c>
    </row>
    <row r="170" spans="1:14" ht="15" thickBot="1" x14ac:dyDescent="0.4">
      <c r="A170" s="5">
        <v>1391</v>
      </c>
      <c r="B170" s="5" t="s">
        <v>30</v>
      </c>
      <c r="C170" s="5" t="s">
        <v>31</v>
      </c>
      <c r="D170" s="5" t="s">
        <v>34</v>
      </c>
      <c r="E170" s="5" t="s">
        <v>35</v>
      </c>
      <c r="F170" s="5">
        <v>5</v>
      </c>
      <c r="G170" s="5">
        <v>65270</v>
      </c>
      <c r="H170" s="5">
        <v>5</v>
      </c>
      <c r="I170" s="6">
        <v>46100</v>
      </c>
      <c r="J170" s="6">
        <v>46103</v>
      </c>
      <c r="K170" s="10" t="s">
        <v>24</v>
      </c>
      <c r="L170" s="11" t="str">
        <f t="shared" si="6"/>
        <v>NEHA</v>
      </c>
      <c r="M170" s="12" t="str">
        <f t="shared" si="7"/>
        <v>printer</v>
      </c>
      <c r="N170" s="13">
        <f t="shared" si="8"/>
        <v>7</v>
      </c>
    </row>
    <row r="171" spans="1:14" ht="15" thickBot="1" x14ac:dyDescent="0.4">
      <c r="A171" s="5">
        <v>1162</v>
      </c>
      <c r="B171" s="5" t="s">
        <v>57</v>
      </c>
      <c r="C171" s="5" t="s">
        <v>31</v>
      </c>
      <c r="D171" s="5" t="s">
        <v>34</v>
      </c>
      <c r="E171" s="5" t="s">
        <v>45</v>
      </c>
      <c r="F171" s="5">
        <v>2</v>
      </c>
      <c r="G171" s="5">
        <v>28176</v>
      </c>
      <c r="H171" s="5">
        <v>10</v>
      </c>
      <c r="I171" s="6">
        <v>46100</v>
      </c>
      <c r="J171" s="6">
        <v>46101</v>
      </c>
      <c r="K171" s="10" t="s">
        <v>20</v>
      </c>
      <c r="L171" s="11" t="str">
        <f t="shared" si="6"/>
        <v>SARA</v>
      </c>
      <c r="M171" s="12" t="str">
        <f t="shared" si="7"/>
        <v>monitor</v>
      </c>
      <c r="N171" s="13">
        <f t="shared" si="8"/>
        <v>7</v>
      </c>
    </row>
    <row r="172" spans="1:14" ht="15" thickBot="1" x14ac:dyDescent="0.4">
      <c r="A172" s="5">
        <v>1283</v>
      </c>
      <c r="B172" s="5" t="s">
        <v>40</v>
      </c>
      <c r="C172" s="5" t="s">
        <v>12</v>
      </c>
      <c r="D172" s="5" t="s">
        <v>18</v>
      </c>
      <c r="E172" s="5" t="s">
        <v>23</v>
      </c>
      <c r="F172" s="5">
        <v>6</v>
      </c>
      <c r="G172" s="5">
        <v>1167</v>
      </c>
      <c r="H172" s="5">
        <v>2</v>
      </c>
      <c r="I172" s="6">
        <v>46100</v>
      </c>
      <c r="J172" s="6">
        <v>46106</v>
      </c>
      <c r="K172" s="10" t="s">
        <v>15</v>
      </c>
      <c r="L172" s="11" t="str">
        <f t="shared" si="6"/>
        <v>DEEPAK</v>
      </c>
      <c r="M172" s="12" t="str">
        <f t="shared" si="7"/>
        <v>table</v>
      </c>
      <c r="N172" s="13">
        <f t="shared" si="8"/>
        <v>5</v>
      </c>
    </row>
    <row r="173" spans="1:14" ht="15" thickBot="1" x14ac:dyDescent="0.4">
      <c r="A173" s="5">
        <v>1094</v>
      </c>
      <c r="B173" s="5" t="s">
        <v>47</v>
      </c>
      <c r="C173" s="5" t="s">
        <v>43</v>
      </c>
      <c r="D173" s="5" t="s">
        <v>34</v>
      </c>
      <c r="E173" s="5" t="s">
        <v>61</v>
      </c>
      <c r="F173" s="5">
        <v>4</v>
      </c>
      <c r="G173" s="5">
        <v>7073</v>
      </c>
      <c r="H173" s="5">
        <v>0</v>
      </c>
      <c r="I173" s="6">
        <v>46101</v>
      </c>
      <c r="J173" s="6">
        <v>46105</v>
      </c>
      <c r="K173" s="10" t="s">
        <v>29</v>
      </c>
      <c r="L173" s="11" t="str">
        <f t="shared" si="6"/>
        <v>YASH</v>
      </c>
      <c r="M173" s="12" t="str">
        <f t="shared" si="7"/>
        <v>mouse</v>
      </c>
      <c r="N173" s="13">
        <f t="shared" si="8"/>
        <v>5</v>
      </c>
    </row>
    <row r="174" spans="1:14" ht="15" thickBot="1" x14ac:dyDescent="0.4">
      <c r="A174" s="5">
        <v>1387</v>
      </c>
      <c r="B174" s="5" t="s">
        <v>54</v>
      </c>
      <c r="C174" s="5" t="s">
        <v>33</v>
      </c>
      <c r="D174" s="5" t="s">
        <v>34</v>
      </c>
      <c r="E174" s="5" t="s">
        <v>35</v>
      </c>
      <c r="F174" s="5">
        <v>11</v>
      </c>
      <c r="G174" s="5">
        <v>56515</v>
      </c>
      <c r="H174" s="5">
        <v>5</v>
      </c>
      <c r="I174" s="6">
        <v>46102</v>
      </c>
      <c r="J174" s="6">
        <v>46112</v>
      </c>
      <c r="K174" s="10" t="s">
        <v>24</v>
      </c>
      <c r="L174" s="11" t="str">
        <f t="shared" si="6"/>
        <v>MANOJ</v>
      </c>
      <c r="M174" s="12" t="str">
        <f t="shared" si="7"/>
        <v>printer</v>
      </c>
      <c r="N174" s="13">
        <f t="shared" si="8"/>
        <v>7</v>
      </c>
    </row>
    <row r="175" spans="1:14" ht="15" thickBot="1" x14ac:dyDescent="0.4">
      <c r="A175" s="5">
        <v>1049</v>
      </c>
      <c r="B175" s="5" t="s">
        <v>52</v>
      </c>
      <c r="C175" s="5" t="s">
        <v>25</v>
      </c>
      <c r="D175" s="5" t="s">
        <v>34</v>
      </c>
      <c r="E175" s="5" t="s">
        <v>45</v>
      </c>
      <c r="F175" s="5">
        <v>2</v>
      </c>
      <c r="G175" s="5">
        <v>40789</v>
      </c>
      <c r="H175" s="5">
        <v>0</v>
      </c>
      <c r="I175" s="6">
        <v>46102</v>
      </c>
      <c r="J175" s="6">
        <v>46108</v>
      </c>
      <c r="K175" s="10" t="s">
        <v>24</v>
      </c>
      <c r="L175" s="11" t="str">
        <f t="shared" si="6"/>
        <v>KOMAL</v>
      </c>
      <c r="M175" s="12" t="str">
        <f t="shared" si="7"/>
        <v>monitor</v>
      </c>
      <c r="N175" s="13">
        <f t="shared" si="8"/>
        <v>7</v>
      </c>
    </row>
    <row r="176" spans="1:14" ht="15" thickBot="1" x14ac:dyDescent="0.4">
      <c r="A176" s="5">
        <v>1145</v>
      </c>
      <c r="B176" s="5" t="s">
        <v>42</v>
      </c>
      <c r="C176" s="5" t="s">
        <v>33</v>
      </c>
      <c r="D176" s="5" t="s">
        <v>34</v>
      </c>
      <c r="E176" s="5" t="s">
        <v>39</v>
      </c>
      <c r="F176" s="5">
        <v>2</v>
      </c>
      <c r="G176" s="5">
        <v>34429</v>
      </c>
      <c r="H176" s="5">
        <v>12</v>
      </c>
      <c r="I176" s="6">
        <v>46102</v>
      </c>
      <c r="J176" s="6">
        <v>46112</v>
      </c>
      <c r="K176" s="10" t="s">
        <v>24</v>
      </c>
      <c r="L176" s="11" t="str">
        <f t="shared" si="6"/>
        <v>NISHA</v>
      </c>
      <c r="M176" s="12" t="str">
        <f t="shared" si="7"/>
        <v>keyboard</v>
      </c>
      <c r="N176" s="13">
        <f t="shared" si="8"/>
        <v>8</v>
      </c>
    </row>
    <row r="177" spans="1:14" ht="15" thickBot="1" x14ac:dyDescent="0.4">
      <c r="A177" s="5">
        <v>1121</v>
      </c>
      <c r="B177" s="5" t="s">
        <v>29</v>
      </c>
      <c r="C177" s="5" t="s">
        <v>12</v>
      </c>
      <c r="D177" s="5" t="s">
        <v>34</v>
      </c>
      <c r="E177" s="5" t="s">
        <v>39</v>
      </c>
      <c r="F177" s="5">
        <v>4</v>
      </c>
      <c r="G177" s="5">
        <v>55809</v>
      </c>
      <c r="H177" s="5">
        <v>2</v>
      </c>
      <c r="I177" s="6">
        <v>46103</v>
      </c>
      <c r="J177" s="6">
        <v>46108</v>
      </c>
      <c r="K177" s="10" t="s">
        <v>29</v>
      </c>
      <c r="L177" s="11" t="str">
        <f t="shared" si="6"/>
        <v>PRIYA</v>
      </c>
      <c r="M177" s="12" t="str">
        <f t="shared" si="7"/>
        <v>keyboard</v>
      </c>
      <c r="N177" s="13">
        <f t="shared" si="8"/>
        <v>8</v>
      </c>
    </row>
    <row r="178" spans="1:14" ht="15" thickBot="1" x14ac:dyDescent="0.4">
      <c r="A178" s="5">
        <v>1209</v>
      </c>
      <c r="B178" s="5" t="s">
        <v>48</v>
      </c>
      <c r="C178" s="5" t="s">
        <v>38</v>
      </c>
      <c r="D178" s="5" t="s">
        <v>34</v>
      </c>
      <c r="E178" s="5" t="s">
        <v>35</v>
      </c>
      <c r="F178" s="5">
        <v>19</v>
      </c>
      <c r="G178" s="5">
        <v>20284</v>
      </c>
      <c r="H178" s="5">
        <v>10</v>
      </c>
      <c r="I178" s="6">
        <v>46103</v>
      </c>
      <c r="J178" s="6">
        <v>46110</v>
      </c>
      <c r="K178" s="10" t="s">
        <v>20</v>
      </c>
      <c r="L178" s="11" t="str">
        <f t="shared" si="6"/>
        <v>NITIN</v>
      </c>
      <c r="M178" s="12" t="str">
        <f t="shared" si="7"/>
        <v>printer</v>
      </c>
      <c r="N178" s="13">
        <f t="shared" si="8"/>
        <v>7</v>
      </c>
    </row>
    <row r="179" spans="1:14" ht="15" thickBot="1" x14ac:dyDescent="0.4">
      <c r="A179" s="5">
        <v>1161</v>
      </c>
      <c r="B179" s="5" t="s">
        <v>27</v>
      </c>
      <c r="C179" s="5" t="s">
        <v>25</v>
      </c>
      <c r="D179" s="5" t="s">
        <v>34</v>
      </c>
      <c r="E179" s="5" t="s">
        <v>39</v>
      </c>
      <c r="F179" s="5">
        <v>4</v>
      </c>
      <c r="G179" s="5">
        <v>54659</v>
      </c>
      <c r="H179" s="5">
        <v>7</v>
      </c>
      <c r="I179" s="6">
        <v>46105</v>
      </c>
      <c r="J179" s="6">
        <v>46109</v>
      </c>
      <c r="K179" s="10" t="s">
        <v>20</v>
      </c>
      <c r="L179" s="11" t="str">
        <f t="shared" si="6"/>
        <v>ARJUN</v>
      </c>
      <c r="M179" s="12" t="str">
        <f t="shared" si="7"/>
        <v>keyboard</v>
      </c>
      <c r="N179" s="13">
        <f t="shared" si="8"/>
        <v>8</v>
      </c>
    </row>
    <row r="180" spans="1:14" ht="15" thickBot="1" x14ac:dyDescent="0.4">
      <c r="A180" s="5">
        <v>1377</v>
      </c>
      <c r="B180" s="5" t="s">
        <v>32</v>
      </c>
      <c r="C180" s="5" t="s">
        <v>38</v>
      </c>
      <c r="D180" s="5" t="s">
        <v>18</v>
      </c>
      <c r="E180" s="5" t="s">
        <v>19</v>
      </c>
      <c r="F180" s="5">
        <v>3</v>
      </c>
      <c r="G180" s="5">
        <v>5480</v>
      </c>
      <c r="H180" s="5">
        <v>12</v>
      </c>
      <c r="I180" s="6">
        <v>46105</v>
      </c>
      <c r="J180" s="6">
        <v>46111</v>
      </c>
      <c r="K180" s="10" t="s">
        <v>24</v>
      </c>
      <c r="L180" s="11" t="str">
        <f t="shared" si="6"/>
        <v>ASHA</v>
      </c>
      <c r="M180" s="12" t="str">
        <f t="shared" si="7"/>
        <v>desk</v>
      </c>
      <c r="N180" s="13">
        <f t="shared" si="8"/>
        <v>4</v>
      </c>
    </row>
    <row r="181" spans="1:14" ht="15" thickBot="1" x14ac:dyDescent="0.4">
      <c r="A181" s="5">
        <v>1170</v>
      </c>
      <c r="B181" s="5" t="s">
        <v>49</v>
      </c>
      <c r="C181" s="5" t="s">
        <v>38</v>
      </c>
      <c r="D181" s="5" t="s">
        <v>13</v>
      </c>
      <c r="E181" s="5" t="s">
        <v>14</v>
      </c>
      <c r="F181" s="5">
        <v>6</v>
      </c>
      <c r="G181" s="5">
        <v>339</v>
      </c>
      <c r="H181" s="5">
        <v>12</v>
      </c>
      <c r="I181" s="6">
        <v>46105</v>
      </c>
      <c r="J181" s="6">
        <v>46106</v>
      </c>
      <c r="K181" s="10" t="s">
        <v>24</v>
      </c>
      <c r="L181" s="11" t="str">
        <f t="shared" si="6"/>
        <v>AJAY</v>
      </c>
      <c r="M181" s="12" t="str">
        <f t="shared" si="7"/>
        <v>notebook</v>
      </c>
      <c r="N181" s="13">
        <f t="shared" si="8"/>
        <v>8</v>
      </c>
    </row>
    <row r="182" spans="1:14" ht="15" thickBot="1" x14ac:dyDescent="0.4">
      <c r="A182" s="5">
        <v>1102</v>
      </c>
      <c r="B182" s="5" t="s">
        <v>54</v>
      </c>
      <c r="C182" s="5" t="s">
        <v>25</v>
      </c>
      <c r="D182" s="5" t="s">
        <v>34</v>
      </c>
      <c r="E182" s="5" t="s">
        <v>45</v>
      </c>
      <c r="F182" s="5">
        <v>12</v>
      </c>
      <c r="G182" s="5">
        <v>63402</v>
      </c>
      <c r="H182" s="5">
        <v>7</v>
      </c>
      <c r="I182" s="6">
        <v>46106</v>
      </c>
      <c r="J182" s="6">
        <v>46113</v>
      </c>
      <c r="K182" s="10" t="s">
        <v>51</v>
      </c>
      <c r="L182" s="11" t="str">
        <f t="shared" si="6"/>
        <v>MANOJ</v>
      </c>
      <c r="M182" s="12" t="str">
        <f t="shared" si="7"/>
        <v>monitor</v>
      </c>
      <c r="N182" s="13">
        <f t="shared" si="8"/>
        <v>7</v>
      </c>
    </row>
    <row r="183" spans="1:14" ht="15" thickBot="1" x14ac:dyDescent="0.4">
      <c r="A183" s="5">
        <v>1198</v>
      </c>
      <c r="B183" s="5" t="s">
        <v>58</v>
      </c>
      <c r="C183" s="5" t="s">
        <v>12</v>
      </c>
      <c r="D183" s="5" t="s">
        <v>13</v>
      </c>
      <c r="E183" s="5" t="s">
        <v>14</v>
      </c>
      <c r="F183" s="5">
        <v>12</v>
      </c>
      <c r="G183" s="5">
        <v>491</v>
      </c>
      <c r="H183" s="5">
        <v>2</v>
      </c>
      <c r="I183" s="6">
        <v>46106</v>
      </c>
      <c r="J183" s="6">
        <v>46109</v>
      </c>
      <c r="K183" s="10" t="s">
        <v>51</v>
      </c>
      <c r="L183" s="11" t="str">
        <f t="shared" si="6"/>
        <v>ROHAN</v>
      </c>
      <c r="M183" s="12" t="str">
        <f t="shared" si="7"/>
        <v>notebook</v>
      </c>
      <c r="N183" s="13">
        <f t="shared" si="8"/>
        <v>8</v>
      </c>
    </row>
    <row r="184" spans="1:14" ht="15" thickBot="1" x14ac:dyDescent="0.4">
      <c r="A184" s="5">
        <v>1379</v>
      </c>
      <c r="B184" s="5" t="s">
        <v>47</v>
      </c>
      <c r="C184" s="5" t="s">
        <v>17</v>
      </c>
      <c r="D184" s="5" t="s">
        <v>13</v>
      </c>
      <c r="E184" s="5" t="s">
        <v>14</v>
      </c>
      <c r="F184" s="5">
        <v>11</v>
      </c>
      <c r="G184" s="5">
        <v>136</v>
      </c>
      <c r="H184" s="5">
        <v>15</v>
      </c>
      <c r="I184" s="6">
        <v>46106</v>
      </c>
      <c r="J184" s="6">
        <v>46107</v>
      </c>
      <c r="K184" s="10" t="s">
        <v>20</v>
      </c>
      <c r="L184" s="11" t="str">
        <f t="shared" si="6"/>
        <v>YASH</v>
      </c>
      <c r="M184" s="12" t="str">
        <f t="shared" si="7"/>
        <v>notebook</v>
      </c>
      <c r="N184" s="13">
        <f t="shared" si="8"/>
        <v>8</v>
      </c>
    </row>
    <row r="185" spans="1:14" ht="15" thickBot="1" x14ac:dyDescent="0.4">
      <c r="A185" s="5">
        <v>1039</v>
      </c>
      <c r="B185" s="5" t="s">
        <v>48</v>
      </c>
      <c r="C185" s="5" t="s">
        <v>38</v>
      </c>
      <c r="D185" s="5" t="s">
        <v>34</v>
      </c>
      <c r="E185" s="5" t="s">
        <v>45</v>
      </c>
      <c r="F185" s="5">
        <v>5</v>
      </c>
      <c r="G185" s="5">
        <v>60236</v>
      </c>
      <c r="H185" s="5">
        <v>10</v>
      </c>
      <c r="I185" s="6">
        <v>46107</v>
      </c>
      <c r="J185" s="6">
        <v>46110</v>
      </c>
      <c r="K185" s="10" t="s">
        <v>20</v>
      </c>
      <c r="L185" s="11" t="str">
        <f t="shared" si="6"/>
        <v>NITIN</v>
      </c>
      <c r="M185" s="12" t="str">
        <f t="shared" si="7"/>
        <v>monitor</v>
      </c>
      <c r="N185" s="13">
        <f t="shared" si="8"/>
        <v>7</v>
      </c>
    </row>
    <row r="186" spans="1:14" ht="15" thickBot="1" x14ac:dyDescent="0.4">
      <c r="A186" s="5">
        <v>1321</v>
      </c>
      <c r="B186" s="5" t="s">
        <v>32</v>
      </c>
      <c r="C186" s="5" t="s">
        <v>22</v>
      </c>
      <c r="D186" s="5" t="s">
        <v>18</v>
      </c>
      <c r="E186" s="5" t="s">
        <v>19</v>
      </c>
      <c r="F186" s="5">
        <v>8</v>
      </c>
      <c r="G186" s="5">
        <v>5619</v>
      </c>
      <c r="H186" s="5">
        <v>7</v>
      </c>
      <c r="I186" s="6">
        <v>46107</v>
      </c>
      <c r="J186" s="6">
        <v>46109</v>
      </c>
      <c r="K186" s="10" t="s">
        <v>51</v>
      </c>
      <c r="L186" s="11" t="str">
        <f t="shared" si="6"/>
        <v>ASHA</v>
      </c>
      <c r="M186" s="12" t="str">
        <f t="shared" si="7"/>
        <v>desk</v>
      </c>
      <c r="N186" s="13">
        <f t="shared" si="8"/>
        <v>4</v>
      </c>
    </row>
    <row r="187" spans="1:14" ht="15" thickBot="1" x14ac:dyDescent="0.4">
      <c r="A187" s="5">
        <v>1123</v>
      </c>
      <c r="B187" s="5" t="s">
        <v>32</v>
      </c>
      <c r="C187" s="5" t="s">
        <v>31</v>
      </c>
      <c r="D187" s="5" t="s">
        <v>34</v>
      </c>
      <c r="E187" s="5" t="s">
        <v>45</v>
      </c>
      <c r="F187" s="5">
        <v>16</v>
      </c>
      <c r="G187" s="5">
        <v>1332</v>
      </c>
      <c r="H187" s="5">
        <v>7</v>
      </c>
      <c r="I187" s="6">
        <v>46107</v>
      </c>
      <c r="J187" s="6">
        <v>46109</v>
      </c>
      <c r="K187" s="10" t="s">
        <v>29</v>
      </c>
      <c r="L187" s="11" t="str">
        <f t="shared" si="6"/>
        <v>ASHA</v>
      </c>
      <c r="M187" s="12" t="str">
        <f t="shared" si="7"/>
        <v>monitor</v>
      </c>
      <c r="N187" s="13">
        <f t="shared" si="8"/>
        <v>7</v>
      </c>
    </row>
    <row r="188" spans="1:14" ht="15" thickBot="1" x14ac:dyDescent="0.4">
      <c r="A188" s="5">
        <v>1182</v>
      </c>
      <c r="B188" s="5" t="s">
        <v>42</v>
      </c>
      <c r="C188" s="5" t="s">
        <v>12</v>
      </c>
      <c r="D188" s="5" t="s">
        <v>34</v>
      </c>
      <c r="E188" s="5" t="s">
        <v>39</v>
      </c>
      <c r="F188" s="5">
        <v>8</v>
      </c>
      <c r="G188" s="5">
        <v>66022</v>
      </c>
      <c r="H188" s="5">
        <v>12</v>
      </c>
      <c r="I188" s="6">
        <v>46108</v>
      </c>
      <c r="J188" s="6">
        <v>46114</v>
      </c>
      <c r="K188" s="10" t="s">
        <v>24</v>
      </c>
      <c r="L188" s="11" t="str">
        <f t="shared" si="6"/>
        <v>NISHA</v>
      </c>
      <c r="M188" s="12" t="str">
        <f t="shared" si="7"/>
        <v>keyboard</v>
      </c>
      <c r="N188" s="13">
        <f t="shared" si="8"/>
        <v>8</v>
      </c>
    </row>
    <row r="189" spans="1:14" ht="15" thickBot="1" x14ac:dyDescent="0.4">
      <c r="A189" s="5">
        <v>1183</v>
      </c>
      <c r="B189" s="5" t="s">
        <v>52</v>
      </c>
      <c r="C189" s="5" t="s">
        <v>43</v>
      </c>
      <c r="D189" s="5" t="s">
        <v>13</v>
      </c>
      <c r="E189" s="5" t="s">
        <v>14</v>
      </c>
      <c r="F189" s="5">
        <v>2</v>
      </c>
      <c r="G189" s="5">
        <v>309</v>
      </c>
      <c r="H189" s="5">
        <v>2</v>
      </c>
      <c r="I189" s="6">
        <v>46109</v>
      </c>
      <c r="J189" s="6">
        <v>46111</v>
      </c>
      <c r="K189" s="10" t="s">
        <v>20</v>
      </c>
      <c r="L189" s="11" t="str">
        <f t="shared" si="6"/>
        <v>KOMAL</v>
      </c>
      <c r="M189" s="12" t="str">
        <f t="shared" si="7"/>
        <v>notebook</v>
      </c>
      <c r="N189" s="13">
        <f t="shared" si="8"/>
        <v>8</v>
      </c>
    </row>
    <row r="190" spans="1:14" ht="15" thickBot="1" x14ac:dyDescent="0.4">
      <c r="A190" s="5">
        <v>1328</v>
      </c>
      <c r="B190" s="5" t="s">
        <v>16</v>
      </c>
      <c r="C190" s="5" t="s">
        <v>38</v>
      </c>
      <c r="D190" s="5" t="s">
        <v>13</v>
      </c>
      <c r="E190" s="5" t="s">
        <v>36</v>
      </c>
      <c r="F190" s="5">
        <v>4</v>
      </c>
      <c r="G190" s="5">
        <v>132</v>
      </c>
      <c r="H190" s="5">
        <v>0</v>
      </c>
      <c r="I190" s="6">
        <v>46109</v>
      </c>
      <c r="J190" s="6">
        <v>46114</v>
      </c>
      <c r="K190" s="10" t="s">
        <v>29</v>
      </c>
      <c r="L190" s="11" t="str">
        <f t="shared" si="6"/>
        <v>POOJA</v>
      </c>
      <c r="M190" s="12" t="str">
        <f t="shared" si="7"/>
        <v>stapler</v>
      </c>
      <c r="N190" s="13">
        <f t="shared" si="8"/>
        <v>7</v>
      </c>
    </row>
    <row r="191" spans="1:14" ht="15" thickBot="1" x14ac:dyDescent="0.4">
      <c r="A191" s="5">
        <v>1290</v>
      </c>
      <c r="B191" s="5" t="s">
        <v>26</v>
      </c>
      <c r="C191" s="5" t="s">
        <v>22</v>
      </c>
      <c r="D191" s="5" t="s">
        <v>34</v>
      </c>
      <c r="E191" s="5" t="s">
        <v>35</v>
      </c>
      <c r="F191" s="5">
        <v>3</v>
      </c>
      <c r="G191" s="5">
        <v>69793</v>
      </c>
      <c r="H191" s="5">
        <v>15</v>
      </c>
      <c r="I191" s="6">
        <v>46110</v>
      </c>
      <c r="J191" s="6">
        <v>46111</v>
      </c>
      <c r="K191" s="10" t="s">
        <v>29</v>
      </c>
      <c r="L191" s="11" t="str">
        <f t="shared" si="6"/>
        <v>VIKRAM</v>
      </c>
      <c r="M191" s="12" t="str">
        <f t="shared" si="7"/>
        <v>printer</v>
      </c>
      <c r="N191" s="13">
        <f t="shared" si="8"/>
        <v>7</v>
      </c>
    </row>
    <row r="192" spans="1:14" ht="15" thickBot="1" x14ac:dyDescent="0.4">
      <c r="A192" s="5">
        <v>1193</v>
      </c>
      <c r="B192" s="5" t="s">
        <v>57</v>
      </c>
      <c r="C192" s="5" t="s">
        <v>12</v>
      </c>
      <c r="D192" s="5" t="s">
        <v>18</v>
      </c>
      <c r="E192" s="5" t="s">
        <v>23</v>
      </c>
      <c r="F192" s="5">
        <v>19</v>
      </c>
      <c r="G192" s="5">
        <v>2699</v>
      </c>
      <c r="H192" s="5">
        <v>7</v>
      </c>
      <c r="I192" s="6">
        <v>46110</v>
      </c>
      <c r="J192" s="6">
        <v>46112</v>
      </c>
      <c r="K192" s="10" t="s">
        <v>29</v>
      </c>
      <c r="L192" s="11" t="str">
        <f t="shared" si="6"/>
        <v>SARA</v>
      </c>
      <c r="M192" s="12" t="str">
        <f t="shared" si="7"/>
        <v>table</v>
      </c>
      <c r="N192" s="13">
        <f t="shared" si="8"/>
        <v>5</v>
      </c>
    </row>
    <row r="193" spans="1:14" ht="15" thickBot="1" x14ac:dyDescent="0.4">
      <c r="A193" s="5">
        <v>1300</v>
      </c>
      <c r="B193" s="5" t="s">
        <v>47</v>
      </c>
      <c r="C193" s="5" t="s">
        <v>33</v>
      </c>
      <c r="D193" s="5" t="s">
        <v>34</v>
      </c>
      <c r="E193" s="5" t="s">
        <v>45</v>
      </c>
      <c r="F193" s="5">
        <v>20</v>
      </c>
      <c r="G193" s="5">
        <v>1392</v>
      </c>
      <c r="H193" s="5">
        <v>2</v>
      </c>
      <c r="I193" s="6">
        <v>46110</v>
      </c>
      <c r="J193" s="6">
        <v>46117</v>
      </c>
      <c r="K193" s="10" t="s">
        <v>24</v>
      </c>
      <c r="L193" s="11" t="str">
        <f t="shared" si="6"/>
        <v>YASH</v>
      </c>
      <c r="M193" s="12" t="str">
        <f t="shared" si="7"/>
        <v>monitor</v>
      </c>
      <c r="N193" s="13">
        <f t="shared" si="8"/>
        <v>7</v>
      </c>
    </row>
    <row r="194" spans="1:14" ht="15" thickBot="1" x14ac:dyDescent="0.4">
      <c r="A194" s="5">
        <v>1180</v>
      </c>
      <c r="B194" s="5" t="s">
        <v>40</v>
      </c>
      <c r="C194" s="5" t="s">
        <v>31</v>
      </c>
      <c r="D194" s="5" t="s">
        <v>18</v>
      </c>
      <c r="E194" s="5" t="s">
        <v>28</v>
      </c>
      <c r="F194" s="5">
        <v>2</v>
      </c>
      <c r="G194" s="5">
        <v>2076</v>
      </c>
      <c r="H194" s="5">
        <v>2</v>
      </c>
      <c r="I194" s="6">
        <v>46111</v>
      </c>
      <c r="J194" s="6">
        <v>46121</v>
      </c>
      <c r="K194" s="10" t="s">
        <v>29</v>
      </c>
      <c r="L194" s="11" t="str">
        <f t="shared" si="6"/>
        <v>DEEPAK</v>
      </c>
      <c r="M194" s="12" t="str">
        <f t="shared" si="7"/>
        <v>chair</v>
      </c>
      <c r="N194" s="13">
        <f t="shared" si="8"/>
        <v>5</v>
      </c>
    </row>
    <row r="195" spans="1:14" ht="15" thickBot="1" x14ac:dyDescent="0.4">
      <c r="A195" s="5">
        <v>1178</v>
      </c>
      <c r="B195" s="5" t="s">
        <v>57</v>
      </c>
      <c r="C195" s="5" t="s">
        <v>17</v>
      </c>
      <c r="D195" s="5" t="s">
        <v>13</v>
      </c>
      <c r="E195" s="5" t="s">
        <v>50</v>
      </c>
      <c r="F195" s="5">
        <v>5</v>
      </c>
      <c r="G195" s="5">
        <v>50</v>
      </c>
      <c r="H195" s="5">
        <v>0</v>
      </c>
      <c r="I195" s="6">
        <v>46111</v>
      </c>
      <c r="J195" s="6">
        <v>46117</v>
      </c>
      <c r="K195" s="10" t="s">
        <v>20</v>
      </c>
      <c r="L195" s="11" t="str">
        <f t="shared" ref="L195:L258" si="9">UPPER(B195)</f>
        <v>SARA</v>
      </c>
      <c r="M195" s="12" t="str">
        <f t="shared" ref="M195:M258" si="10">LOWER(E195)</f>
        <v>marker</v>
      </c>
      <c r="N195" s="13">
        <f t="shared" ref="N195:N258" si="11">LEN(E195)</f>
        <v>6</v>
      </c>
    </row>
    <row r="196" spans="1:14" ht="15" thickBot="1" x14ac:dyDescent="0.4">
      <c r="A196" s="5">
        <v>1251</v>
      </c>
      <c r="B196" s="5" t="s">
        <v>55</v>
      </c>
      <c r="C196" s="5" t="s">
        <v>38</v>
      </c>
      <c r="D196" s="5" t="s">
        <v>34</v>
      </c>
      <c r="E196" s="5" t="s">
        <v>61</v>
      </c>
      <c r="F196" s="5">
        <v>19</v>
      </c>
      <c r="G196" s="5">
        <v>48548</v>
      </c>
      <c r="H196" s="5">
        <v>0</v>
      </c>
      <c r="I196" s="6">
        <v>46112</v>
      </c>
      <c r="J196" s="6">
        <v>46121</v>
      </c>
      <c r="K196" s="10" t="s">
        <v>51</v>
      </c>
      <c r="L196" s="11" t="str">
        <f t="shared" si="9"/>
        <v>SNEHA</v>
      </c>
      <c r="M196" s="12" t="str">
        <f t="shared" si="10"/>
        <v>mouse</v>
      </c>
      <c r="N196" s="13">
        <f t="shared" si="11"/>
        <v>5</v>
      </c>
    </row>
    <row r="197" spans="1:14" ht="15" thickBot="1" x14ac:dyDescent="0.4">
      <c r="A197" s="5">
        <v>1133</v>
      </c>
      <c r="B197" s="5" t="s">
        <v>11</v>
      </c>
      <c r="C197" s="5" t="s">
        <v>12</v>
      </c>
      <c r="D197" s="5" t="s">
        <v>18</v>
      </c>
      <c r="E197" s="5" t="s">
        <v>56</v>
      </c>
      <c r="F197" s="5">
        <v>6</v>
      </c>
      <c r="G197" s="5">
        <v>9037</v>
      </c>
      <c r="H197" s="5">
        <v>2</v>
      </c>
      <c r="I197" s="6">
        <v>46112</v>
      </c>
      <c r="J197" s="6">
        <v>46121</v>
      </c>
      <c r="K197" s="10" t="s">
        <v>51</v>
      </c>
      <c r="L197" s="11" t="str">
        <f t="shared" si="9"/>
        <v>RITESH</v>
      </c>
      <c r="M197" s="12" t="str">
        <f t="shared" si="10"/>
        <v>cabinet</v>
      </c>
      <c r="N197" s="13">
        <f t="shared" si="11"/>
        <v>7</v>
      </c>
    </row>
    <row r="198" spans="1:14" ht="15" thickBot="1" x14ac:dyDescent="0.4">
      <c r="A198" s="5">
        <v>1227</v>
      </c>
      <c r="B198" s="5" t="s">
        <v>58</v>
      </c>
      <c r="C198" s="5" t="s">
        <v>22</v>
      </c>
      <c r="D198" s="5" t="s">
        <v>34</v>
      </c>
      <c r="E198" s="5" t="s">
        <v>45</v>
      </c>
      <c r="F198" s="5">
        <v>16</v>
      </c>
      <c r="G198" s="5">
        <v>1321</v>
      </c>
      <c r="H198" s="5">
        <v>12</v>
      </c>
      <c r="I198" s="6">
        <v>46113</v>
      </c>
      <c r="J198" s="6">
        <v>46116</v>
      </c>
      <c r="K198" s="10" t="s">
        <v>15</v>
      </c>
      <c r="L198" s="11" t="str">
        <f t="shared" si="9"/>
        <v>ROHAN</v>
      </c>
      <c r="M198" s="12" t="str">
        <f t="shared" si="10"/>
        <v>monitor</v>
      </c>
      <c r="N198" s="13">
        <f t="shared" si="11"/>
        <v>7</v>
      </c>
    </row>
    <row r="199" spans="1:14" ht="15" thickBot="1" x14ac:dyDescent="0.4">
      <c r="A199" s="5">
        <v>1077</v>
      </c>
      <c r="B199" s="5" t="s">
        <v>55</v>
      </c>
      <c r="C199" s="5" t="s">
        <v>25</v>
      </c>
      <c r="D199" s="5" t="s">
        <v>13</v>
      </c>
      <c r="E199" s="5" t="s">
        <v>14</v>
      </c>
      <c r="F199" s="5">
        <v>1</v>
      </c>
      <c r="G199" s="5">
        <v>123</v>
      </c>
      <c r="H199" s="5">
        <v>10</v>
      </c>
      <c r="I199" s="6">
        <v>46113</v>
      </c>
      <c r="J199" s="6">
        <v>46121</v>
      </c>
      <c r="K199" s="10" t="s">
        <v>51</v>
      </c>
      <c r="L199" s="11" t="str">
        <f t="shared" si="9"/>
        <v>SNEHA</v>
      </c>
      <c r="M199" s="12" t="str">
        <f t="shared" si="10"/>
        <v>notebook</v>
      </c>
      <c r="N199" s="13">
        <f t="shared" si="11"/>
        <v>8</v>
      </c>
    </row>
    <row r="200" spans="1:14" ht="15" thickBot="1" x14ac:dyDescent="0.4">
      <c r="A200" s="5">
        <v>1059</v>
      </c>
      <c r="B200" s="5" t="s">
        <v>54</v>
      </c>
      <c r="C200" s="5" t="s">
        <v>25</v>
      </c>
      <c r="D200" s="5" t="s">
        <v>13</v>
      </c>
      <c r="E200" s="5" t="s">
        <v>50</v>
      </c>
      <c r="F200" s="5">
        <v>20</v>
      </c>
      <c r="G200" s="5">
        <v>112</v>
      </c>
      <c r="H200" s="5">
        <v>10</v>
      </c>
      <c r="I200" s="6">
        <v>46113</v>
      </c>
      <c r="J200" s="6">
        <v>46122</v>
      </c>
      <c r="K200" s="10" t="s">
        <v>51</v>
      </c>
      <c r="L200" s="11" t="str">
        <f t="shared" si="9"/>
        <v>MANOJ</v>
      </c>
      <c r="M200" s="12" t="str">
        <f t="shared" si="10"/>
        <v>marker</v>
      </c>
      <c r="N200" s="13">
        <f t="shared" si="11"/>
        <v>6</v>
      </c>
    </row>
    <row r="201" spans="1:14" ht="15" thickBot="1" x14ac:dyDescent="0.4">
      <c r="A201" s="5">
        <v>1234</v>
      </c>
      <c r="B201" s="5" t="s">
        <v>11</v>
      </c>
      <c r="C201" s="5" t="s">
        <v>25</v>
      </c>
      <c r="D201" s="5" t="s">
        <v>18</v>
      </c>
      <c r="E201" s="5" t="s">
        <v>28</v>
      </c>
      <c r="F201" s="5">
        <v>1</v>
      </c>
      <c r="G201" s="5">
        <v>14320</v>
      </c>
      <c r="H201" s="5">
        <v>12</v>
      </c>
      <c r="I201" s="6">
        <v>46114</v>
      </c>
      <c r="J201" s="6">
        <v>46121</v>
      </c>
      <c r="K201" s="10" t="s">
        <v>51</v>
      </c>
      <c r="L201" s="11" t="str">
        <f t="shared" si="9"/>
        <v>RITESH</v>
      </c>
      <c r="M201" s="12" t="str">
        <f t="shared" si="10"/>
        <v>chair</v>
      </c>
      <c r="N201" s="13">
        <f t="shared" si="11"/>
        <v>5</v>
      </c>
    </row>
    <row r="202" spans="1:14" ht="15" thickBot="1" x14ac:dyDescent="0.4">
      <c r="A202" s="5">
        <v>1074</v>
      </c>
      <c r="B202" s="5" t="s">
        <v>26</v>
      </c>
      <c r="C202" s="5" t="s">
        <v>31</v>
      </c>
      <c r="D202" s="5" t="s">
        <v>13</v>
      </c>
      <c r="E202" s="5" t="s">
        <v>50</v>
      </c>
      <c r="F202" s="5">
        <v>11</v>
      </c>
      <c r="G202" s="5">
        <v>390</v>
      </c>
      <c r="H202" s="5">
        <v>15</v>
      </c>
      <c r="I202" s="6">
        <v>46114</v>
      </c>
      <c r="J202" s="6">
        <v>46123</v>
      </c>
      <c r="K202" s="10" t="s">
        <v>29</v>
      </c>
      <c r="L202" s="11" t="str">
        <f t="shared" si="9"/>
        <v>VIKRAM</v>
      </c>
      <c r="M202" s="12" t="str">
        <f t="shared" si="10"/>
        <v>marker</v>
      </c>
      <c r="N202" s="13">
        <f t="shared" si="11"/>
        <v>6</v>
      </c>
    </row>
    <row r="203" spans="1:14" ht="15" thickBot="1" x14ac:dyDescent="0.4">
      <c r="A203" s="5">
        <v>1213</v>
      </c>
      <c r="B203" s="5" t="s">
        <v>32</v>
      </c>
      <c r="C203" s="5" t="s">
        <v>38</v>
      </c>
      <c r="D203" s="5" t="s">
        <v>34</v>
      </c>
      <c r="E203" s="5" t="s">
        <v>45</v>
      </c>
      <c r="F203" s="5">
        <v>16</v>
      </c>
      <c r="G203" s="5">
        <v>27741</v>
      </c>
      <c r="H203" s="5">
        <v>12</v>
      </c>
      <c r="I203" s="6">
        <v>46116</v>
      </c>
      <c r="J203" s="6">
        <v>46119</v>
      </c>
      <c r="K203" s="10" t="s">
        <v>15</v>
      </c>
      <c r="L203" s="11" t="str">
        <f t="shared" si="9"/>
        <v>ASHA</v>
      </c>
      <c r="M203" s="12" t="str">
        <f t="shared" si="10"/>
        <v>monitor</v>
      </c>
      <c r="N203" s="13">
        <f t="shared" si="11"/>
        <v>7</v>
      </c>
    </row>
    <row r="204" spans="1:14" ht="15" thickBot="1" x14ac:dyDescent="0.4">
      <c r="A204" s="5">
        <v>1028</v>
      </c>
      <c r="B204" s="5" t="s">
        <v>47</v>
      </c>
      <c r="C204" s="5" t="s">
        <v>22</v>
      </c>
      <c r="D204" s="5" t="s">
        <v>13</v>
      </c>
      <c r="E204" s="5" t="s">
        <v>36</v>
      </c>
      <c r="F204" s="5">
        <v>13</v>
      </c>
      <c r="G204" s="5">
        <v>433</v>
      </c>
      <c r="H204" s="5">
        <v>2</v>
      </c>
      <c r="I204" s="6">
        <v>46116</v>
      </c>
      <c r="J204" s="6">
        <v>46121</v>
      </c>
      <c r="K204" s="10" t="s">
        <v>24</v>
      </c>
      <c r="L204" s="11" t="str">
        <f t="shared" si="9"/>
        <v>YASH</v>
      </c>
      <c r="M204" s="12" t="str">
        <f t="shared" si="10"/>
        <v>stapler</v>
      </c>
      <c r="N204" s="13">
        <f t="shared" si="11"/>
        <v>7</v>
      </c>
    </row>
    <row r="205" spans="1:14" ht="15" thickBot="1" x14ac:dyDescent="0.4">
      <c r="A205" s="5">
        <v>1287</v>
      </c>
      <c r="B205" s="5" t="s">
        <v>59</v>
      </c>
      <c r="C205" s="5" t="s">
        <v>31</v>
      </c>
      <c r="D205" s="5" t="s">
        <v>13</v>
      </c>
      <c r="E205" s="5" t="s">
        <v>14</v>
      </c>
      <c r="F205" s="5">
        <v>15</v>
      </c>
      <c r="G205" s="5">
        <v>251</v>
      </c>
      <c r="H205" s="5">
        <v>2</v>
      </c>
      <c r="I205" s="6">
        <v>46116</v>
      </c>
      <c r="J205" s="6">
        <v>46122</v>
      </c>
      <c r="K205" s="10" t="s">
        <v>51</v>
      </c>
      <c r="L205" s="11" t="str">
        <f t="shared" si="9"/>
        <v>ANITA</v>
      </c>
      <c r="M205" s="12" t="str">
        <f t="shared" si="10"/>
        <v>notebook</v>
      </c>
      <c r="N205" s="13">
        <f t="shared" si="11"/>
        <v>8</v>
      </c>
    </row>
    <row r="206" spans="1:14" ht="15" thickBot="1" x14ac:dyDescent="0.4">
      <c r="A206" s="5">
        <v>1022</v>
      </c>
      <c r="B206" s="5" t="s">
        <v>26</v>
      </c>
      <c r="C206" s="5" t="s">
        <v>17</v>
      </c>
      <c r="D206" s="5" t="s">
        <v>34</v>
      </c>
      <c r="E206" s="5" t="s">
        <v>45</v>
      </c>
      <c r="F206" s="5">
        <v>15</v>
      </c>
      <c r="G206" s="5">
        <v>11596</v>
      </c>
      <c r="H206" s="5">
        <v>0</v>
      </c>
      <c r="I206" s="6">
        <v>46117</v>
      </c>
      <c r="J206" s="6">
        <v>46121</v>
      </c>
      <c r="K206" s="10" t="s">
        <v>29</v>
      </c>
      <c r="L206" s="11" t="str">
        <f t="shared" si="9"/>
        <v>VIKRAM</v>
      </c>
      <c r="M206" s="12" t="str">
        <f t="shared" si="10"/>
        <v>monitor</v>
      </c>
      <c r="N206" s="13">
        <f t="shared" si="11"/>
        <v>7</v>
      </c>
    </row>
    <row r="207" spans="1:14" ht="15" thickBot="1" x14ac:dyDescent="0.4">
      <c r="A207" s="5">
        <v>1265</v>
      </c>
      <c r="B207" s="5" t="s">
        <v>58</v>
      </c>
      <c r="C207" s="5" t="s">
        <v>22</v>
      </c>
      <c r="D207" s="5" t="s">
        <v>18</v>
      </c>
      <c r="E207" s="5" t="s">
        <v>19</v>
      </c>
      <c r="F207" s="5">
        <v>1</v>
      </c>
      <c r="G207" s="5">
        <v>1052</v>
      </c>
      <c r="H207" s="5">
        <v>7</v>
      </c>
      <c r="I207" s="6">
        <v>46117</v>
      </c>
      <c r="J207" s="6">
        <v>46127</v>
      </c>
      <c r="K207" s="10" t="s">
        <v>51</v>
      </c>
      <c r="L207" s="11" t="str">
        <f t="shared" si="9"/>
        <v>ROHAN</v>
      </c>
      <c r="M207" s="12" t="str">
        <f t="shared" si="10"/>
        <v>desk</v>
      </c>
      <c r="N207" s="13">
        <f t="shared" si="11"/>
        <v>4</v>
      </c>
    </row>
    <row r="208" spans="1:14" ht="15" thickBot="1" x14ac:dyDescent="0.4">
      <c r="A208" s="5">
        <v>1354</v>
      </c>
      <c r="B208" s="5" t="s">
        <v>47</v>
      </c>
      <c r="C208" s="5" t="s">
        <v>43</v>
      </c>
      <c r="D208" s="5" t="s">
        <v>34</v>
      </c>
      <c r="E208" s="5" t="s">
        <v>35</v>
      </c>
      <c r="F208" s="5">
        <v>15</v>
      </c>
      <c r="G208" s="5">
        <v>14927</v>
      </c>
      <c r="H208" s="5">
        <v>15</v>
      </c>
      <c r="I208" s="6">
        <v>46118</v>
      </c>
      <c r="J208" s="6">
        <v>46120</v>
      </c>
      <c r="K208" s="10" t="s">
        <v>51</v>
      </c>
      <c r="L208" s="11" t="str">
        <f t="shared" si="9"/>
        <v>YASH</v>
      </c>
      <c r="M208" s="12" t="str">
        <f t="shared" si="10"/>
        <v>printer</v>
      </c>
      <c r="N208" s="13">
        <f t="shared" si="11"/>
        <v>7</v>
      </c>
    </row>
    <row r="209" spans="1:14" ht="15" thickBot="1" x14ac:dyDescent="0.4">
      <c r="A209" s="5">
        <v>1108</v>
      </c>
      <c r="B209" s="5" t="s">
        <v>42</v>
      </c>
      <c r="C209" s="5" t="s">
        <v>33</v>
      </c>
      <c r="D209" s="5" t="s">
        <v>18</v>
      </c>
      <c r="E209" s="5" t="s">
        <v>28</v>
      </c>
      <c r="F209" s="5">
        <v>15</v>
      </c>
      <c r="G209" s="5">
        <v>13843</v>
      </c>
      <c r="H209" s="5">
        <v>7</v>
      </c>
      <c r="I209" s="6">
        <v>46119</v>
      </c>
      <c r="J209" s="6">
        <v>46127</v>
      </c>
      <c r="K209" s="10" t="s">
        <v>20</v>
      </c>
      <c r="L209" s="11" t="str">
        <f t="shared" si="9"/>
        <v>NISHA</v>
      </c>
      <c r="M209" s="12" t="str">
        <f t="shared" si="10"/>
        <v>chair</v>
      </c>
      <c r="N209" s="13">
        <f t="shared" si="11"/>
        <v>5</v>
      </c>
    </row>
    <row r="210" spans="1:14" ht="15" thickBot="1" x14ac:dyDescent="0.4">
      <c r="A210" s="5">
        <v>1241</v>
      </c>
      <c r="B210" s="5" t="s">
        <v>46</v>
      </c>
      <c r="C210" s="5" t="s">
        <v>31</v>
      </c>
      <c r="D210" s="5" t="s">
        <v>18</v>
      </c>
      <c r="E210" s="5" t="s">
        <v>44</v>
      </c>
      <c r="F210" s="5">
        <v>1</v>
      </c>
      <c r="G210" s="5">
        <v>12537</v>
      </c>
      <c r="H210" s="5">
        <v>0</v>
      </c>
      <c r="I210" s="6">
        <v>46119</v>
      </c>
      <c r="J210" s="6">
        <v>46122</v>
      </c>
      <c r="K210" s="10" t="s">
        <v>15</v>
      </c>
      <c r="L210" s="11" t="str">
        <f t="shared" si="9"/>
        <v>KIRAN</v>
      </c>
      <c r="M210" s="12" t="str">
        <f t="shared" si="10"/>
        <v>bookshelf</v>
      </c>
      <c r="N210" s="13">
        <f t="shared" si="11"/>
        <v>9</v>
      </c>
    </row>
    <row r="211" spans="1:14" ht="15" thickBot="1" x14ac:dyDescent="0.4">
      <c r="A211" s="5">
        <v>1203</v>
      </c>
      <c r="B211" s="5" t="s">
        <v>40</v>
      </c>
      <c r="C211" s="5" t="s">
        <v>22</v>
      </c>
      <c r="D211" s="5" t="s">
        <v>18</v>
      </c>
      <c r="E211" s="5" t="s">
        <v>23</v>
      </c>
      <c r="F211" s="5">
        <v>17</v>
      </c>
      <c r="G211" s="5">
        <v>6695</v>
      </c>
      <c r="H211" s="5">
        <v>2</v>
      </c>
      <c r="I211" s="6">
        <v>46119</v>
      </c>
      <c r="J211" s="6">
        <v>46122</v>
      </c>
      <c r="K211" s="10" t="s">
        <v>51</v>
      </c>
      <c r="L211" s="11" t="str">
        <f t="shared" si="9"/>
        <v>DEEPAK</v>
      </c>
      <c r="M211" s="12" t="str">
        <f t="shared" si="10"/>
        <v>table</v>
      </c>
      <c r="N211" s="13">
        <f t="shared" si="11"/>
        <v>5</v>
      </c>
    </row>
    <row r="212" spans="1:14" ht="15" thickBot="1" x14ac:dyDescent="0.4">
      <c r="A212" s="5">
        <v>1261</v>
      </c>
      <c r="B212" s="5" t="s">
        <v>40</v>
      </c>
      <c r="C212" s="5" t="s">
        <v>17</v>
      </c>
      <c r="D212" s="5" t="s">
        <v>13</v>
      </c>
      <c r="E212" s="5" t="s">
        <v>50</v>
      </c>
      <c r="F212" s="5">
        <v>20</v>
      </c>
      <c r="G212" s="5">
        <v>162</v>
      </c>
      <c r="H212" s="5">
        <v>7</v>
      </c>
      <c r="I212" s="6">
        <v>46119</v>
      </c>
      <c r="J212" s="6">
        <v>46120</v>
      </c>
      <c r="K212" s="10" t="s">
        <v>51</v>
      </c>
      <c r="L212" s="11" t="str">
        <f t="shared" si="9"/>
        <v>DEEPAK</v>
      </c>
      <c r="M212" s="12" t="str">
        <f t="shared" si="10"/>
        <v>marker</v>
      </c>
      <c r="N212" s="13">
        <f t="shared" si="11"/>
        <v>6</v>
      </c>
    </row>
    <row r="213" spans="1:14" ht="15" thickBot="1" x14ac:dyDescent="0.4">
      <c r="A213" s="5">
        <v>1172</v>
      </c>
      <c r="B213" s="5" t="s">
        <v>16</v>
      </c>
      <c r="C213" s="5" t="s">
        <v>12</v>
      </c>
      <c r="D213" s="5" t="s">
        <v>34</v>
      </c>
      <c r="E213" s="5" t="s">
        <v>45</v>
      </c>
      <c r="F213" s="5">
        <v>13</v>
      </c>
      <c r="G213" s="5">
        <v>43163</v>
      </c>
      <c r="H213" s="5">
        <v>12</v>
      </c>
      <c r="I213" s="6">
        <v>46120</v>
      </c>
      <c r="J213" s="6">
        <v>46129</v>
      </c>
      <c r="K213" s="10" t="s">
        <v>24</v>
      </c>
      <c r="L213" s="11" t="str">
        <f t="shared" si="9"/>
        <v>POOJA</v>
      </c>
      <c r="M213" s="12" t="str">
        <f t="shared" si="10"/>
        <v>monitor</v>
      </c>
      <c r="N213" s="13">
        <f t="shared" si="11"/>
        <v>7</v>
      </c>
    </row>
    <row r="214" spans="1:14" ht="15" thickBot="1" x14ac:dyDescent="0.4">
      <c r="A214" s="5">
        <v>1169</v>
      </c>
      <c r="B214" s="5" t="s">
        <v>47</v>
      </c>
      <c r="C214" s="5" t="s">
        <v>12</v>
      </c>
      <c r="D214" s="5" t="s">
        <v>18</v>
      </c>
      <c r="E214" s="5" t="s">
        <v>56</v>
      </c>
      <c r="F214" s="5">
        <v>12</v>
      </c>
      <c r="G214" s="5">
        <v>12104</v>
      </c>
      <c r="H214" s="5">
        <v>7</v>
      </c>
      <c r="I214" s="6">
        <v>46121</v>
      </c>
      <c r="J214" s="6">
        <v>46130</v>
      </c>
      <c r="K214" s="10" t="s">
        <v>24</v>
      </c>
      <c r="L214" s="11" t="str">
        <f t="shared" si="9"/>
        <v>YASH</v>
      </c>
      <c r="M214" s="12" t="str">
        <f t="shared" si="10"/>
        <v>cabinet</v>
      </c>
      <c r="N214" s="13">
        <f t="shared" si="11"/>
        <v>7</v>
      </c>
    </row>
    <row r="215" spans="1:14" ht="15" thickBot="1" x14ac:dyDescent="0.4">
      <c r="A215" s="5">
        <v>1363</v>
      </c>
      <c r="B215" s="5" t="s">
        <v>27</v>
      </c>
      <c r="C215" s="5" t="s">
        <v>25</v>
      </c>
      <c r="D215" s="5" t="s">
        <v>34</v>
      </c>
      <c r="E215" s="5" t="s">
        <v>35</v>
      </c>
      <c r="F215" s="5">
        <v>7</v>
      </c>
      <c r="G215" s="5">
        <v>45381</v>
      </c>
      <c r="H215" s="5">
        <v>0</v>
      </c>
      <c r="I215" s="6">
        <v>46122</v>
      </c>
      <c r="J215" s="6">
        <v>46128</v>
      </c>
      <c r="K215" s="10" t="s">
        <v>15</v>
      </c>
      <c r="L215" s="11" t="str">
        <f t="shared" si="9"/>
        <v>ARJUN</v>
      </c>
      <c r="M215" s="12" t="str">
        <f t="shared" si="10"/>
        <v>printer</v>
      </c>
      <c r="N215" s="13">
        <f t="shared" si="11"/>
        <v>7</v>
      </c>
    </row>
    <row r="216" spans="1:14" ht="15" thickBot="1" x14ac:dyDescent="0.4">
      <c r="A216" s="5">
        <v>1289</v>
      </c>
      <c r="B216" s="5" t="s">
        <v>26</v>
      </c>
      <c r="C216" s="5" t="s">
        <v>22</v>
      </c>
      <c r="D216" s="5" t="s">
        <v>34</v>
      </c>
      <c r="E216" s="5" t="s">
        <v>45</v>
      </c>
      <c r="F216" s="5">
        <v>19</v>
      </c>
      <c r="G216" s="5">
        <v>25336</v>
      </c>
      <c r="H216" s="5">
        <v>2</v>
      </c>
      <c r="I216" s="6">
        <v>46122</v>
      </c>
      <c r="J216" s="6">
        <v>46130</v>
      </c>
      <c r="K216" s="10" t="s">
        <v>24</v>
      </c>
      <c r="L216" s="11" t="str">
        <f t="shared" si="9"/>
        <v>VIKRAM</v>
      </c>
      <c r="M216" s="12" t="str">
        <f t="shared" si="10"/>
        <v>monitor</v>
      </c>
      <c r="N216" s="13">
        <f t="shared" si="11"/>
        <v>7</v>
      </c>
    </row>
    <row r="217" spans="1:14" ht="15" thickBot="1" x14ac:dyDescent="0.4">
      <c r="A217" s="5">
        <v>1239</v>
      </c>
      <c r="B217" s="5" t="s">
        <v>48</v>
      </c>
      <c r="C217" s="5" t="s">
        <v>17</v>
      </c>
      <c r="D217" s="5" t="s">
        <v>18</v>
      </c>
      <c r="E217" s="5" t="s">
        <v>56</v>
      </c>
      <c r="F217" s="5">
        <v>2</v>
      </c>
      <c r="G217" s="5">
        <v>12330</v>
      </c>
      <c r="H217" s="5">
        <v>12</v>
      </c>
      <c r="I217" s="6">
        <v>46122</v>
      </c>
      <c r="J217" s="6">
        <v>46125</v>
      </c>
      <c r="K217" s="10" t="s">
        <v>15</v>
      </c>
      <c r="L217" s="11" t="str">
        <f t="shared" si="9"/>
        <v>NITIN</v>
      </c>
      <c r="M217" s="12" t="str">
        <f t="shared" si="10"/>
        <v>cabinet</v>
      </c>
      <c r="N217" s="13">
        <f t="shared" si="11"/>
        <v>7</v>
      </c>
    </row>
    <row r="218" spans="1:14" ht="15" thickBot="1" x14ac:dyDescent="0.4">
      <c r="A218" s="5">
        <v>1221</v>
      </c>
      <c r="B218" s="5" t="s">
        <v>11</v>
      </c>
      <c r="C218" s="5" t="s">
        <v>31</v>
      </c>
      <c r="D218" s="5" t="s">
        <v>18</v>
      </c>
      <c r="E218" s="5" t="s">
        <v>56</v>
      </c>
      <c r="F218" s="5">
        <v>18</v>
      </c>
      <c r="G218" s="5">
        <v>2681</v>
      </c>
      <c r="H218" s="5">
        <v>10</v>
      </c>
      <c r="I218" s="6">
        <v>46122</v>
      </c>
      <c r="J218" s="6">
        <v>46125</v>
      </c>
      <c r="K218" s="10" t="s">
        <v>51</v>
      </c>
      <c r="L218" s="11" t="str">
        <f t="shared" si="9"/>
        <v>RITESH</v>
      </c>
      <c r="M218" s="12" t="str">
        <f t="shared" si="10"/>
        <v>cabinet</v>
      </c>
      <c r="N218" s="13">
        <f t="shared" si="11"/>
        <v>7</v>
      </c>
    </row>
    <row r="219" spans="1:14" ht="15" thickBot="1" x14ac:dyDescent="0.4">
      <c r="A219" s="5">
        <v>1299</v>
      </c>
      <c r="B219" s="5" t="s">
        <v>26</v>
      </c>
      <c r="C219" s="5" t="s">
        <v>17</v>
      </c>
      <c r="D219" s="5" t="s">
        <v>18</v>
      </c>
      <c r="E219" s="5" t="s">
        <v>56</v>
      </c>
      <c r="F219" s="5">
        <v>8</v>
      </c>
      <c r="G219" s="5">
        <v>8783</v>
      </c>
      <c r="H219" s="5">
        <v>2</v>
      </c>
      <c r="I219" s="6">
        <v>46123</v>
      </c>
      <c r="J219" s="6">
        <v>46132</v>
      </c>
      <c r="K219" s="10" t="s">
        <v>15</v>
      </c>
      <c r="L219" s="11" t="str">
        <f t="shared" si="9"/>
        <v>VIKRAM</v>
      </c>
      <c r="M219" s="12" t="str">
        <f t="shared" si="10"/>
        <v>cabinet</v>
      </c>
      <c r="N219" s="13">
        <f t="shared" si="11"/>
        <v>7</v>
      </c>
    </row>
    <row r="220" spans="1:14" ht="15" thickBot="1" x14ac:dyDescent="0.4">
      <c r="A220" s="5">
        <v>1204</v>
      </c>
      <c r="B220" s="5" t="s">
        <v>16</v>
      </c>
      <c r="C220" s="5" t="s">
        <v>31</v>
      </c>
      <c r="D220" s="5" t="s">
        <v>13</v>
      </c>
      <c r="E220" s="5" t="s">
        <v>37</v>
      </c>
      <c r="F220" s="5">
        <v>13</v>
      </c>
      <c r="G220" s="5">
        <v>416</v>
      </c>
      <c r="H220" s="5">
        <v>10</v>
      </c>
      <c r="I220" s="6">
        <v>46123</v>
      </c>
      <c r="J220" s="6">
        <v>46132</v>
      </c>
      <c r="K220" s="10" t="s">
        <v>20</v>
      </c>
      <c r="L220" s="11" t="str">
        <f t="shared" si="9"/>
        <v>POOJA</v>
      </c>
      <c r="M220" s="12" t="str">
        <f t="shared" si="10"/>
        <v>pen pack</v>
      </c>
      <c r="N220" s="13">
        <f t="shared" si="11"/>
        <v>8</v>
      </c>
    </row>
    <row r="221" spans="1:14" ht="15" thickBot="1" x14ac:dyDescent="0.4">
      <c r="A221" s="5">
        <v>1279</v>
      </c>
      <c r="B221" s="5" t="s">
        <v>55</v>
      </c>
      <c r="C221" s="5" t="s">
        <v>33</v>
      </c>
      <c r="D221" s="5" t="s">
        <v>34</v>
      </c>
      <c r="E221" s="5" t="s">
        <v>45</v>
      </c>
      <c r="F221" s="5">
        <v>20</v>
      </c>
      <c r="G221" s="5">
        <v>49042</v>
      </c>
      <c r="H221" s="5">
        <v>2</v>
      </c>
      <c r="I221" s="6">
        <v>46124</v>
      </c>
      <c r="J221" s="6">
        <v>46126</v>
      </c>
      <c r="K221" s="10" t="s">
        <v>15</v>
      </c>
      <c r="L221" s="11" t="str">
        <f t="shared" si="9"/>
        <v>SNEHA</v>
      </c>
      <c r="M221" s="12" t="str">
        <f t="shared" si="10"/>
        <v>monitor</v>
      </c>
      <c r="N221" s="13">
        <f t="shared" si="11"/>
        <v>7</v>
      </c>
    </row>
    <row r="222" spans="1:14" ht="15" thickBot="1" x14ac:dyDescent="0.4">
      <c r="A222" s="5">
        <v>1392</v>
      </c>
      <c r="B222" s="5" t="s">
        <v>29</v>
      </c>
      <c r="C222" s="5" t="s">
        <v>43</v>
      </c>
      <c r="D222" s="5" t="s">
        <v>34</v>
      </c>
      <c r="E222" s="5" t="s">
        <v>35</v>
      </c>
      <c r="F222" s="5">
        <v>13</v>
      </c>
      <c r="G222" s="5">
        <v>23903</v>
      </c>
      <c r="H222" s="5">
        <v>5</v>
      </c>
      <c r="I222" s="6">
        <v>46124</v>
      </c>
      <c r="J222" s="6">
        <v>46125</v>
      </c>
      <c r="K222" s="10" t="s">
        <v>29</v>
      </c>
      <c r="L222" s="11" t="str">
        <f t="shared" si="9"/>
        <v>PRIYA</v>
      </c>
      <c r="M222" s="12" t="str">
        <f t="shared" si="10"/>
        <v>printer</v>
      </c>
      <c r="N222" s="13">
        <f t="shared" si="11"/>
        <v>7</v>
      </c>
    </row>
    <row r="223" spans="1:14" ht="15" thickBot="1" x14ac:dyDescent="0.4">
      <c r="A223" s="5">
        <v>1303</v>
      </c>
      <c r="B223" s="5" t="s">
        <v>57</v>
      </c>
      <c r="C223" s="5" t="s">
        <v>38</v>
      </c>
      <c r="D223" s="5" t="s">
        <v>34</v>
      </c>
      <c r="E223" s="5" t="s">
        <v>35</v>
      </c>
      <c r="F223" s="5">
        <v>13</v>
      </c>
      <c r="G223" s="5">
        <v>5170</v>
      </c>
      <c r="H223" s="5">
        <v>2</v>
      </c>
      <c r="I223" s="6">
        <v>46124</v>
      </c>
      <c r="J223" s="6">
        <v>46127</v>
      </c>
      <c r="K223" s="10" t="s">
        <v>15</v>
      </c>
      <c r="L223" s="11" t="str">
        <f t="shared" si="9"/>
        <v>SARA</v>
      </c>
      <c r="M223" s="12" t="str">
        <f t="shared" si="10"/>
        <v>printer</v>
      </c>
      <c r="N223" s="13">
        <f t="shared" si="11"/>
        <v>7</v>
      </c>
    </row>
    <row r="224" spans="1:14" ht="15" thickBot="1" x14ac:dyDescent="0.4">
      <c r="A224" s="5">
        <v>1225</v>
      </c>
      <c r="B224" s="5" t="s">
        <v>42</v>
      </c>
      <c r="C224" s="5" t="s">
        <v>31</v>
      </c>
      <c r="D224" s="5" t="s">
        <v>34</v>
      </c>
      <c r="E224" s="5" t="s">
        <v>35</v>
      </c>
      <c r="F224" s="5">
        <v>16</v>
      </c>
      <c r="G224" s="5">
        <v>32262</v>
      </c>
      <c r="H224" s="5">
        <v>12</v>
      </c>
      <c r="I224" s="6">
        <v>46125</v>
      </c>
      <c r="J224" s="6">
        <v>46126</v>
      </c>
      <c r="K224" s="10" t="s">
        <v>20</v>
      </c>
      <c r="L224" s="11" t="str">
        <f t="shared" si="9"/>
        <v>NISHA</v>
      </c>
      <c r="M224" s="12" t="str">
        <f t="shared" si="10"/>
        <v>printer</v>
      </c>
      <c r="N224" s="13">
        <f t="shared" si="11"/>
        <v>7</v>
      </c>
    </row>
    <row r="225" spans="1:14" ht="15" thickBot="1" x14ac:dyDescent="0.4">
      <c r="A225" s="5">
        <v>1130</v>
      </c>
      <c r="B225" s="5" t="s">
        <v>48</v>
      </c>
      <c r="C225" s="5" t="s">
        <v>33</v>
      </c>
      <c r="D225" s="5" t="s">
        <v>13</v>
      </c>
      <c r="E225" s="5" t="s">
        <v>14</v>
      </c>
      <c r="F225" s="5">
        <v>12</v>
      </c>
      <c r="G225" s="5">
        <v>50</v>
      </c>
      <c r="H225" s="5">
        <v>2</v>
      </c>
      <c r="I225" s="6">
        <v>46125</v>
      </c>
      <c r="J225" s="6">
        <v>46131</v>
      </c>
      <c r="K225" s="10" t="s">
        <v>24</v>
      </c>
      <c r="L225" s="11" t="str">
        <f t="shared" si="9"/>
        <v>NITIN</v>
      </c>
      <c r="M225" s="12" t="str">
        <f t="shared" si="10"/>
        <v>notebook</v>
      </c>
      <c r="N225" s="13">
        <f t="shared" si="11"/>
        <v>8</v>
      </c>
    </row>
    <row r="226" spans="1:14" ht="15" thickBot="1" x14ac:dyDescent="0.4">
      <c r="A226" s="5">
        <v>1073</v>
      </c>
      <c r="B226" s="5" t="s">
        <v>58</v>
      </c>
      <c r="C226" s="5" t="s">
        <v>17</v>
      </c>
      <c r="D226" s="5" t="s">
        <v>18</v>
      </c>
      <c r="E226" s="5" t="s">
        <v>56</v>
      </c>
      <c r="F226" s="5">
        <v>4</v>
      </c>
      <c r="G226" s="5">
        <v>2453</v>
      </c>
      <c r="H226" s="5">
        <v>7</v>
      </c>
      <c r="I226" s="6">
        <v>46126</v>
      </c>
      <c r="J226" s="6">
        <v>46129</v>
      </c>
      <c r="K226" s="10" t="s">
        <v>51</v>
      </c>
      <c r="L226" s="11" t="str">
        <f t="shared" si="9"/>
        <v>ROHAN</v>
      </c>
      <c r="M226" s="12" t="str">
        <f t="shared" si="10"/>
        <v>cabinet</v>
      </c>
      <c r="N226" s="13">
        <f t="shared" si="11"/>
        <v>7</v>
      </c>
    </row>
    <row r="227" spans="1:14" ht="15" thickBot="1" x14ac:dyDescent="0.4">
      <c r="A227" s="5">
        <v>1098</v>
      </c>
      <c r="B227" s="5" t="s">
        <v>26</v>
      </c>
      <c r="C227" s="5" t="s">
        <v>25</v>
      </c>
      <c r="D227" s="5" t="s">
        <v>13</v>
      </c>
      <c r="E227" s="5" t="s">
        <v>53</v>
      </c>
      <c r="F227" s="5">
        <v>17</v>
      </c>
      <c r="G227" s="5">
        <v>345</v>
      </c>
      <c r="H227" s="5">
        <v>2</v>
      </c>
      <c r="I227" s="6">
        <v>46126</v>
      </c>
      <c r="J227" s="6">
        <v>46127</v>
      </c>
      <c r="K227" s="10" t="s">
        <v>51</v>
      </c>
      <c r="L227" s="11" t="str">
        <f t="shared" si="9"/>
        <v>VIKRAM</v>
      </c>
      <c r="M227" s="12" t="str">
        <f t="shared" si="10"/>
        <v>diary</v>
      </c>
      <c r="N227" s="13">
        <f t="shared" si="11"/>
        <v>5</v>
      </c>
    </row>
    <row r="228" spans="1:14" ht="15" thickBot="1" x14ac:dyDescent="0.4">
      <c r="A228" s="5">
        <v>1329</v>
      </c>
      <c r="B228" s="5" t="s">
        <v>30</v>
      </c>
      <c r="C228" s="5" t="s">
        <v>43</v>
      </c>
      <c r="D228" s="5" t="s">
        <v>13</v>
      </c>
      <c r="E228" s="5" t="s">
        <v>53</v>
      </c>
      <c r="F228" s="5">
        <v>18</v>
      </c>
      <c r="G228" s="5">
        <v>227</v>
      </c>
      <c r="H228" s="5">
        <v>5</v>
      </c>
      <c r="I228" s="6">
        <v>46126</v>
      </c>
      <c r="J228" s="6">
        <v>46136</v>
      </c>
      <c r="K228" s="10" t="s">
        <v>29</v>
      </c>
      <c r="L228" s="11" t="str">
        <f t="shared" si="9"/>
        <v>NEHA</v>
      </c>
      <c r="M228" s="12" t="str">
        <f t="shared" si="10"/>
        <v>diary</v>
      </c>
      <c r="N228" s="13">
        <f t="shared" si="11"/>
        <v>5</v>
      </c>
    </row>
    <row r="229" spans="1:14" ht="15" thickBot="1" x14ac:dyDescent="0.4">
      <c r="A229" s="5">
        <v>1358</v>
      </c>
      <c r="B229" s="5" t="s">
        <v>40</v>
      </c>
      <c r="C229" s="5" t="s">
        <v>38</v>
      </c>
      <c r="D229" s="5" t="s">
        <v>18</v>
      </c>
      <c r="E229" s="5" t="s">
        <v>19</v>
      </c>
      <c r="F229" s="5">
        <v>7</v>
      </c>
      <c r="G229" s="5">
        <v>6618</v>
      </c>
      <c r="H229" s="5">
        <v>0</v>
      </c>
      <c r="I229" s="6">
        <v>46127</v>
      </c>
      <c r="J229" s="6">
        <v>46129</v>
      </c>
      <c r="K229" s="10" t="s">
        <v>20</v>
      </c>
      <c r="L229" s="11" t="str">
        <f t="shared" si="9"/>
        <v>DEEPAK</v>
      </c>
      <c r="M229" s="12" t="str">
        <f t="shared" si="10"/>
        <v>desk</v>
      </c>
      <c r="N229" s="13">
        <f t="shared" si="11"/>
        <v>4</v>
      </c>
    </row>
    <row r="230" spans="1:14" ht="15" thickBot="1" x14ac:dyDescent="0.4">
      <c r="A230" s="5">
        <v>1050</v>
      </c>
      <c r="B230" s="5" t="s">
        <v>32</v>
      </c>
      <c r="C230" s="5" t="s">
        <v>25</v>
      </c>
      <c r="D230" s="5" t="s">
        <v>13</v>
      </c>
      <c r="E230" s="5" t="s">
        <v>53</v>
      </c>
      <c r="F230" s="5">
        <v>12</v>
      </c>
      <c r="G230" s="5">
        <v>360</v>
      </c>
      <c r="H230" s="5">
        <v>5</v>
      </c>
      <c r="I230" s="6">
        <v>46127</v>
      </c>
      <c r="J230" s="6">
        <v>46137</v>
      </c>
      <c r="K230" s="10" t="s">
        <v>29</v>
      </c>
      <c r="L230" s="11" t="str">
        <f t="shared" si="9"/>
        <v>ASHA</v>
      </c>
      <c r="M230" s="12" t="str">
        <f t="shared" si="10"/>
        <v>diary</v>
      </c>
      <c r="N230" s="13">
        <f t="shared" si="11"/>
        <v>5</v>
      </c>
    </row>
    <row r="231" spans="1:14" ht="15" thickBot="1" x14ac:dyDescent="0.4">
      <c r="A231" s="5">
        <v>1380</v>
      </c>
      <c r="B231" s="5" t="s">
        <v>52</v>
      </c>
      <c r="C231" s="5" t="s">
        <v>43</v>
      </c>
      <c r="D231" s="5" t="s">
        <v>13</v>
      </c>
      <c r="E231" s="5" t="s">
        <v>53</v>
      </c>
      <c r="F231" s="5">
        <v>3</v>
      </c>
      <c r="G231" s="5">
        <v>412</v>
      </c>
      <c r="H231" s="5">
        <v>7</v>
      </c>
      <c r="I231" s="6">
        <v>46128</v>
      </c>
      <c r="J231" s="6">
        <v>46138</v>
      </c>
      <c r="K231" s="10" t="s">
        <v>24</v>
      </c>
      <c r="L231" s="11" t="str">
        <f t="shared" si="9"/>
        <v>KOMAL</v>
      </c>
      <c r="M231" s="12" t="str">
        <f t="shared" si="10"/>
        <v>diary</v>
      </c>
      <c r="N231" s="13">
        <f t="shared" si="11"/>
        <v>5</v>
      </c>
    </row>
    <row r="232" spans="1:14" ht="15" thickBot="1" x14ac:dyDescent="0.4">
      <c r="A232" s="5">
        <v>1308</v>
      </c>
      <c r="B232" s="5" t="s">
        <v>30</v>
      </c>
      <c r="C232" s="5" t="s">
        <v>22</v>
      </c>
      <c r="D232" s="5" t="s">
        <v>34</v>
      </c>
      <c r="E232" s="5" t="s">
        <v>41</v>
      </c>
      <c r="F232" s="5">
        <v>12</v>
      </c>
      <c r="G232" s="5">
        <v>66075</v>
      </c>
      <c r="H232" s="5">
        <v>5</v>
      </c>
      <c r="I232" s="6">
        <v>46129</v>
      </c>
      <c r="J232" s="6">
        <v>46135</v>
      </c>
      <c r="K232" s="10" t="s">
        <v>20</v>
      </c>
      <c r="L232" s="11" t="str">
        <f t="shared" si="9"/>
        <v>NEHA</v>
      </c>
      <c r="M232" s="12" t="str">
        <f t="shared" si="10"/>
        <v>headset</v>
      </c>
      <c r="N232" s="13">
        <f t="shared" si="11"/>
        <v>7</v>
      </c>
    </row>
    <row r="233" spans="1:14" ht="15" thickBot="1" x14ac:dyDescent="0.4">
      <c r="A233" s="5">
        <v>1014</v>
      </c>
      <c r="B233" s="5" t="s">
        <v>40</v>
      </c>
      <c r="C233" s="5" t="s">
        <v>17</v>
      </c>
      <c r="D233" s="5" t="s">
        <v>34</v>
      </c>
      <c r="E233" s="5" t="s">
        <v>41</v>
      </c>
      <c r="F233" s="5">
        <v>19</v>
      </c>
      <c r="G233" s="5">
        <v>53683</v>
      </c>
      <c r="H233" s="5">
        <v>12</v>
      </c>
      <c r="I233" s="6">
        <v>46129</v>
      </c>
      <c r="J233" s="6">
        <v>46134</v>
      </c>
      <c r="K233" s="10" t="s">
        <v>29</v>
      </c>
      <c r="L233" s="11" t="str">
        <f t="shared" si="9"/>
        <v>DEEPAK</v>
      </c>
      <c r="M233" s="12" t="str">
        <f t="shared" si="10"/>
        <v>headset</v>
      </c>
      <c r="N233" s="13">
        <f t="shared" si="11"/>
        <v>7</v>
      </c>
    </row>
    <row r="234" spans="1:14" ht="15" thickBot="1" x14ac:dyDescent="0.4">
      <c r="A234" s="5">
        <v>1071</v>
      </c>
      <c r="B234" s="5" t="s">
        <v>59</v>
      </c>
      <c r="C234" s="5" t="s">
        <v>22</v>
      </c>
      <c r="D234" s="5" t="s">
        <v>34</v>
      </c>
      <c r="E234" s="5" t="s">
        <v>61</v>
      </c>
      <c r="F234" s="5">
        <v>18</v>
      </c>
      <c r="G234" s="5">
        <v>32197</v>
      </c>
      <c r="H234" s="5">
        <v>5</v>
      </c>
      <c r="I234" s="6">
        <v>46129</v>
      </c>
      <c r="J234" s="6">
        <v>46137</v>
      </c>
      <c r="K234" s="10" t="s">
        <v>20</v>
      </c>
      <c r="L234" s="11" t="str">
        <f t="shared" si="9"/>
        <v>ANITA</v>
      </c>
      <c r="M234" s="12" t="str">
        <f t="shared" si="10"/>
        <v>mouse</v>
      </c>
      <c r="N234" s="13">
        <f t="shared" si="11"/>
        <v>5</v>
      </c>
    </row>
    <row r="235" spans="1:14" ht="15" thickBot="1" x14ac:dyDescent="0.4">
      <c r="A235" s="5">
        <v>1194</v>
      </c>
      <c r="B235" s="5" t="s">
        <v>57</v>
      </c>
      <c r="C235" s="5" t="s">
        <v>43</v>
      </c>
      <c r="D235" s="5" t="s">
        <v>18</v>
      </c>
      <c r="E235" s="5" t="s">
        <v>28</v>
      </c>
      <c r="F235" s="5">
        <v>13</v>
      </c>
      <c r="G235" s="5">
        <v>12856</v>
      </c>
      <c r="H235" s="5">
        <v>15</v>
      </c>
      <c r="I235" s="6">
        <v>46129</v>
      </c>
      <c r="J235" s="6">
        <v>46133</v>
      </c>
      <c r="K235" s="10" t="s">
        <v>51</v>
      </c>
      <c r="L235" s="11" t="str">
        <f t="shared" si="9"/>
        <v>SARA</v>
      </c>
      <c r="M235" s="12" t="str">
        <f t="shared" si="10"/>
        <v>chair</v>
      </c>
      <c r="N235" s="13">
        <f t="shared" si="11"/>
        <v>5</v>
      </c>
    </row>
    <row r="236" spans="1:14" ht="15" thickBot="1" x14ac:dyDescent="0.4">
      <c r="A236" s="5">
        <v>1269</v>
      </c>
      <c r="B236" s="5" t="s">
        <v>52</v>
      </c>
      <c r="C236" s="5" t="s">
        <v>43</v>
      </c>
      <c r="D236" s="5" t="s">
        <v>18</v>
      </c>
      <c r="E236" s="5" t="s">
        <v>19</v>
      </c>
      <c r="F236" s="5">
        <v>14</v>
      </c>
      <c r="G236" s="5">
        <v>5704</v>
      </c>
      <c r="H236" s="5">
        <v>2</v>
      </c>
      <c r="I236" s="6">
        <v>46129</v>
      </c>
      <c r="J236" s="6">
        <v>46131</v>
      </c>
      <c r="K236" s="10" t="s">
        <v>15</v>
      </c>
      <c r="L236" s="11" t="str">
        <f t="shared" si="9"/>
        <v>KOMAL</v>
      </c>
      <c r="M236" s="12" t="str">
        <f t="shared" si="10"/>
        <v>desk</v>
      </c>
      <c r="N236" s="13">
        <f t="shared" si="11"/>
        <v>4</v>
      </c>
    </row>
    <row r="237" spans="1:14" ht="15" thickBot="1" x14ac:dyDescent="0.4">
      <c r="A237" s="5">
        <v>1267</v>
      </c>
      <c r="B237" s="5" t="s">
        <v>27</v>
      </c>
      <c r="C237" s="5" t="s">
        <v>38</v>
      </c>
      <c r="D237" s="5" t="s">
        <v>13</v>
      </c>
      <c r="E237" s="5" t="s">
        <v>50</v>
      </c>
      <c r="F237" s="5">
        <v>1</v>
      </c>
      <c r="G237" s="5">
        <v>50</v>
      </c>
      <c r="H237" s="5">
        <v>0</v>
      </c>
      <c r="I237" s="6">
        <v>46129</v>
      </c>
      <c r="J237" s="6">
        <v>46138</v>
      </c>
      <c r="K237" s="10" t="s">
        <v>20</v>
      </c>
      <c r="L237" s="11" t="str">
        <f t="shared" si="9"/>
        <v>ARJUN</v>
      </c>
      <c r="M237" s="12" t="str">
        <f t="shared" si="10"/>
        <v>marker</v>
      </c>
      <c r="N237" s="13">
        <f t="shared" si="11"/>
        <v>6</v>
      </c>
    </row>
    <row r="238" spans="1:14" ht="15" thickBot="1" x14ac:dyDescent="0.4">
      <c r="A238" s="5">
        <v>1382</v>
      </c>
      <c r="B238" s="5" t="s">
        <v>49</v>
      </c>
      <c r="C238" s="5" t="s">
        <v>33</v>
      </c>
      <c r="D238" s="5" t="s">
        <v>34</v>
      </c>
      <c r="E238" s="5" t="s">
        <v>60</v>
      </c>
      <c r="F238" s="5">
        <v>11</v>
      </c>
      <c r="G238" s="5">
        <v>36198</v>
      </c>
      <c r="H238" s="5">
        <v>0</v>
      </c>
      <c r="I238" s="6">
        <v>46130</v>
      </c>
      <c r="J238" s="6">
        <v>46134</v>
      </c>
      <c r="K238" s="10" t="s">
        <v>15</v>
      </c>
      <c r="L238" s="11" t="str">
        <f t="shared" si="9"/>
        <v>AJAY</v>
      </c>
      <c r="M238" s="12" t="str">
        <f t="shared" si="10"/>
        <v>laptop</v>
      </c>
      <c r="N238" s="13">
        <f t="shared" si="11"/>
        <v>6</v>
      </c>
    </row>
    <row r="239" spans="1:14" ht="15" thickBot="1" x14ac:dyDescent="0.4">
      <c r="A239" s="5">
        <v>1263</v>
      </c>
      <c r="B239" s="5" t="s">
        <v>29</v>
      </c>
      <c r="C239" s="5" t="s">
        <v>38</v>
      </c>
      <c r="D239" s="5" t="s">
        <v>18</v>
      </c>
      <c r="E239" s="5" t="s">
        <v>28</v>
      </c>
      <c r="F239" s="5">
        <v>10</v>
      </c>
      <c r="G239" s="5">
        <v>1505</v>
      </c>
      <c r="H239" s="5">
        <v>0</v>
      </c>
      <c r="I239" s="6">
        <v>46130</v>
      </c>
      <c r="J239" s="6">
        <v>46138</v>
      </c>
      <c r="K239" s="10" t="s">
        <v>51</v>
      </c>
      <c r="L239" s="11" t="str">
        <f t="shared" si="9"/>
        <v>PRIYA</v>
      </c>
      <c r="M239" s="12" t="str">
        <f t="shared" si="10"/>
        <v>chair</v>
      </c>
      <c r="N239" s="13">
        <f t="shared" si="11"/>
        <v>5</v>
      </c>
    </row>
    <row r="240" spans="1:14" ht="15" thickBot="1" x14ac:dyDescent="0.4">
      <c r="A240" s="5">
        <v>1168</v>
      </c>
      <c r="B240" s="5" t="s">
        <v>54</v>
      </c>
      <c r="C240" s="5" t="s">
        <v>12</v>
      </c>
      <c r="D240" s="5" t="s">
        <v>13</v>
      </c>
      <c r="E240" s="5" t="s">
        <v>37</v>
      </c>
      <c r="F240" s="5">
        <v>18</v>
      </c>
      <c r="G240" s="5">
        <v>335</v>
      </c>
      <c r="H240" s="5">
        <v>15</v>
      </c>
      <c r="I240" s="6">
        <v>46130</v>
      </c>
      <c r="J240" s="6">
        <v>46140</v>
      </c>
      <c r="K240" s="10" t="s">
        <v>29</v>
      </c>
      <c r="L240" s="11" t="str">
        <f t="shared" si="9"/>
        <v>MANOJ</v>
      </c>
      <c r="M240" s="12" t="str">
        <f t="shared" si="10"/>
        <v>pen pack</v>
      </c>
      <c r="N240" s="13">
        <f t="shared" si="11"/>
        <v>8</v>
      </c>
    </row>
    <row r="241" spans="1:14" ht="15" thickBot="1" x14ac:dyDescent="0.4">
      <c r="A241" s="5">
        <v>1215</v>
      </c>
      <c r="B241" s="5" t="s">
        <v>27</v>
      </c>
      <c r="C241" s="5" t="s">
        <v>12</v>
      </c>
      <c r="D241" s="5" t="s">
        <v>18</v>
      </c>
      <c r="E241" s="5" t="s">
        <v>28</v>
      </c>
      <c r="F241" s="5">
        <v>6</v>
      </c>
      <c r="G241" s="5">
        <v>1254</v>
      </c>
      <c r="H241" s="5">
        <v>0</v>
      </c>
      <c r="I241" s="6">
        <v>46131</v>
      </c>
      <c r="J241" s="6">
        <v>46136</v>
      </c>
      <c r="K241" s="10" t="s">
        <v>29</v>
      </c>
      <c r="L241" s="11" t="str">
        <f t="shared" si="9"/>
        <v>ARJUN</v>
      </c>
      <c r="M241" s="12" t="str">
        <f t="shared" si="10"/>
        <v>chair</v>
      </c>
      <c r="N241" s="13">
        <f t="shared" si="11"/>
        <v>5</v>
      </c>
    </row>
    <row r="242" spans="1:14" ht="15" thickBot="1" x14ac:dyDescent="0.4">
      <c r="A242" s="5">
        <v>1122</v>
      </c>
      <c r="B242" s="5" t="s">
        <v>40</v>
      </c>
      <c r="C242" s="5" t="s">
        <v>22</v>
      </c>
      <c r="D242" s="5" t="s">
        <v>34</v>
      </c>
      <c r="E242" s="5" t="s">
        <v>39</v>
      </c>
      <c r="F242" s="5">
        <v>14</v>
      </c>
      <c r="G242" s="5">
        <v>49990</v>
      </c>
      <c r="H242" s="5">
        <v>10</v>
      </c>
      <c r="I242" s="6">
        <v>46132</v>
      </c>
      <c r="J242" s="6">
        <v>46135</v>
      </c>
      <c r="K242" s="10" t="s">
        <v>29</v>
      </c>
      <c r="L242" s="11" t="str">
        <f t="shared" si="9"/>
        <v>DEEPAK</v>
      </c>
      <c r="M242" s="12" t="str">
        <f t="shared" si="10"/>
        <v>keyboard</v>
      </c>
      <c r="N242" s="13">
        <f t="shared" si="11"/>
        <v>8</v>
      </c>
    </row>
    <row r="243" spans="1:14" ht="15" thickBot="1" x14ac:dyDescent="0.4">
      <c r="A243" s="5">
        <v>1342</v>
      </c>
      <c r="B243" s="5" t="s">
        <v>59</v>
      </c>
      <c r="C243" s="5" t="s">
        <v>31</v>
      </c>
      <c r="D243" s="5" t="s">
        <v>34</v>
      </c>
      <c r="E243" s="5" t="s">
        <v>35</v>
      </c>
      <c r="F243" s="5">
        <v>13</v>
      </c>
      <c r="G243" s="5">
        <v>47881</v>
      </c>
      <c r="H243" s="5">
        <v>15</v>
      </c>
      <c r="I243" s="6">
        <v>46132</v>
      </c>
      <c r="J243" s="6">
        <v>46139</v>
      </c>
      <c r="K243" s="10" t="s">
        <v>29</v>
      </c>
      <c r="L243" s="11" t="str">
        <f t="shared" si="9"/>
        <v>ANITA</v>
      </c>
      <c r="M243" s="12" t="str">
        <f t="shared" si="10"/>
        <v>printer</v>
      </c>
      <c r="N243" s="13">
        <f t="shared" si="11"/>
        <v>7</v>
      </c>
    </row>
    <row r="244" spans="1:14" ht="15" thickBot="1" x14ac:dyDescent="0.4">
      <c r="A244" s="5">
        <v>1080</v>
      </c>
      <c r="B244" s="5" t="s">
        <v>21</v>
      </c>
      <c r="C244" s="5" t="s">
        <v>22</v>
      </c>
      <c r="D244" s="5" t="s">
        <v>34</v>
      </c>
      <c r="E244" s="5" t="s">
        <v>41</v>
      </c>
      <c r="F244" s="5">
        <v>12</v>
      </c>
      <c r="G244" s="5">
        <v>54161</v>
      </c>
      <c r="H244" s="5">
        <v>15</v>
      </c>
      <c r="I244" s="6">
        <v>46133</v>
      </c>
      <c r="J244" s="6">
        <v>46143</v>
      </c>
      <c r="K244" s="10" t="s">
        <v>24</v>
      </c>
      <c r="L244" s="11" t="str">
        <f t="shared" si="9"/>
        <v>MEERA</v>
      </c>
      <c r="M244" s="12" t="str">
        <f t="shared" si="10"/>
        <v>headset</v>
      </c>
      <c r="N244" s="13">
        <f t="shared" si="11"/>
        <v>7</v>
      </c>
    </row>
    <row r="245" spans="1:14" ht="15" thickBot="1" x14ac:dyDescent="0.4">
      <c r="A245" s="5">
        <v>1111</v>
      </c>
      <c r="B245" s="5" t="s">
        <v>47</v>
      </c>
      <c r="C245" s="5" t="s">
        <v>17</v>
      </c>
      <c r="D245" s="5" t="s">
        <v>34</v>
      </c>
      <c r="E245" s="5" t="s">
        <v>35</v>
      </c>
      <c r="F245" s="5">
        <v>5</v>
      </c>
      <c r="G245" s="5">
        <v>49945</v>
      </c>
      <c r="H245" s="5">
        <v>12</v>
      </c>
      <c r="I245" s="6">
        <v>46133</v>
      </c>
      <c r="J245" s="6">
        <v>46141</v>
      </c>
      <c r="K245" s="10" t="s">
        <v>29</v>
      </c>
      <c r="L245" s="11" t="str">
        <f t="shared" si="9"/>
        <v>YASH</v>
      </c>
      <c r="M245" s="12" t="str">
        <f t="shared" si="10"/>
        <v>printer</v>
      </c>
      <c r="N245" s="13">
        <f t="shared" si="11"/>
        <v>7</v>
      </c>
    </row>
    <row r="246" spans="1:14" ht="15" thickBot="1" x14ac:dyDescent="0.4">
      <c r="A246" s="5">
        <v>1056</v>
      </c>
      <c r="B246" s="5" t="s">
        <v>11</v>
      </c>
      <c r="C246" s="5" t="s">
        <v>22</v>
      </c>
      <c r="D246" s="5" t="s">
        <v>18</v>
      </c>
      <c r="E246" s="5" t="s">
        <v>19</v>
      </c>
      <c r="F246" s="5">
        <v>3</v>
      </c>
      <c r="G246" s="5">
        <v>9771</v>
      </c>
      <c r="H246" s="5">
        <v>5</v>
      </c>
      <c r="I246" s="6">
        <v>46133</v>
      </c>
      <c r="J246" s="6">
        <v>46139</v>
      </c>
      <c r="K246" s="10" t="s">
        <v>24</v>
      </c>
      <c r="L246" s="11" t="str">
        <f t="shared" si="9"/>
        <v>RITESH</v>
      </c>
      <c r="M246" s="12" t="str">
        <f t="shared" si="10"/>
        <v>desk</v>
      </c>
      <c r="N246" s="13">
        <f t="shared" si="11"/>
        <v>4</v>
      </c>
    </row>
    <row r="247" spans="1:14" ht="15" thickBot="1" x14ac:dyDescent="0.4">
      <c r="A247" s="5">
        <v>1357</v>
      </c>
      <c r="B247" s="5" t="s">
        <v>59</v>
      </c>
      <c r="C247" s="5" t="s">
        <v>25</v>
      </c>
      <c r="D247" s="5" t="s">
        <v>13</v>
      </c>
      <c r="E247" s="5" t="s">
        <v>37</v>
      </c>
      <c r="F247" s="5">
        <v>6</v>
      </c>
      <c r="G247" s="5">
        <v>365</v>
      </c>
      <c r="H247" s="5">
        <v>7</v>
      </c>
      <c r="I247" s="6">
        <v>46133</v>
      </c>
      <c r="J247" s="6">
        <v>46140</v>
      </c>
      <c r="K247" s="10" t="s">
        <v>51</v>
      </c>
      <c r="L247" s="11" t="str">
        <f t="shared" si="9"/>
        <v>ANITA</v>
      </c>
      <c r="M247" s="12" t="str">
        <f t="shared" si="10"/>
        <v>pen pack</v>
      </c>
      <c r="N247" s="13">
        <f t="shared" si="11"/>
        <v>8</v>
      </c>
    </row>
    <row r="248" spans="1:14" ht="15" thickBot="1" x14ac:dyDescent="0.4">
      <c r="A248" s="5">
        <v>1125</v>
      </c>
      <c r="B248" s="5" t="s">
        <v>49</v>
      </c>
      <c r="C248" s="5" t="s">
        <v>33</v>
      </c>
      <c r="D248" s="5" t="s">
        <v>13</v>
      </c>
      <c r="E248" s="5" t="s">
        <v>14</v>
      </c>
      <c r="F248" s="5">
        <v>6</v>
      </c>
      <c r="G248" s="5">
        <v>30</v>
      </c>
      <c r="H248" s="5">
        <v>2</v>
      </c>
      <c r="I248" s="6">
        <v>46133</v>
      </c>
      <c r="J248" s="6">
        <v>46138</v>
      </c>
      <c r="K248" s="10" t="s">
        <v>24</v>
      </c>
      <c r="L248" s="11" t="str">
        <f t="shared" si="9"/>
        <v>AJAY</v>
      </c>
      <c r="M248" s="12" t="str">
        <f t="shared" si="10"/>
        <v>notebook</v>
      </c>
      <c r="N248" s="13">
        <f t="shared" si="11"/>
        <v>8</v>
      </c>
    </row>
    <row r="249" spans="1:14" ht="15" thickBot="1" x14ac:dyDescent="0.4">
      <c r="A249" s="5">
        <v>1200</v>
      </c>
      <c r="B249" s="5" t="s">
        <v>29</v>
      </c>
      <c r="C249" s="5" t="s">
        <v>31</v>
      </c>
      <c r="D249" s="5" t="s">
        <v>34</v>
      </c>
      <c r="E249" s="5" t="s">
        <v>45</v>
      </c>
      <c r="F249" s="5">
        <v>13</v>
      </c>
      <c r="G249" s="5">
        <v>69422</v>
      </c>
      <c r="H249" s="5">
        <v>0</v>
      </c>
      <c r="I249" s="6">
        <v>46134</v>
      </c>
      <c r="J249" s="6">
        <v>46143</v>
      </c>
      <c r="K249" s="10" t="s">
        <v>29</v>
      </c>
      <c r="L249" s="11" t="str">
        <f t="shared" si="9"/>
        <v>PRIYA</v>
      </c>
      <c r="M249" s="12" t="str">
        <f t="shared" si="10"/>
        <v>monitor</v>
      </c>
      <c r="N249" s="13">
        <f t="shared" si="11"/>
        <v>7</v>
      </c>
    </row>
    <row r="250" spans="1:14" ht="15" thickBot="1" x14ac:dyDescent="0.4">
      <c r="A250" s="5">
        <v>1270</v>
      </c>
      <c r="B250" s="5" t="s">
        <v>49</v>
      </c>
      <c r="C250" s="5" t="s">
        <v>43</v>
      </c>
      <c r="D250" s="5" t="s">
        <v>34</v>
      </c>
      <c r="E250" s="5" t="s">
        <v>35</v>
      </c>
      <c r="F250" s="5">
        <v>16</v>
      </c>
      <c r="G250" s="5">
        <v>62941</v>
      </c>
      <c r="H250" s="5">
        <v>7</v>
      </c>
      <c r="I250" s="6">
        <v>46135</v>
      </c>
      <c r="J250" s="6">
        <v>46141</v>
      </c>
      <c r="K250" s="10" t="s">
        <v>51</v>
      </c>
      <c r="L250" s="11" t="str">
        <f t="shared" si="9"/>
        <v>AJAY</v>
      </c>
      <c r="M250" s="12" t="str">
        <f t="shared" si="10"/>
        <v>printer</v>
      </c>
      <c r="N250" s="13">
        <f t="shared" si="11"/>
        <v>7</v>
      </c>
    </row>
    <row r="251" spans="1:14" ht="15" thickBot="1" x14ac:dyDescent="0.4">
      <c r="A251" s="5">
        <v>1216</v>
      </c>
      <c r="B251" s="5" t="s">
        <v>40</v>
      </c>
      <c r="C251" s="5" t="s">
        <v>22</v>
      </c>
      <c r="D251" s="5" t="s">
        <v>34</v>
      </c>
      <c r="E251" s="5" t="s">
        <v>45</v>
      </c>
      <c r="F251" s="5">
        <v>10</v>
      </c>
      <c r="G251" s="5">
        <v>56709</v>
      </c>
      <c r="H251" s="5">
        <v>15</v>
      </c>
      <c r="I251" s="6">
        <v>46135</v>
      </c>
      <c r="J251" s="6">
        <v>46139</v>
      </c>
      <c r="K251" s="10" t="s">
        <v>29</v>
      </c>
      <c r="L251" s="11" t="str">
        <f t="shared" si="9"/>
        <v>DEEPAK</v>
      </c>
      <c r="M251" s="12" t="str">
        <f t="shared" si="10"/>
        <v>monitor</v>
      </c>
      <c r="N251" s="13">
        <f t="shared" si="11"/>
        <v>7</v>
      </c>
    </row>
    <row r="252" spans="1:14" ht="15" thickBot="1" x14ac:dyDescent="0.4">
      <c r="A252" s="5">
        <v>1091</v>
      </c>
      <c r="B252" s="5" t="s">
        <v>55</v>
      </c>
      <c r="C252" s="5" t="s">
        <v>17</v>
      </c>
      <c r="D252" s="5" t="s">
        <v>13</v>
      </c>
      <c r="E252" s="5" t="s">
        <v>53</v>
      </c>
      <c r="F252" s="5">
        <v>2</v>
      </c>
      <c r="G252" s="5">
        <v>305</v>
      </c>
      <c r="H252" s="5">
        <v>0</v>
      </c>
      <c r="I252" s="6">
        <v>46136</v>
      </c>
      <c r="J252" s="6">
        <v>46144</v>
      </c>
      <c r="K252" s="10" t="s">
        <v>15</v>
      </c>
      <c r="L252" s="11" t="str">
        <f t="shared" si="9"/>
        <v>SNEHA</v>
      </c>
      <c r="M252" s="12" t="str">
        <f t="shared" si="10"/>
        <v>diary</v>
      </c>
      <c r="N252" s="13">
        <f t="shared" si="11"/>
        <v>5</v>
      </c>
    </row>
    <row r="253" spans="1:14" ht="15" thickBot="1" x14ac:dyDescent="0.4">
      <c r="A253" s="5">
        <v>1016</v>
      </c>
      <c r="B253" s="5" t="s">
        <v>32</v>
      </c>
      <c r="C253" s="5" t="s">
        <v>33</v>
      </c>
      <c r="D253" s="5" t="s">
        <v>34</v>
      </c>
      <c r="E253" s="5" t="s">
        <v>45</v>
      </c>
      <c r="F253" s="5">
        <v>16</v>
      </c>
      <c r="G253" s="5">
        <v>30234</v>
      </c>
      <c r="H253" s="5">
        <v>15</v>
      </c>
      <c r="I253" s="6">
        <v>46137</v>
      </c>
      <c r="J253" s="6">
        <v>46140</v>
      </c>
      <c r="K253" s="10" t="s">
        <v>24</v>
      </c>
      <c r="L253" s="11" t="str">
        <f t="shared" si="9"/>
        <v>ASHA</v>
      </c>
      <c r="M253" s="12" t="str">
        <f t="shared" si="10"/>
        <v>monitor</v>
      </c>
      <c r="N253" s="13">
        <f t="shared" si="11"/>
        <v>7</v>
      </c>
    </row>
    <row r="254" spans="1:14" ht="15" thickBot="1" x14ac:dyDescent="0.4">
      <c r="A254" s="5">
        <v>1237</v>
      </c>
      <c r="B254" s="5" t="s">
        <v>46</v>
      </c>
      <c r="C254" s="5" t="s">
        <v>38</v>
      </c>
      <c r="D254" s="5" t="s">
        <v>18</v>
      </c>
      <c r="E254" s="5" t="s">
        <v>56</v>
      </c>
      <c r="F254" s="5">
        <v>8</v>
      </c>
      <c r="G254" s="5">
        <v>12123</v>
      </c>
      <c r="H254" s="5">
        <v>2</v>
      </c>
      <c r="I254" s="6">
        <v>46137</v>
      </c>
      <c r="J254" s="6">
        <v>46145</v>
      </c>
      <c r="K254" s="10" t="s">
        <v>15</v>
      </c>
      <c r="L254" s="11" t="str">
        <f t="shared" si="9"/>
        <v>KIRAN</v>
      </c>
      <c r="M254" s="12" t="str">
        <f t="shared" si="10"/>
        <v>cabinet</v>
      </c>
      <c r="N254" s="13">
        <f t="shared" si="11"/>
        <v>7</v>
      </c>
    </row>
    <row r="255" spans="1:14" ht="15" thickBot="1" x14ac:dyDescent="0.4">
      <c r="A255" s="5">
        <v>1258</v>
      </c>
      <c r="B255" s="5" t="s">
        <v>32</v>
      </c>
      <c r="C255" s="5" t="s">
        <v>31</v>
      </c>
      <c r="D255" s="5" t="s">
        <v>34</v>
      </c>
      <c r="E255" s="5" t="s">
        <v>60</v>
      </c>
      <c r="F255" s="5">
        <v>1</v>
      </c>
      <c r="G255" s="5">
        <v>10600</v>
      </c>
      <c r="H255" s="5">
        <v>5</v>
      </c>
      <c r="I255" s="6">
        <v>46137</v>
      </c>
      <c r="J255" s="6">
        <v>46138</v>
      </c>
      <c r="K255" s="10" t="s">
        <v>29</v>
      </c>
      <c r="L255" s="11" t="str">
        <f t="shared" si="9"/>
        <v>ASHA</v>
      </c>
      <c r="M255" s="12" t="str">
        <f t="shared" si="10"/>
        <v>laptop</v>
      </c>
      <c r="N255" s="13">
        <f t="shared" si="11"/>
        <v>6</v>
      </c>
    </row>
    <row r="256" spans="1:14" ht="15" thickBot="1" x14ac:dyDescent="0.4">
      <c r="A256" s="5">
        <v>1188</v>
      </c>
      <c r="B256" s="5" t="s">
        <v>29</v>
      </c>
      <c r="C256" s="5" t="s">
        <v>22</v>
      </c>
      <c r="D256" s="5" t="s">
        <v>18</v>
      </c>
      <c r="E256" s="5" t="s">
        <v>56</v>
      </c>
      <c r="F256" s="5">
        <v>6</v>
      </c>
      <c r="G256" s="5">
        <v>10368</v>
      </c>
      <c r="H256" s="5">
        <v>7</v>
      </c>
      <c r="I256" s="6">
        <v>46137</v>
      </c>
      <c r="J256" s="6">
        <v>46142</v>
      </c>
      <c r="K256" s="10" t="s">
        <v>15</v>
      </c>
      <c r="L256" s="11" t="str">
        <f t="shared" si="9"/>
        <v>PRIYA</v>
      </c>
      <c r="M256" s="12" t="str">
        <f t="shared" si="10"/>
        <v>cabinet</v>
      </c>
      <c r="N256" s="13">
        <f t="shared" si="11"/>
        <v>7</v>
      </c>
    </row>
    <row r="257" spans="1:14" ht="15" thickBot="1" x14ac:dyDescent="0.4">
      <c r="A257" s="5">
        <v>1291</v>
      </c>
      <c r="B257" s="5" t="s">
        <v>21</v>
      </c>
      <c r="C257" s="5" t="s">
        <v>17</v>
      </c>
      <c r="D257" s="5" t="s">
        <v>13</v>
      </c>
      <c r="E257" s="5" t="s">
        <v>36</v>
      </c>
      <c r="F257" s="5">
        <v>17</v>
      </c>
      <c r="G257" s="5">
        <v>415</v>
      </c>
      <c r="H257" s="5">
        <v>5</v>
      </c>
      <c r="I257" s="6">
        <v>46137</v>
      </c>
      <c r="J257" s="6">
        <v>46141</v>
      </c>
      <c r="K257" s="10" t="s">
        <v>20</v>
      </c>
      <c r="L257" s="11" t="str">
        <f t="shared" si="9"/>
        <v>MEERA</v>
      </c>
      <c r="M257" s="12" t="str">
        <f t="shared" si="10"/>
        <v>stapler</v>
      </c>
      <c r="N257" s="13">
        <f t="shared" si="11"/>
        <v>7</v>
      </c>
    </row>
    <row r="258" spans="1:14" ht="15" thickBot="1" x14ac:dyDescent="0.4">
      <c r="A258" s="5">
        <v>1144</v>
      </c>
      <c r="B258" s="5" t="s">
        <v>42</v>
      </c>
      <c r="C258" s="5" t="s">
        <v>25</v>
      </c>
      <c r="D258" s="5" t="s">
        <v>13</v>
      </c>
      <c r="E258" s="5" t="s">
        <v>14</v>
      </c>
      <c r="F258" s="5">
        <v>16</v>
      </c>
      <c r="G258" s="5">
        <v>219</v>
      </c>
      <c r="H258" s="5">
        <v>7</v>
      </c>
      <c r="I258" s="6">
        <v>46138</v>
      </c>
      <c r="J258" s="6">
        <v>46140</v>
      </c>
      <c r="K258" s="10" t="s">
        <v>20</v>
      </c>
      <c r="L258" s="11" t="str">
        <f t="shared" si="9"/>
        <v>NISHA</v>
      </c>
      <c r="M258" s="12" t="str">
        <f t="shared" si="10"/>
        <v>notebook</v>
      </c>
      <c r="N258" s="13">
        <f t="shared" si="11"/>
        <v>8</v>
      </c>
    </row>
    <row r="259" spans="1:14" ht="15" thickBot="1" x14ac:dyDescent="0.4">
      <c r="A259" s="5">
        <v>1214</v>
      </c>
      <c r="B259" s="5" t="s">
        <v>42</v>
      </c>
      <c r="C259" s="5" t="s">
        <v>25</v>
      </c>
      <c r="D259" s="5" t="s">
        <v>18</v>
      </c>
      <c r="E259" s="5" t="s">
        <v>28</v>
      </c>
      <c r="F259" s="5">
        <v>19</v>
      </c>
      <c r="G259" s="5">
        <v>13832</v>
      </c>
      <c r="H259" s="5">
        <v>0</v>
      </c>
      <c r="I259" s="6">
        <v>46140</v>
      </c>
      <c r="J259" s="6">
        <v>46145</v>
      </c>
      <c r="K259" s="10" t="s">
        <v>51</v>
      </c>
      <c r="L259" s="11" t="str">
        <f t="shared" ref="L259:L322" si="12">UPPER(B259)</f>
        <v>NISHA</v>
      </c>
      <c r="M259" s="12" t="str">
        <f t="shared" ref="M259:M322" si="13">LOWER(E259)</f>
        <v>chair</v>
      </c>
      <c r="N259" s="13">
        <f t="shared" ref="N259:N322" si="14">LEN(E259)</f>
        <v>5</v>
      </c>
    </row>
    <row r="260" spans="1:14" ht="15" thickBot="1" x14ac:dyDescent="0.4">
      <c r="A260" s="5">
        <v>1346</v>
      </c>
      <c r="B260" s="5" t="s">
        <v>32</v>
      </c>
      <c r="C260" s="5" t="s">
        <v>22</v>
      </c>
      <c r="D260" s="5" t="s">
        <v>18</v>
      </c>
      <c r="E260" s="5" t="s">
        <v>19</v>
      </c>
      <c r="F260" s="5">
        <v>16</v>
      </c>
      <c r="G260" s="5">
        <v>6910</v>
      </c>
      <c r="H260" s="5">
        <v>15</v>
      </c>
      <c r="I260" s="6">
        <v>46140</v>
      </c>
      <c r="J260" s="6">
        <v>46142</v>
      </c>
      <c r="K260" s="10" t="s">
        <v>29</v>
      </c>
      <c r="L260" s="11" t="str">
        <f t="shared" si="12"/>
        <v>ASHA</v>
      </c>
      <c r="M260" s="12" t="str">
        <f t="shared" si="13"/>
        <v>desk</v>
      </c>
      <c r="N260" s="13">
        <f t="shared" si="14"/>
        <v>4</v>
      </c>
    </row>
    <row r="261" spans="1:14" ht="15" thickBot="1" x14ac:dyDescent="0.4">
      <c r="A261" s="5">
        <v>1101</v>
      </c>
      <c r="B261" s="5" t="s">
        <v>27</v>
      </c>
      <c r="C261" s="5" t="s">
        <v>22</v>
      </c>
      <c r="D261" s="5" t="s">
        <v>34</v>
      </c>
      <c r="E261" s="5" t="s">
        <v>61</v>
      </c>
      <c r="F261" s="5">
        <v>9</v>
      </c>
      <c r="G261" s="5">
        <v>37361</v>
      </c>
      <c r="H261" s="5">
        <v>10</v>
      </c>
      <c r="I261" s="6">
        <v>46141</v>
      </c>
      <c r="J261" s="6">
        <v>46142</v>
      </c>
      <c r="K261" s="10" t="s">
        <v>24</v>
      </c>
      <c r="L261" s="11" t="str">
        <f t="shared" si="12"/>
        <v>ARJUN</v>
      </c>
      <c r="M261" s="12" t="str">
        <f t="shared" si="13"/>
        <v>mouse</v>
      </c>
      <c r="N261" s="13">
        <f t="shared" si="14"/>
        <v>5</v>
      </c>
    </row>
    <row r="262" spans="1:14" ht="15" thickBot="1" x14ac:dyDescent="0.4">
      <c r="A262" s="5">
        <v>1322</v>
      </c>
      <c r="B262" s="5" t="s">
        <v>27</v>
      </c>
      <c r="C262" s="5" t="s">
        <v>12</v>
      </c>
      <c r="D262" s="5" t="s">
        <v>18</v>
      </c>
      <c r="E262" s="5" t="s">
        <v>23</v>
      </c>
      <c r="F262" s="5">
        <v>14</v>
      </c>
      <c r="G262" s="5">
        <v>9081</v>
      </c>
      <c r="H262" s="5">
        <v>15</v>
      </c>
      <c r="I262" s="6">
        <v>46141</v>
      </c>
      <c r="J262" s="6">
        <v>46146</v>
      </c>
      <c r="K262" s="10" t="s">
        <v>15</v>
      </c>
      <c r="L262" s="11" t="str">
        <f t="shared" si="12"/>
        <v>ARJUN</v>
      </c>
      <c r="M262" s="12" t="str">
        <f t="shared" si="13"/>
        <v>table</v>
      </c>
      <c r="N262" s="13">
        <f t="shared" si="14"/>
        <v>5</v>
      </c>
    </row>
    <row r="263" spans="1:14" ht="15" thickBot="1" x14ac:dyDescent="0.4">
      <c r="A263" s="5">
        <v>1361</v>
      </c>
      <c r="B263" s="5" t="s">
        <v>42</v>
      </c>
      <c r="C263" s="5" t="s">
        <v>17</v>
      </c>
      <c r="D263" s="5" t="s">
        <v>18</v>
      </c>
      <c r="E263" s="5" t="s">
        <v>23</v>
      </c>
      <c r="F263" s="5">
        <v>2</v>
      </c>
      <c r="G263" s="5">
        <v>1822</v>
      </c>
      <c r="H263" s="5">
        <v>5</v>
      </c>
      <c r="I263" s="6">
        <v>46141</v>
      </c>
      <c r="J263" s="6">
        <v>46145</v>
      </c>
      <c r="K263" s="10" t="s">
        <v>20</v>
      </c>
      <c r="L263" s="11" t="str">
        <f t="shared" si="12"/>
        <v>NISHA</v>
      </c>
      <c r="M263" s="12" t="str">
        <f t="shared" si="13"/>
        <v>table</v>
      </c>
      <c r="N263" s="13">
        <f t="shared" si="14"/>
        <v>5</v>
      </c>
    </row>
    <row r="264" spans="1:14" ht="15" thickBot="1" x14ac:dyDescent="0.4">
      <c r="A264" s="5">
        <v>1254</v>
      </c>
      <c r="B264" s="5" t="s">
        <v>52</v>
      </c>
      <c r="C264" s="5" t="s">
        <v>22</v>
      </c>
      <c r="D264" s="5" t="s">
        <v>13</v>
      </c>
      <c r="E264" s="5" t="s">
        <v>50</v>
      </c>
      <c r="F264" s="5">
        <v>18</v>
      </c>
      <c r="G264" s="5">
        <v>447</v>
      </c>
      <c r="H264" s="5">
        <v>15</v>
      </c>
      <c r="I264" s="6">
        <v>46141</v>
      </c>
      <c r="J264" s="6">
        <v>46149</v>
      </c>
      <c r="K264" s="10" t="s">
        <v>24</v>
      </c>
      <c r="L264" s="11" t="str">
        <f t="shared" si="12"/>
        <v>KOMAL</v>
      </c>
      <c r="M264" s="12" t="str">
        <f t="shared" si="13"/>
        <v>marker</v>
      </c>
      <c r="N264" s="13">
        <f t="shared" si="14"/>
        <v>6</v>
      </c>
    </row>
    <row r="265" spans="1:14" ht="15" thickBot="1" x14ac:dyDescent="0.4">
      <c r="A265" s="5">
        <v>1160</v>
      </c>
      <c r="B265" s="5" t="s">
        <v>59</v>
      </c>
      <c r="C265" s="5" t="s">
        <v>22</v>
      </c>
      <c r="D265" s="5" t="s">
        <v>34</v>
      </c>
      <c r="E265" s="5" t="s">
        <v>39</v>
      </c>
      <c r="F265" s="5">
        <v>7</v>
      </c>
      <c r="G265" s="5">
        <v>53986</v>
      </c>
      <c r="H265" s="5">
        <v>10</v>
      </c>
      <c r="I265" s="6">
        <v>46142</v>
      </c>
      <c r="J265" s="6">
        <v>46147</v>
      </c>
      <c r="K265" s="10" t="s">
        <v>51</v>
      </c>
      <c r="L265" s="11" t="str">
        <f t="shared" si="12"/>
        <v>ANITA</v>
      </c>
      <c r="M265" s="12" t="str">
        <f t="shared" si="13"/>
        <v>keyboard</v>
      </c>
      <c r="N265" s="13">
        <f t="shared" si="14"/>
        <v>8</v>
      </c>
    </row>
    <row r="266" spans="1:14" ht="15" thickBot="1" x14ac:dyDescent="0.4">
      <c r="A266" s="5">
        <v>1240</v>
      </c>
      <c r="B266" s="5" t="s">
        <v>55</v>
      </c>
      <c r="C266" s="5" t="s">
        <v>33</v>
      </c>
      <c r="D266" s="5" t="s">
        <v>18</v>
      </c>
      <c r="E266" s="5" t="s">
        <v>23</v>
      </c>
      <c r="F266" s="5">
        <v>2</v>
      </c>
      <c r="G266" s="5">
        <v>5475</v>
      </c>
      <c r="H266" s="5">
        <v>2</v>
      </c>
      <c r="I266" s="6">
        <v>46142</v>
      </c>
      <c r="J266" s="6">
        <v>46146</v>
      </c>
      <c r="K266" s="10" t="s">
        <v>29</v>
      </c>
      <c r="L266" s="11" t="str">
        <f t="shared" si="12"/>
        <v>SNEHA</v>
      </c>
      <c r="M266" s="12" t="str">
        <f t="shared" si="13"/>
        <v>table</v>
      </c>
      <c r="N266" s="13">
        <f t="shared" si="14"/>
        <v>5</v>
      </c>
    </row>
    <row r="267" spans="1:14" ht="15" thickBot="1" x14ac:dyDescent="0.4">
      <c r="A267" s="5">
        <v>1339</v>
      </c>
      <c r="B267" s="5" t="s">
        <v>32</v>
      </c>
      <c r="C267" s="5" t="s">
        <v>25</v>
      </c>
      <c r="D267" s="5" t="s">
        <v>13</v>
      </c>
      <c r="E267" s="5" t="s">
        <v>14</v>
      </c>
      <c r="F267" s="5">
        <v>6</v>
      </c>
      <c r="G267" s="5">
        <v>302</v>
      </c>
      <c r="H267" s="5">
        <v>5</v>
      </c>
      <c r="I267" s="6">
        <v>46142</v>
      </c>
      <c r="J267" s="6">
        <v>46148</v>
      </c>
      <c r="K267" s="10" t="s">
        <v>20</v>
      </c>
      <c r="L267" s="11" t="str">
        <f t="shared" si="12"/>
        <v>ASHA</v>
      </c>
      <c r="M267" s="12" t="str">
        <f t="shared" si="13"/>
        <v>notebook</v>
      </c>
      <c r="N267" s="13">
        <f t="shared" si="14"/>
        <v>8</v>
      </c>
    </row>
    <row r="268" spans="1:14" ht="15" thickBot="1" x14ac:dyDescent="0.4">
      <c r="A268" s="5">
        <v>1150</v>
      </c>
      <c r="B268" s="5" t="s">
        <v>42</v>
      </c>
      <c r="C268" s="5" t="s">
        <v>12</v>
      </c>
      <c r="D268" s="5" t="s">
        <v>18</v>
      </c>
      <c r="E268" s="5" t="s">
        <v>56</v>
      </c>
      <c r="F268" s="5">
        <v>10</v>
      </c>
      <c r="G268" s="5">
        <v>5323</v>
      </c>
      <c r="H268" s="5">
        <v>7</v>
      </c>
      <c r="I268" s="6">
        <v>46143</v>
      </c>
      <c r="J268" s="6">
        <v>46153</v>
      </c>
      <c r="K268" s="10" t="s">
        <v>24</v>
      </c>
      <c r="L268" s="11" t="str">
        <f t="shared" si="12"/>
        <v>NISHA</v>
      </c>
      <c r="M268" s="12" t="str">
        <f t="shared" si="13"/>
        <v>cabinet</v>
      </c>
      <c r="N268" s="13">
        <f t="shared" si="14"/>
        <v>7</v>
      </c>
    </row>
    <row r="269" spans="1:14" ht="15" thickBot="1" x14ac:dyDescent="0.4">
      <c r="A269" s="5">
        <v>1218</v>
      </c>
      <c r="B269" s="5" t="s">
        <v>55</v>
      </c>
      <c r="C269" s="5" t="s">
        <v>38</v>
      </c>
      <c r="D269" s="5" t="s">
        <v>13</v>
      </c>
      <c r="E269" s="5" t="s">
        <v>14</v>
      </c>
      <c r="F269" s="5">
        <v>1</v>
      </c>
      <c r="G269" s="5">
        <v>134</v>
      </c>
      <c r="H269" s="5">
        <v>10</v>
      </c>
      <c r="I269" s="6">
        <v>46143</v>
      </c>
      <c r="J269" s="6">
        <v>46151</v>
      </c>
      <c r="K269" s="10" t="s">
        <v>51</v>
      </c>
      <c r="L269" s="11" t="str">
        <f t="shared" si="12"/>
        <v>SNEHA</v>
      </c>
      <c r="M269" s="12" t="str">
        <f t="shared" si="13"/>
        <v>notebook</v>
      </c>
      <c r="N269" s="13">
        <f t="shared" si="14"/>
        <v>8</v>
      </c>
    </row>
    <row r="270" spans="1:14" ht="15" thickBot="1" x14ac:dyDescent="0.4">
      <c r="A270" s="5">
        <v>1021</v>
      </c>
      <c r="B270" s="5" t="s">
        <v>48</v>
      </c>
      <c r="C270" s="5" t="s">
        <v>43</v>
      </c>
      <c r="D270" s="5" t="s">
        <v>13</v>
      </c>
      <c r="E270" s="5" t="s">
        <v>14</v>
      </c>
      <c r="F270" s="5">
        <v>3</v>
      </c>
      <c r="G270" s="5">
        <v>484</v>
      </c>
      <c r="H270" s="5">
        <v>2</v>
      </c>
      <c r="I270" s="6">
        <v>46144</v>
      </c>
      <c r="J270" s="6">
        <v>46148</v>
      </c>
      <c r="K270" s="10" t="s">
        <v>24</v>
      </c>
      <c r="L270" s="11" t="str">
        <f t="shared" si="12"/>
        <v>NITIN</v>
      </c>
      <c r="M270" s="12" t="str">
        <f t="shared" si="13"/>
        <v>notebook</v>
      </c>
      <c r="N270" s="13">
        <f t="shared" si="14"/>
        <v>8</v>
      </c>
    </row>
    <row r="271" spans="1:14" ht="15" thickBot="1" x14ac:dyDescent="0.4">
      <c r="A271" s="5">
        <v>1184</v>
      </c>
      <c r="B271" s="5" t="s">
        <v>40</v>
      </c>
      <c r="C271" s="5" t="s">
        <v>31</v>
      </c>
      <c r="D271" s="5" t="s">
        <v>34</v>
      </c>
      <c r="E271" s="5" t="s">
        <v>39</v>
      </c>
      <c r="F271" s="5">
        <v>12</v>
      </c>
      <c r="G271" s="5">
        <v>50517</v>
      </c>
      <c r="H271" s="5">
        <v>15</v>
      </c>
      <c r="I271" s="6">
        <v>46145</v>
      </c>
      <c r="J271" s="6">
        <v>46153</v>
      </c>
      <c r="K271" s="10" t="s">
        <v>29</v>
      </c>
      <c r="L271" s="11" t="str">
        <f t="shared" si="12"/>
        <v>DEEPAK</v>
      </c>
      <c r="M271" s="12" t="str">
        <f t="shared" si="13"/>
        <v>keyboard</v>
      </c>
      <c r="N271" s="13">
        <f t="shared" si="14"/>
        <v>8</v>
      </c>
    </row>
    <row r="272" spans="1:14" ht="15" thickBot="1" x14ac:dyDescent="0.4">
      <c r="A272" s="5">
        <v>1333</v>
      </c>
      <c r="B272" s="5" t="s">
        <v>29</v>
      </c>
      <c r="C272" s="5" t="s">
        <v>38</v>
      </c>
      <c r="D272" s="5" t="s">
        <v>13</v>
      </c>
      <c r="E272" s="5" t="s">
        <v>53</v>
      </c>
      <c r="F272" s="5">
        <v>20</v>
      </c>
      <c r="G272" s="5">
        <v>416</v>
      </c>
      <c r="H272" s="5">
        <v>12</v>
      </c>
      <c r="I272" s="6">
        <v>46145</v>
      </c>
      <c r="J272" s="6">
        <v>46146</v>
      </c>
      <c r="K272" s="10" t="s">
        <v>51</v>
      </c>
      <c r="L272" s="11" t="str">
        <f t="shared" si="12"/>
        <v>PRIYA</v>
      </c>
      <c r="M272" s="12" t="str">
        <f t="shared" si="13"/>
        <v>diary</v>
      </c>
      <c r="N272" s="13">
        <f t="shared" si="14"/>
        <v>5</v>
      </c>
    </row>
    <row r="273" spans="1:14" ht="15" thickBot="1" x14ac:dyDescent="0.4">
      <c r="A273" s="5">
        <v>1085</v>
      </c>
      <c r="B273" s="5" t="s">
        <v>32</v>
      </c>
      <c r="C273" s="5" t="s">
        <v>38</v>
      </c>
      <c r="D273" s="5" t="s">
        <v>34</v>
      </c>
      <c r="E273" s="5" t="s">
        <v>60</v>
      </c>
      <c r="F273" s="5">
        <v>19</v>
      </c>
      <c r="G273" s="5">
        <v>45307</v>
      </c>
      <c r="H273" s="5">
        <v>12</v>
      </c>
      <c r="I273" s="6">
        <v>46146</v>
      </c>
      <c r="J273" s="6">
        <v>46150</v>
      </c>
      <c r="K273" s="10" t="s">
        <v>24</v>
      </c>
      <c r="L273" s="11" t="str">
        <f t="shared" si="12"/>
        <v>ASHA</v>
      </c>
      <c r="M273" s="12" t="str">
        <f t="shared" si="13"/>
        <v>laptop</v>
      </c>
      <c r="N273" s="13">
        <f t="shared" si="14"/>
        <v>6</v>
      </c>
    </row>
    <row r="274" spans="1:14" ht="15" thickBot="1" x14ac:dyDescent="0.4">
      <c r="A274" s="5">
        <v>1305</v>
      </c>
      <c r="B274" s="5" t="s">
        <v>58</v>
      </c>
      <c r="C274" s="5" t="s">
        <v>31</v>
      </c>
      <c r="D274" s="5" t="s">
        <v>34</v>
      </c>
      <c r="E274" s="5" t="s">
        <v>60</v>
      </c>
      <c r="F274" s="5">
        <v>20</v>
      </c>
      <c r="G274" s="5">
        <v>31406</v>
      </c>
      <c r="H274" s="5">
        <v>15</v>
      </c>
      <c r="I274" s="6">
        <v>46146</v>
      </c>
      <c r="J274" s="6">
        <v>46154</v>
      </c>
      <c r="K274" s="10" t="s">
        <v>51</v>
      </c>
      <c r="L274" s="11" t="str">
        <f t="shared" si="12"/>
        <v>ROHAN</v>
      </c>
      <c r="M274" s="12" t="str">
        <f t="shared" si="13"/>
        <v>laptop</v>
      </c>
      <c r="N274" s="13">
        <f t="shared" si="14"/>
        <v>6</v>
      </c>
    </row>
    <row r="275" spans="1:14" ht="15" thickBot="1" x14ac:dyDescent="0.4">
      <c r="A275" s="5">
        <v>1360</v>
      </c>
      <c r="B275" s="5" t="s">
        <v>11</v>
      </c>
      <c r="C275" s="5" t="s">
        <v>43</v>
      </c>
      <c r="D275" s="5" t="s">
        <v>18</v>
      </c>
      <c r="E275" s="5" t="s">
        <v>23</v>
      </c>
      <c r="F275" s="5">
        <v>19</v>
      </c>
      <c r="G275" s="5">
        <v>6681</v>
      </c>
      <c r="H275" s="5">
        <v>2</v>
      </c>
      <c r="I275" s="6">
        <v>46146</v>
      </c>
      <c r="J275" s="6">
        <v>46150</v>
      </c>
      <c r="K275" s="10" t="s">
        <v>15</v>
      </c>
      <c r="L275" s="11" t="str">
        <f t="shared" si="12"/>
        <v>RITESH</v>
      </c>
      <c r="M275" s="12" t="str">
        <f t="shared" si="13"/>
        <v>table</v>
      </c>
      <c r="N275" s="13">
        <f t="shared" si="14"/>
        <v>5</v>
      </c>
    </row>
    <row r="276" spans="1:14" ht="15" thickBot="1" x14ac:dyDescent="0.4">
      <c r="A276" s="5">
        <v>1117</v>
      </c>
      <c r="B276" s="5" t="s">
        <v>55</v>
      </c>
      <c r="C276" s="5" t="s">
        <v>43</v>
      </c>
      <c r="D276" s="5" t="s">
        <v>34</v>
      </c>
      <c r="E276" s="5" t="s">
        <v>39</v>
      </c>
      <c r="F276" s="5">
        <v>16</v>
      </c>
      <c r="G276" s="5">
        <v>33162</v>
      </c>
      <c r="H276" s="5">
        <v>7</v>
      </c>
      <c r="I276" s="6">
        <v>46147</v>
      </c>
      <c r="J276" s="6">
        <v>46155</v>
      </c>
      <c r="K276" s="10" t="s">
        <v>29</v>
      </c>
      <c r="L276" s="11" t="str">
        <f t="shared" si="12"/>
        <v>SNEHA</v>
      </c>
      <c r="M276" s="12" t="str">
        <f t="shared" si="13"/>
        <v>keyboard</v>
      </c>
      <c r="N276" s="13">
        <f t="shared" si="14"/>
        <v>8</v>
      </c>
    </row>
    <row r="277" spans="1:14" ht="15" thickBot="1" x14ac:dyDescent="0.4">
      <c r="A277" s="5">
        <v>1063</v>
      </c>
      <c r="B277" s="5" t="s">
        <v>54</v>
      </c>
      <c r="C277" s="5" t="s">
        <v>22</v>
      </c>
      <c r="D277" s="5" t="s">
        <v>34</v>
      </c>
      <c r="E277" s="5" t="s">
        <v>45</v>
      </c>
      <c r="F277" s="5">
        <v>7</v>
      </c>
      <c r="G277" s="5">
        <v>66744</v>
      </c>
      <c r="H277" s="5">
        <v>7</v>
      </c>
      <c r="I277" s="6">
        <v>46148</v>
      </c>
      <c r="J277" s="6">
        <v>46155</v>
      </c>
      <c r="K277" s="10" t="s">
        <v>15</v>
      </c>
      <c r="L277" s="11" t="str">
        <f t="shared" si="12"/>
        <v>MANOJ</v>
      </c>
      <c r="M277" s="12" t="str">
        <f t="shared" si="13"/>
        <v>monitor</v>
      </c>
      <c r="N277" s="13">
        <f t="shared" si="14"/>
        <v>7</v>
      </c>
    </row>
    <row r="278" spans="1:14" ht="15" thickBot="1" x14ac:dyDescent="0.4">
      <c r="A278" s="5">
        <v>1134</v>
      </c>
      <c r="B278" s="5" t="s">
        <v>57</v>
      </c>
      <c r="C278" s="5" t="s">
        <v>31</v>
      </c>
      <c r="D278" s="5" t="s">
        <v>34</v>
      </c>
      <c r="E278" s="5" t="s">
        <v>61</v>
      </c>
      <c r="F278" s="5">
        <v>10</v>
      </c>
      <c r="G278" s="5">
        <v>29217</v>
      </c>
      <c r="H278" s="5">
        <v>15</v>
      </c>
      <c r="I278" s="6">
        <v>46148</v>
      </c>
      <c r="J278" s="6">
        <v>46150</v>
      </c>
      <c r="K278" s="10" t="s">
        <v>24</v>
      </c>
      <c r="L278" s="11" t="str">
        <f t="shared" si="12"/>
        <v>SARA</v>
      </c>
      <c r="M278" s="12" t="str">
        <f t="shared" si="13"/>
        <v>mouse</v>
      </c>
      <c r="N278" s="13">
        <f t="shared" si="14"/>
        <v>5</v>
      </c>
    </row>
    <row r="279" spans="1:14" ht="15" thickBot="1" x14ac:dyDescent="0.4">
      <c r="A279" s="5">
        <v>1312</v>
      </c>
      <c r="B279" s="5" t="s">
        <v>57</v>
      </c>
      <c r="C279" s="5" t="s">
        <v>22</v>
      </c>
      <c r="D279" s="5" t="s">
        <v>18</v>
      </c>
      <c r="E279" s="5" t="s">
        <v>56</v>
      </c>
      <c r="F279" s="5">
        <v>20</v>
      </c>
      <c r="G279" s="5">
        <v>3274</v>
      </c>
      <c r="H279" s="5">
        <v>2</v>
      </c>
      <c r="I279" s="6">
        <v>46148</v>
      </c>
      <c r="J279" s="6">
        <v>46156</v>
      </c>
      <c r="K279" s="10" t="s">
        <v>24</v>
      </c>
      <c r="L279" s="11" t="str">
        <f t="shared" si="12"/>
        <v>SARA</v>
      </c>
      <c r="M279" s="12" t="str">
        <f t="shared" si="13"/>
        <v>cabinet</v>
      </c>
      <c r="N279" s="13">
        <f t="shared" si="14"/>
        <v>7</v>
      </c>
    </row>
    <row r="280" spans="1:14" ht="15" thickBot="1" x14ac:dyDescent="0.4">
      <c r="A280" s="5">
        <v>1191</v>
      </c>
      <c r="B280" s="5" t="s">
        <v>52</v>
      </c>
      <c r="C280" s="5" t="s">
        <v>33</v>
      </c>
      <c r="D280" s="5" t="s">
        <v>18</v>
      </c>
      <c r="E280" s="5" t="s">
        <v>56</v>
      </c>
      <c r="F280" s="5">
        <v>9</v>
      </c>
      <c r="G280" s="5">
        <v>8631</v>
      </c>
      <c r="H280" s="5">
        <v>10</v>
      </c>
      <c r="I280" s="6">
        <v>46149</v>
      </c>
      <c r="J280" s="6">
        <v>46156</v>
      </c>
      <c r="K280" s="10" t="s">
        <v>20</v>
      </c>
      <c r="L280" s="11" t="str">
        <f t="shared" si="12"/>
        <v>KOMAL</v>
      </c>
      <c r="M280" s="12" t="str">
        <f t="shared" si="13"/>
        <v>cabinet</v>
      </c>
      <c r="N280" s="13">
        <f t="shared" si="14"/>
        <v>7</v>
      </c>
    </row>
    <row r="281" spans="1:14" ht="15" thickBot="1" x14ac:dyDescent="0.4">
      <c r="A281" s="5">
        <v>1115</v>
      </c>
      <c r="B281" s="5" t="s">
        <v>59</v>
      </c>
      <c r="C281" s="5" t="s">
        <v>43</v>
      </c>
      <c r="D281" s="5" t="s">
        <v>13</v>
      </c>
      <c r="E281" s="5" t="s">
        <v>50</v>
      </c>
      <c r="F281" s="5">
        <v>9</v>
      </c>
      <c r="G281" s="5">
        <v>303</v>
      </c>
      <c r="H281" s="5">
        <v>10</v>
      </c>
      <c r="I281" s="6">
        <v>46149</v>
      </c>
      <c r="J281" s="6">
        <v>46157</v>
      </c>
      <c r="K281" s="10" t="s">
        <v>29</v>
      </c>
      <c r="L281" s="11" t="str">
        <f t="shared" si="12"/>
        <v>ANITA</v>
      </c>
      <c r="M281" s="12" t="str">
        <f t="shared" si="13"/>
        <v>marker</v>
      </c>
      <c r="N281" s="13">
        <f t="shared" si="14"/>
        <v>6</v>
      </c>
    </row>
    <row r="282" spans="1:14" ht="15" thickBot="1" x14ac:dyDescent="0.4">
      <c r="A282" s="5">
        <v>1327</v>
      </c>
      <c r="B282" s="5" t="s">
        <v>48</v>
      </c>
      <c r="C282" s="5" t="s">
        <v>12</v>
      </c>
      <c r="D282" s="5" t="s">
        <v>13</v>
      </c>
      <c r="E282" s="5" t="s">
        <v>53</v>
      </c>
      <c r="F282" s="5">
        <v>15</v>
      </c>
      <c r="G282" s="5">
        <v>449</v>
      </c>
      <c r="H282" s="5">
        <v>5</v>
      </c>
      <c r="I282" s="6">
        <v>46152</v>
      </c>
      <c r="J282" s="6">
        <v>46153</v>
      </c>
      <c r="K282" s="10" t="s">
        <v>15</v>
      </c>
      <c r="L282" s="11" t="str">
        <f t="shared" si="12"/>
        <v>NITIN</v>
      </c>
      <c r="M282" s="12" t="str">
        <f t="shared" si="13"/>
        <v>diary</v>
      </c>
      <c r="N282" s="13">
        <f t="shared" si="14"/>
        <v>5</v>
      </c>
    </row>
    <row r="283" spans="1:14" ht="15" thickBot="1" x14ac:dyDescent="0.4">
      <c r="A283" s="5">
        <v>1046</v>
      </c>
      <c r="B283" s="5" t="s">
        <v>57</v>
      </c>
      <c r="C283" s="5" t="s">
        <v>38</v>
      </c>
      <c r="D283" s="5" t="s">
        <v>34</v>
      </c>
      <c r="E283" s="5" t="s">
        <v>45</v>
      </c>
      <c r="F283" s="5">
        <v>3</v>
      </c>
      <c r="G283" s="5">
        <v>19443</v>
      </c>
      <c r="H283" s="5">
        <v>10</v>
      </c>
      <c r="I283" s="6">
        <v>46153</v>
      </c>
      <c r="J283" s="6">
        <v>46158</v>
      </c>
      <c r="K283" s="10" t="s">
        <v>29</v>
      </c>
      <c r="L283" s="11" t="str">
        <f t="shared" si="12"/>
        <v>SARA</v>
      </c>
      <c r="M283" s="12" t="str">
        <f t="shared" si="13"/>
        <v>monitor</v>
      </c>
      <c r="N283" s="13">
        <f t="shared" si="14"/>
        <v>7</v>
      </c>
    </row>
    <row r="284" spans="1:14" ht="15" thickBot="1" x14ac:dyDescent="0.4">
      <c r="A284" s="5">
        <v>1185</v>
      </c>
      <c r="B284" s="5" t="s">
        <v>58</v>
      </c>
      <c r="C284" s="5" t="s">
        <v>22</v>
      </c>
      <c r="D284" s="5" t="s">
        <v>34</v>
      </c>
      <c r="E284" s="5" t="s">
        <v>60</v>
      </c>
      <c r="F284" s="5">
        <v>16</v>
      </c>
      <c r="G284" s="5">
        <v>15536</v>
      </c>
      <c r="H284" s="5">
        <v>2</v>
      </c>
      <c r="I284" s="6">
        <v>46153</v>
      </c>
      <c r="J284" s="6">
        <v>46156</v>
      </c>
      <c r="K284" s="10" t="s">
        <v>15</v>
      </c>
      <c r="L284" s="11" t="str">
        <f t="shared" si="12"/>
        <v>ROHAN</v>
      </c>
      <c r="M284" s="12" t="str">
        <f t="shared" si="13"/>
        <v>laptop</v>
      </c>
      <c r="N284" s="13">
        <f t="shared" si="14"/>
        <v>6</v>
      </c>
    </row>
    <row r="285" spans="1:14" ht="15" thickBot="1" x14ac:dyDescent="0.4">
      <c r="A285" s="5">
        <v>1147</v>
      </c>
      <c r="B285" s="5" t="s">
        <v>11</v>
      </c>
      <c r="C285" s="5" t="s">
        <v>22</v>
      </c>
      <c r="D285" s="5" t="s">
        <v>18</v>
      </c>
      <c r="E285" s="5" t="s">
        <v>28</v>
      </c>
      <c r="F285" s="5">
        <v>7</v>
      </c>
      <c r="G285" s="5">
        <v>9581</v>
      </c>
      <c r="H285" s="5">
        <v>5</v>
      </c>
      <c r="I285" s="6">
        <v>46154</v>
      </c>
      <c r="J285" s="6">
        <v>46155</v>
      </c>
      <c r="K285" s="10" t="s">
        <v>20</v>
      </c>
      <c r="L285" s="11" t="str">
        <f t="shared" si="12"/>
        <v>RITESH</v>
      </c>
      <c r="M285" s="12" t="str">
        <f t="shared" si="13"/>
        <v>chair</v>
      </c>
      <c r="N285" s="13">
        <f t="shared" si="14"/>
        <v>5</v>
      </c>
    </row>
    <row r="286" spans="1:14" ht="15" thickBot="1" x14ac:dyDescent="0.4">
      <c r="A286" s="5">
        <v>1222</v>
      </c>
      <c r="B286" s="5" t="s">
        <v>30</v>
      </c>
      <c r="C286" s="5" t="s">
        <v>33</v>
      </c>
      <c r="D286" s="5" t="s">
        <v>18</v>
      </c>
      <c r="E286" s="5" t="s">
        <v>23</v>
      </c>
      <c r="F286" s="5">
        <v>9</v>
      </c>
      <c r="G286" s="5">
        <v>2712</v>
      </c>
      <c r="H286" s="5">
        <v>12</v>
      </c>
      <c r="I286" s="6">
        <v>46154</v>
      </c>
      <c r="J286" s="6">
        <v>46163</v>
      </c>
      <c r="K286" s="10" t="s">
        <v>15</v>
      </c>
      <c r="L286" s="11" t="str">
        <f t="shared" si="12"/>
        <v>NEHA</v>
      </c>
      <c r="M286" s="12" t="str">
        <f t="shared" si="13"/>
        <v>table</v>
      </c>
      <c r="N286" s="13">
        <f t="shared" si="14"/>
        <v>5</v>
      </c>
    </row>
    <row r="287" spans="1:14" ht="15" thickBot="1" x14ac:dyDescent="0.4">
      <c r="A287" s="5">
        <v>1332</v>
      </c>
      <c r="B287" s="5" t="s">
        <v>29</v>
      </c>
      <c r="C287" s="5" t="s">
        <v>43</v>
      </c>
      <c r="D287" s="5" t="s">
        <v>13</v>
      </c>
      <c r="E287" s="5" t="s">
        <v>50</v>
      </c>
      <c r="F287" s="5">
        <v>7</v>
      </c>
      <c r="G287" s="5">
        <v>439</v>
      </c>
      <c r="H287" s="5">
        <v>2</v>
      </c>
      <c r="I287" s="6">
        <v>46154</v>
      </c>
      <c r="J287" s="6">
        <v>46157</v>
      </c>
      <c r="K287" s="10" t="s">
        <v>15</v>
      </c>
      <c r="L287" s="11" t="str">
        <f t="shared" si="12"/>
        <v>PRIYA</v>
      </c>
      <c r="M287" s="12" t="str">
        <f t="shared" si="13"/>
        <v>marker</v>
      </c>
      <c r="N287" s="13">
        <f t="shared" si="14"/>
        <v>6</v>
      </c>
    </row>
    <row r="288" spans="1:14" ht="15" thickBot="1" x14ac:dyDescent="0.4">
      <c r="A288" s="5">
        <v>1179</v>
      </c>
      <c r="B288" s="5" t="s">
        <v>47</v>
      </c>
      <c r="C288" s="5" t="s">
        <v>17</v>
      </c>
      <c r="D288" s="5" t="s">
        <v>34</v>
      </c>
      <c r="E288" s="5" t="s">
        <v>39</v>
      </c>
      <c r="F288" s="5">
        <v>6</v>
      </c>
      <c r="G288" s="5">
        <v>10400</v>
      </c>
      <c r="H288" s="5">
        <v>2</v>
      </c>
      <c r="I288" s="6">
        <v>46155</v>
      </c>
      <c r="J288" s="6">
        <v>46158</v>
      </c>
      <c r="K288" s="10" t="s">
        <v>15</v>
      </c>
      <c r="L288" s="11" t="str">
        <f t="shared" si="12"/>
        <v>YASH</v>
      </c>
      <c r="M288" s="12" t="str">
        <f t="shared" si="13"/>
        <v>keyboard</v>
      </c>
      <c r="N288" s="13">
        <f t="shared" si="14"/>
        <v>8</v>
      </c>
    </row>
    <row r="289" spans="1:14" ht="15" thickBot="1" x14ac:dyDescent="0.4">
      <c r="A289" s="5">
        <v>1196</v>
      </c>
      <c r="B289" s="5" t="s">
        <v>48</v>
      </c>
      <c r="C289" s="5" t="s">
        <v>22</v>
      </c>
      <c r="D289" s="5" t="s">
        <v>34</v>
      </c>
      <c r="E289" s="5" t="s">
        <v>35</v>
      </c>
      <c r="F289" s="5">
        <v>20</v>
      </c>
      <c r="G289" s="5">
        <v>3172</v>
      </c>
      <c r="H289" s="5">
        <v>5</v>
      </c>
      <c r="I289" s="6">
        <v>46155</v>
      </c>
      <c r="J289" s="6">
        <v>46159</v>
      </c>
      <c r="K289" s="10" t="s">
        <v>20</v>
      </c>
      <c r="L289" s="11" t="str">
        <f t="shared" si="12"/>
        <v>NITIN</v>
      </c>
      <c r="M289" s="12" t="str">
        <f t="shared" si="13"/>
        <v>printer</v>
      </c>
      <c r="N289" s="13">
        <f t="shared" si="14"/>
        <v>7</v>
      </c>
    </row>
    <row r="290" spans="1:14" ht="15" thickBot="1" x14ac:dyDescent="0.4">
      <c r="A290" s="5">
        <v>1027</v>
      </c>
      <c r="B290" s="5" t="s">
        <v>29</v>
      </c>
      <c r="C290" s="5" t="s">
        <v>43</v>
      </c>
      <c r="D290" s="5" t="s">
        <v>13</v>
      </c>
      <c r="E290" s="5" t="s">
        <v>50</v>
      </c>
      <c r="F290" s="5">
        <v>4</v>
      </c>
      <c r="G290" s="5">
        <v>264</v>
      </c>
      <c r="H290" s="5">
        <v>0</v>
      </c>
      <c r="I290" s="6">
        <v>46155</v>
      </c>
      <c r="J290" s="6">
        <v>46161</v>
      </c>
      <c r="K290" s="10" t="s">
        <v>51</v>
      </c>
      <c r="L290" s="11" t="str">
        <f t="shared" si="12"/>
        <v>PRIYA</v>
      </c>
      <c r="M290" s="12" t="str">
        <f t="shared" si="13"/>
        <v>marker</v>
      </c>
      <c r="N290" s="13">
        <f t="shared" si="14"/>
        <v>6</v>
      </c>
    </row>
    <row r="291" spans="1:14" ht="15" thickBot="1" x14ac:dyDescent="0.4">
      <c r="A291" s="5">
        <v>1344</v>
      </c>
      <c r="B291" s="5" t="s">
        <v>30</v>
      </c>
      <c r="C291" s="5" t="s">
        <v>17</v>
      </c>
      <c r="D291" s="5" t="s">
        <v>13</v>
      </c>
      <c r="E291" s="5" t="s">
        <v>53</v>
      </c>
      <c r="F291" s="5">
        <v>18</v>
      </c>
      <c r="G291" s="5">
        <v>240</v>
      </c>
      <c r="H291" s="5">
        <v>10</v>
      </c>
      <c r="I291" s="6">
        <v>46155</v>
      </c>
      <c r="J291" s="6">
        <v>46156</v>
      </c>
      <c r="K291" s="10" t="s">
        <v>24</v>
      </c>
      <c r="L291" s="11" t="str">
        <f t="shared" si="12"/>
        <v>NEHA</v>
      </c>
      <c r="M291" s="12" t="str">
        <f t="shared" si="13"/>
        <v>diary</v>
      </c>
      <c r="N291" s="13">
        <f t="shared" si="14"/>
        <v>5</v>
      </c>
    </row>
    <row r="292" spans="1:14" ht="15" thickBot="1" x14ac:dyDescent="0.4">
      <c r="A292" s="5">
        <v>1171</v>
      </c>
      <c r="B292" s="5" t="s">
        <v>57</v>
      </c>
      <c r="C292" s="5" t="s">
        <v>25</v>
      </c>
      <c r="D292" s="5" t="s">
        <v>13</v>
      </c>
      <c r="E292" s="5" t="s">
        <v>50</v>
      </c>
      <c r="F292" s="5">
        <v>17</v>
      </c>
      <c r="G292" s="5">
        <v>147</v>
      </c>
      <c r="H292" s="5">
        <v>12</v>
      </c>
      <c r="I292" s="6">
        <v>46155</v>
      </c>
      <c r="J292" s="6">
        <v>46160</v>
      </c>
      <c r="K292" s="10" t="s">
        <v>20</v>
      </c>
      <c r="L292" s="11" t="str">
        <f t="shared" si="12"/>
        <v>SARA</v>
      </c>
      <c r="M292" s="12" t="str">
        <f t="shared" si="13"/>
        <v>marker</v>
      </c>
      <c r="N292" s="13">
        <f t="shared" si="14"/>
        <v>6</v>
      </c>
    </row>
    <row r="293" spans="1:14" ht="15" thickBot="1" x14ac:dyDescent="0.4">
      <c r="A293" s="5">
        <v>1295</v>
      </c>
      <c r="B293" s="5" t="s">
        <v>52</v>
      </c>
      <c r="C293" s="5" t="s">
        <v>38</v>
      </c>
      <c r="D293" s="5" t="s">
        <v>18</v>
      </c>
      <c r="E293" s="5" t="s">
        <v>28</v>
      </c>
      <c r="F293" s="5">
        <v>16</v>
      </c>
      <c r="G293" s="5">
        <v>11935</v>
      </c>
      <c r="H293" s="5">
        <v>12</v>
      </c>
      <c r="I293" s="6">
        <v>46157</v>
      </c>
      <c r="J293" s="6">
        <v>46162</v>
      </c>
      <c r="K293" s="10" t="s">
        <v>15</v>
      </c>
      <c r="L293" s="11" t="str">
        <f t="shared" si="12"/>
        <v>KOMAL</v>
      </c>
      <c r="M293" s="12" t="str">
        <f t="shared" si="13"/>
        <v>chair</v>
      </c>
      <c r="N293" s="13">
        <f t="shared" si="14"/>
        <v>5</v>
      </c>
    </row>
    <row r="294" spans="1:14" ht="15" thickBot="1" x14ac:dyDescent="0.4">
      <c r="A294" s="5">
        <v>1367</v>
      </c>
      <c r="B294" s="5" t="s">
        <v>54</v>
      </c>
      <c r="C294" s="5" t="s">
        <v>25</v>
      </c>
      <c r="D294" s="5" t="s">
        <v>13</v>
      </c>
      <c r="E294" s="5" t="s">
        <v>53</v>
      </c>
      <c r="F294" s="5">
        <v>1</v>
      </c>
      <c r="G294" s="5">
        <v>371</v>
      </c>
      <c r="H294" s="5">
        <v>5</v>
      </c>
      <c r="I294" s="6">
        <v>46158</v>
      </c>
      <c r="J294" s="6">
        <v>46168</v>
      </c>
      <c r="K294" s="10" t="s">
        <v>29</v>
      </c>
      <c r="L294" s="11" t="str">
        <f t="shared" si="12"/>
        <v>MANOJ</v>
      </c>
      <c r="M294" s="12" t="str">
        <f t="shared" si="13"/>
        <v>diary</v>
      </c>
      <c r="N294" s="13">
        <f t="shared" si="14"/>
        <v>5</v>
      </c>
    </row>
    <row r="295" spans="1:14" ht="15" thickBot="1" x14ac:dyDescent="0.4">
      <c r="A295" s="5">
        <v>1317</v>
      </c>
      <c r="B295" s="5" t="s">
        <v>59</v>
      </c>
      <c r="C295" s="5" t="s">
        <v>33</v>
      </c>
      <c r="D295" s="5" t="s">
        <v>34</v>
      </c>
      <c r="E295" s="5" t="s">
        <v>41</v>
      </c>
      <c r="F295" s="5">
        <v>7</v>
      </c>
      <c r="G295" s="5">
        <v>67339</v>
      </c>
      <c r="H295" s="5">
        <v>5</v>
      </c>
      <c r="I295" s="6">
        <v>46159</v>
      </c>
      <c r="J295" s="6">
        <v>46169</v>
      </c>
      <c r="K295" s="10" t="s">
        <v>51</v>
      </c>
      <c r="L295" s="11" t="str">
        <f t="shared" si="12"/>
        <v>ANITA</v>
      </c>
      <c r="M295" s="12" t="str">
        <f t="shared" si="13"/>
        <v>headset</v>
      </c>
      <c r="N295" s="13">
        <f t="shared" si="14"/>
        <v>7</v>
      </c>
    </row>
    <row r="296" spans="1:14" ht="15" thickBot="1" x14ac:dyDescent="0.4">
      <c r="A296" s="5">
        <v>1052</v>
      </c>
      <c r="B296" s="5" t="s">
        <v>55</v>
      </c>
      <c r="C296" s="5" t="s">
        <v>12</v>
      </c>
      <c r="D296" s="5" t="s">
        <v>13</v>
      </c>
      <c r="E296" s="5" t="s">
        <v>14</v>
      </c>
      <c r="F296" s="5">
        <v>17</v>
      </c>
      <c r="G296" s="5">
        <v>172</v>
      </c>
      <c r="H296" s="5">
        <v>10</v>
      </c>
      <c r="I296" s="6">
        <v>46159</v>
      </c>
      <c r="J296" s="6">
        <v>46165</v>
      </c>
      <c r="K296" s="10" t="s">
        <v>20</v>
      </c>
      <c r="L296" s="11" t="str">
        <f t="shared" si="12"/>
        <v>SNEHA</v>
      </c>
      <c r="M296" s="12" t="str">
        <f t="shared" si="13"/>
        <v>notebook</v>
      </c>
      <c r="N296" s="13">
        <f t="shared" si="14"/>
        <v>8</v>
      </c>
    </row>
    <row r="297" spans="1:14" ht="15" thickBot="1" x14ac:dyDescent="0.4">
      <c r="A297" s="5">
        <v>1143</v>
      </c>
      <c r="B297" s="5" t="s">
        <v>29</v>
      </c>
      <c r="C297" s="5" t="s">
        <v>17</v>
      </c>
      <c r="D297" s="5" t="s">
        <v>13</v>
      </c>
      <c r="E297" s="5" t="s">
        <v>37</v>
      </c>
      <c r="F297" s="5">
        <v>13</v>
      </c>
      <c r="G297" s="5">
        <v>456</v>
      </c>
      <c r="H297" s="5">
        <v>2</v>
      </c>
      <c r="I297" s="6">
        <v>46160</v>
      </c>
      <c r="J297" s="6">
        <v>46167</v>
      </c>
      <c r="K297" s="10" t="s">
        <v>24</v>
      </c>
      <c r="L297" s="11" t="str">
        <f t="shared" si="12"/>
        <v>PRIYA</v>
      </c>
      <c r="M297" s="12" t="str">
        <f t="shared" si="13"/>
        <v>pen pack</v>
      </c>
      <c r="N297" s="13">
        <f t="shared" si="14"/>
        <v>8</v>
      </c>
    </row>
    <row r="298" spans="1:14" ht="15" thickBot="1" x14ac:dyDescent="0.4">
      <c r="A298" s="5">
        <v>1167</v>
      </c>
      <c r="B298" s="5" t="s">
        <v>48</v>
      </c>
      <c r="C298" s="5" t="s">
        <v>17</v>
      </c>
      <c r="D298" s="5" t="s">
        <v>13</v>
      </c>
      <c r="E298" s="5" t="s">
        <v>37</v>
      </c>
      <c r="F298" s="5">
        <v>20</v>
      </c>
      <c r="G298" s="5">
        <v>251</v>
      </c>
      <c r="H298" s="5">
        <v>5</v>
      </c>
      <c r="I298" s="6">
        <v>46160</v>
      </c>
      <c r="J298" s="6">
        <v>46170</v>
      </c>
      <c r="K298" s="10" t="s">
        <v>29</v>
      </c>
      <c r="L298" s="11" t="str">
        <f t="shared" si="12"/>
        <v>NITIN</v>
      </c>
      <c r="M298" s="12" t="str">
        <f t="shared" si="13"/>
        <v>pen pack</v>
      </c>
      <c r="N298" s="13">
        <f t="shared" si="14"/>
        <v>8</v>
      </c>
    </row>
    <row r="299" spans="1:14" ht="15" thickBot="1" x14ac:dyDescent="0.4">
      <c r="A299" s="5">
        <v>1129</v>
      </c>
      <c r="B299" s="5" t="s">
        <v>58</v>
      </c>
      <c r="C299" s="5" t="s">
        <v>17</v>
      </c>
      <c r="D299" s="5" t="s">
        <v>13</v>
      </c>
      <c r="E299" s="5" t="s">
        <v>50</v>
      </c>
      <c r="F299" s="5">
        <v>15</v>
      </c>
      <c r="G299" s="5">
        <v>75</v>
      </c>
      <c r="H299" s="5">
        <v>7</v>
      </c>
      <c r="I299" s="6">
        <v>46160</v>
      </c>
      <c r="J299" s="6">
        <v>46164</v>
      </c>
      <c r="K299" s="10" t="s">
        <v>29</v>
      </c>
      <c r="L299" s="11" t="str">
        <f t="shared" si="12"/>
        <v>ROHAN</v>
      </c>
      <c r="M299" s="12" t="str">
        <f t="shared" si="13"/>
        <v>marker</v>
      </c>
      <c r="N299" s="13">
        <f t="shared" si="14"/>
        <v>6</v>
      </c>
    </row>
    <row r="300" spans="1:14" ht="15" thickBot="1" x14ac:dyDescent="0.4">
      <c r="A300" s="5">
        <v>1257</v>
      </c>
      <c r="B300" s="5" t="s">
        <v>54</v>
      </c>
      <c r="C300" s="5" t="s">
        <v>25</v>
      </c>
      <c r="D300" s="5" t="s">
        <v>34</v>
      </c>
      <c r="E300" s="5" t="s">
        <v>61</v>
      </c>
      <c r="F300" s="5">
        <v>7</v>
      </c>
      <c r="G300" s="5">
        <v>53243</v>
      </c>
      <c r="H300" s="5">
        <v>12</v>
      </c>
      <c r="I300" s="6">
        <v>46161</v>
      </c>
      <c r="J300" s="6">
        <v>46171</v>
      </c>
      <c r="K300" s="10" t="s">
        <v>15</v>
      </c>
      <c r="L300" s="11" t="str">
        <f t="shared" si="12"/>
        <v>MANOJ</v>
      </c>
      <c r="M300" s="12" t="str">
        <f t="shared" si="13"/>
        <v>mouse</v>
      </c>
      <c r="N300" s="13">
        <f t="shared" si="14"/>
        <v>5</v>
      </c>
    </row>
    <row r="301" spans="1:14" ht="15" thickBot="1" x14ac:dyDescent="0.4">
      <c r="A301" s="5">
        <v>1372</v>
      </c>
      <c r="B301" s="5" t="s">
        <v>48</v>
      </c>
      <c r="C301" s="5" t="s">
        <v>17</v>
      </c>
      <c r="D301" s="5" t="s">
        <v>34</v>
      </c>
      <c r="E301" s="5" t="s">
        <v>39</v>
      </c>
      <c r="F301" s="5">
        <v>9</v>
      </c>
      <c r="G301" s="5">
        <v>9551</v>
      </c>
      <c r="H301" s="5">
        <v>10</v>
      </c>
      <c r="I301" s="6">
        <v>46161</v>
      </c>
      <c r="J301" s="6">
        <v>46168</v>
      </c>
      <c r="K301" s="10" t="s">
        <v>15</v>
      </c>
      <c r="L301" s="11" t="str">
        <f t="shared" si="12"/>
        <v>NITIN</v>
      </c>
      <c r="M301" s="12" t="str">
        <f t="shared" si="13"/>
        <v>keyboard</v>
      </c>
      <c r="N301" s="13">
        <f t="shared" si="14"/>
        <v>8</v>
      </c>
    </row>
    <row r="302" spans="1:14" ht="15" thickBot="1" x14ac:dyDescent="0.4">
      <c r="A302" s="5">
        <v>1024</v>
      </c>
      <c r="B302" s="5" t="s">
        <v>32</v>
      </c>
      <c r="C302" s="5" t="s">
        <v>38</v>
      </c>
      <c r="D302" s="5" t="s">
        <v>34</v>
      </c>
      <c r="E302" s="5" t="s">
        <v>41</v>
      </c>
      <c r="F302" s="5">
        <v>12</v>
      </c>
      <c r="G302" s="5">
        <v>1682</v>
      </c>
      <c r="H302" s="5">
        <v>5</v>
      </c>
      <c r="I302" s="6">
        <v>46161</v>
      </c>
      <c r="J302" s="6">
        <v>46165</v>
      </c>
      <c r="K302" s="10" t="s">
        <v>15</v>
      </c>
      <c r="L302" s="11" t="str">
        <f t="shared" si="12"/>
        <v>ASHA</v>
      </c>
      <c r="M302" s="12" t="str">
        <f t="shared" si="13"/>
        <v>headset</v>
      </c>
      <c r="N302" s="13">
        <f t="shared" si="14"/>
        <v>7</v>
      </c>
    </row>
    <row r="303" spans="1:14" ht="15" thickBot="1" x14ac:dyDescent="0.4">
      <c r="A303" s="5">
        <v>1248</v>
      </c>
      <c r="B303" s="5" t="s">
        <v>27</v>
      </c>
      <c r="C303" s="5" t="s">
        <v>43</v>
      </c>
      <c r="D303" s="5" t="s">
        <v>13</v>
      </c>
      <c r="E303" s="5" t="s">
        <v>37</v>
      </c>
      <c r="F303" s="5">
        <v>5</v>
      </c>
      <c r="G303" s="5">
        <v>398</v>
      </c>
      <c r="H303" s="5">
        <v>7</v>
      </c>
      <c r="I303" s="6">
        <v>46161</v>
      </c>
      <c r="J303" s="6">
        <v>46171</v>
      </c>
      <c r="K303" s="10" t="s">
        <v>29</v>
      </c>
      <c r="L303" s="11" t="str">
        <f t="shared" si="12"/>
        <v>ARJUN</v>
      </c>
      <c r="M303" s="12" t="str">
        <f t="shared" si="13"/>
        <v>pen pack</v>
      </c>
      <c r="N303" s="13">
        <f t="shared" si="14"/>
        <v>8</v>
      </c>
    </row>
    <row r="304" spans="1:14" ht="15" thickBot="1" x14ac:dyDescent="0.4">
      <c r="A304" s="5">
        <v>1011</v>
      </c>
      <c r="B304" s="5" t="s">
        <v>11</v>
      </c>
      <c r="C304" s="5" t="s">
        <v>17</v>
      </c>
      <c r="D304" s="5" t="s">
        <v>13</v>
      </c>
      <c r="E304" s="5" t="s">
        <v>37</v>
      </c>
      <c r="F304" s="5">
        <v>14</v>
      </c>
      <c r="G304" s="5">
        <v>88</v>
      </c>
      <c r="H304" s="5">
        <v>12</v>
      </c>
      <c r="I304" s="6">
        <v>46161</v>
      </c>
      <c r="J304" s="6">
        <v>46163</v>
      </c>
      <c r="K304" s="10" t="s">
        <v>15</v>
      </c>
      <c r="L304" s="11" t="str">
        <f t="shared" si="12"/>
        <v>RITESH</v>
      </c>
      <c r="M304" s="12" t="str">
        <f t="shared" si="13"/>
        <v>pen pack</v>
      </c>
      <c r="N304" s="13">
        <f t="shared" si="14"/>
        <v>8</v>
      </c>
    </row>
    <row r="305" spans="1:14" ht="15" thickBot="1" x14ac:dyDescent="0.4">
      <c r="A305" s="5">
        <v>1386</v>
      </c>
      <c r="B305" s="5" t="s">
        <v>27</v>
      </c>
      <c r="C305" s="5" t="s">
        <v>31</v>
      </c>
      <c r="D305" s="5" t="s">
        <v>18</v>
      </c>
      <c r="E305" s="5" t="s">
        <v>28</v>
      </c>
      <c r="F305" s="5">
        <v>9</v>
      </c>
      <c r="G305" s="5">
        <v>7509</v>
      </c>
      <c r="H305" s="5">
        <v>5</v>
      </c>
      <c r="I305" s="6">
        <v>46162</v>
      </c>
      <c r="J305" s="6">
        <v>46171</v>
      </c>
      <c r="K305" s="10" t="s">
        <v>51</v>
      </c>
      <c r="L305" s="11" t="str">
        <f t="shared" si="12"/>
        <v>ARJUN</v>
      </c>
      <c r="M305" s="12" t="str">
        <f t="shared" si="13"/>
        <v>chair</v>
      </c>
      <c r="N305" s="13">
        <f t="shared" si="14"/>
        <v>5</v>
      </c>
    </row>
    <row r="306" spans="1:14" ht="15" thickBot="1" x14ac:dyDescent="0.4">
      <c r="A306" s="5">
        <v>1007</v>
      </c>
      <c r="B306" s="5" t="s">
        <v>21</v>
      </c>
      <c r="C306" s="5" t="s">
        <v>22</v>
      </c>
      <c r="D306" s="5" t="s">
        <v>13</v>
      </c>
      <c r="E306" s="5" t="s">
        <v>14</v>
      </c>
      <c r="F306" s="5">
        <v>19</v>
      </c>
      <c r="G306" s="5">
        <v>149</v>
      </c>
      <c r="H306" s="5">
        <v>7</v>
      </c>
      <c r="I306" s="6">
        <v>46162</v>
      </c>
      <c r="J306" s="6">
        <v>46168</v>
      </c>
      <c r="K306" s="10" t="s">
        <v>24</v>
      </c>
      <c r="L306" s="11" t="str">
        <f t="shared" si="12"/>
        <v>MEERA</v>
      </c>
      <c r="M306" s="12" t="str">
        <f t="shared" si="13"/>
        <v>notebook</v>
      </c>
      <c r="N306" s="13">
        <f t="shared" si="14"/>
        <v>8</v>
      </c>
    </row>
    <row r="307" spans="1:14" ht="15" thickBot="1" x14ac:dyDescent="0.4">
      <c r="A307" s="5">
        <v>1032</v>
      </c>
      <c r="B307" s="5" t="s">
        <v>54</v>
      </c>
      <c r="C307" s="5" t="s">
        <v>43</v>
      </c>
      <c r="D307" s="5" t="s">
        <v>34</v>
      </c>
      <c r="E307" s="5" t="s">
        <v>39</v>
      </c>
      <c r="F307" s="5">
        <v>20</v>
      </c>
      <c r="G307" s="5">
        <v>11305</v>
      </c>
      <c r="H307" s="5">
        <v>2</v>
      </c>
      <c r="I307" s="6">
        <v>46163</v>
      </c>
      <c r="J307" s="6">
        <v>46165</v>
      </c>
      <c r="K307" s="10" t="s">
        <v>29</v>
      </c>
      <c r="L307" s="11" t="str">
        <f t="shared" si="12"/>
        <v>MANOJ</v>
      </c>
      <c r="M307" s="12" t="str">
        <f t="shared" si="13"/>
        <v>keyboard</v>
      </c>
      <c r="N307" s="13">
        <f t="shared" si="14"/>
        <v>8</v>
      </c>
    </row>
    <row r="308" spans="1:14" ht="15" thickBot="1" x14ac:dyDescent="0.4">
      <c r="A308" s="5">
        <v>1302</v>
      </c>
      <c r="B308" s="5" t="s">
        <v>57</v>
      </c>
      <c r="C308" s="5" t="s">
        <v>12</v>
      </c>
      <c r="D308" s="5" t="s">
        <v>34</v>
      </c>
      <c r="E308" s="5" t="s">
        <v>35</v>
      </c>
      <c r="F308" s="5">
        <v>9</v>
      </c>
      <c r="G308" s="5">
        <v>8500</v>
      </c>
      <c r="H308" s="5">
        <v>15</v>
      </c>
      <c r="I308" s="6">
        <v>46163</v>
      </c>
      <c r="J308" s="6">
        <v>46172</v>
      </c>
      <c r="K308" s="10" t="s">
        <v>24</v>
      </c>
      <c r="L308" s="11" t="str">
        <f t="shared" si="12"/>
        <v>SARA</v>
      </c>
      <c r="M308" s="12" t="str">
        <f t="shared" si="13"/>
        <v>printer</v>
      </c>
      <c r="N308" s="13">
        <f t="shared" si="14"/>
        <v>7</v>
      </c>
    </row>
    <row r="309" spans="1:14" ht="15" thickBot="1" x14ac:dyDescent="0.4">
      <c r="A309" s="5">
        <v>1249</v>
      </c>
      <c r="B309" s="5" t="s">
        <v>16</v>
      </c>
      <c r="C309" s="5" t="s">
        <v>25</v>
      </c>
      <c r="D309" s="5" t="s">
        <v>34</v>
      </c>
      <c r="E309" s="5" t="s">
        <v>41</v>
      </c>
      <c r="F309" s="5">
        <v>18</v>
      </c>
      <c r="G309" s="5">
        <v>6360</v>
      </c>
      <c r="H309" s="5">
        <v>12</v>
      </c>
      <c r="I309" s="6">
        <v>46163</v>
      </c>
      <c r="J309" s="6">
        <v>46165</v>
      </c>
      <c r="K309" s="10" t="s">
        <v>20</v>
      </c>
      <c r="L309" s="11" t="str">
        <f t="shared" si="12"/>
        <v>POOJA</v>
      </c>
      <c r="M309" s="12" t="str">
        <f t="shared" si="13"/>
        <v>headset</v>
      </c>
      <c r="N309" s="13">
        <f t="shared" si="14"/>
        <v>7</v>
      </c>
    </row>
    <row r="310" spans="1:14" ht="15" thickBot="1" x14ac:dyDescent="0.4">
      <c r="A310" s="5">
        <v>1207</v>
      </c>
      <c r="B310" s="5" t="s">
        <v>55</v>
      </c>
      <c r="C310" s="5" t="s">
        <v>25</v>
      </c>
      <c r="D310" s="5" t="s">
        <v>13</v>
      </c>
      <c r="E310" s="5" t="s">
        <v>53</v>
      </c>
      <c r="F310" s="5">
        <v>7</v>
      </c>
      <c r="G310" s="5">
        <v>244</v>
      </c>
      <c r="H310" s="5">
        <v>2</v>
      </c>
      <c r="I310" s="6">
        <v>46164</v>
      </c>
      <c r="J310" s="6">
        <v>46173</v>
      </c>
      <c r="K310" s="10" t="s">
        <v>24</v>
      </c>
      <c r="L310" s="11" t="str">
        <f t="shared" si="12"/>
        <v>SNEHA</v>
      </c>
      <c r="M310" s="12" t="str">
        <f t="shared" si="13"/>
        <v>diary</v>
      </c>
      <c r="N310" s="13">
        <f t="shared" si="14"/>
        <v>5</v>
      </c>
    </row>
    <row r="311" spans="1:14" ht="15" thickBot="1" x14ac:dyDescent="0.4">
      <c r="A311" s="5">
        <v>1236</v>
      </c>
      <c r="B311" s="5" t="s">
        <v>54</v>
      </c>
      <c r="C311" s="5" t="s">
        <v>43</v>
      </c>
      <c r="D311" s="5" t="s">
        <v>13</v>
      </c>
      <c r="E311" s="5" t="s">
        <v>37</v>
      </c>
      <c r="F311" s="5">
        <v>12</v>
      </c>
      <c r="G311" s="5">
        <v>189</v>
      </c>
      <c r="H311" s="5">
        <v>7</v>
      </c>
      <c r="I311" s="6">
        <v>46164</v>
      </c>
      <c r="J311" s="6">
        <v>46169</v>
      </c>
      <c r="K311" s="10" t="s">
        <v>29</v>
      </c>
      <c r="L311" s="11" t="str">
        <f t="shared" si="12"/>
        <v>MANOJ</v>
      </c>
      <c r="M311" s="12" t="str">
        <f t="shared" si="13"/>
        <v>pen pack</v>
      </c>
      <c r="N311" s="13">
        <f t="shared" si="14"/>
        <v>8</v>
      </c>
    </row>
    <row r="312" spans="1:14" ht="15" thickBot="1" x14ac:dyDescent="0.4">
      <c r="A312" s="5">
        <v>1326</v>
      </c>
      <c r="B312" s="5" t="s">
        <v>26</v>
      </c>
      <c r="C312" s="5" t="s">
        <v>17</v>
      </c>
      <c r="D312" s="5" t="s">
        <v>18</v>
      </c>
      <c r="E312" s="5" t="s">
        <v>44</v>
      </c>
      <c r="F312" s="5">
        <v>18</v>
      </c>
      <c r="G312" s="5">
        <v>1830</v>
      </c>
      <c r="H312" s="5">
        <v>10</v>
      </c>
      <c r="I312" s="6">
        <v>46165</v>
      </c>
      <c r="J312" s="6">
        <v>46172</v>
      </c>
      <c r="K312" s="10" t="s">
        <v>15</v>
      </c>
      <c r="L312" s="11" t="str">
        <f t="shared" si="12"/>
        <v>VIKRAM</v>
      </c>
      <c r="M312" s="12" t="str">
        <f t="shared" si="13"/>
        <v>bookshelf</v>
      </c>
      <c r="N312" s="13">
        <f t="shared" si="14"/>
        <v>9</v>
      </c>
    </row>
    <row r="313" spans="1:14" ht="15" thickBot="1" x14ac:dyDescent="0.4">
      <c r="A313" s="5">
        <v>1252</v>
      </c>
      <c r="B313" s="5" t="s">
        <v>47</v>
      </c>
      <c r="C313" s="5" t="s">
        <v>25</v>
      </c>
      <c r="D313" s="5" t="s">
        <v>13</v>
      </c>
      <c r="E313" s="5" t="s">
        <v>36</v>
      </c>
      <c r="F313" s="5">
        <v>15</v>
      </c>
      <c r="G313" s="5">
        <v>257</v>
      </c>
      <c r="H313" s="5">
        <v>5</v>
      </c>
      <c r="I313" s="6">
        <v>46166</v>
      </c>
      <c r="J313" s="6">
        <v>46173</v>
      </c>
      <c r="K313" s="10" t="s">
        <v>20</v>
      </c>
      <c r="L313" s="11" t="str">
        <f t="shared" si="12"/>
        <v>YASH</v>
      </c>
      <c r="M313" s="12" t="str">
        <f t="shared" si="13"/>
        <v>stapler</v>
      </c>
      <c r="N313" s="13">
        <f t="shared" si="14"/>
        <v>7</v>
      </c>
    </row>
    <row r="314" spans="1:14" ht="15" thickBot="1" x14ac:dyDescent="0.4">
      <c r="A314" s="5">
        <v>1206</v>
      </c>
      <c r="B314" s="5" t="s">
        <v>55</v>
      </c>
      <c r="C314" s="5" t="s">
        <v>33</v>
      </c>
      <c r="D314" s="5" t="s">
        <v>13</v>
      </c>
      <c r="E314" s="5" t="s">
        <v>14</v>
      </c>
      <c r="F314" s="5">
        <v>9</v>
      </c>
      <c r="G314" s="5">
        <v>60</v>
      </c>
      <c r="H314" s="5">
        <v>0</v>
      </c>
      <c r="I314" s="6">
        <v>46166</v>
      </c>
      <c r="J314" s="6">
        <v>46174</v>
      </c>
      <c r="K314" s="10" t="s">
        <v>15</v>
      </c>
      <c r="L314" s="11" t="str">
        <f t="shared" si="12"/>
        <v>SNEHA</v>
      </c>
      <c r="M314" s="12" t="str">
        <f t="shared" si="13"/>
        <v>notebook</v>
      </c>
      <c r="N314" s="13">
        <f t="shared" si="14"/>
        <v>8</v>
      </c>
    </row>
    <row r="315" spans="1:14" ht="15" thickBot="1" x14ac:dyDescent="0.4">
      <c r="A315" s="5">
        <v>1095</v>
      </c>
      <c r="B315" s="5" t="s">
        <v>47</v>
      </c>
      <c r="C315" s="5" t="s">
        <v>25</v>
      </c>
      <c r="D315" s="5" t="s">
        <v>34</v>
      </c>
      <c r="E315" s="5" t="s">
        <v>41</v>
      </c>
      <c r="F315" s="5">
        <v>18</v>
      </c>
      <c r="G315" s="5">
        <v>587</v>
      </c>
      <c r="H315" s="5">
        <v>2</v>
      </c>
      <c r="I315" s="6">
        <v>46167</v>
      </c>
      <c r="J315" s="6">
        <v>46171</v>
      </c>
      <c r="K315" s="10" t="s">
        <v>20</v>
      </c>
      <c r="L315" s="11" t="str">
        <f t="shared" si="12"/>
        <v>YASH</v>
      </c>
      <c r="M315" s="12" t="str">
        <f t="shared" si="13"/>
        <v>headset</v>
      </c>
      <c r="N315" s="13">
        <f t="shared" si="14"/>
        <v>7</v>
      </c>
    </row>
    <row r="316" spans="1:14" ht="15" thickBot="1" x14ac:dyDescent="0.4">
      <c r="A316" s="5">
        <v>1131</v>
      </c>
      <c r="B316" s="5" t="s">
        <v>21</v>
      </c>
      <c r="C316" s="5" t="s">
        <v>31</v>
      </c>
      <c r="D316" s="5" t="s">
        <v>18</v>
      </c>
      <c r="E316" s="5" t="s">
        <v>23</v>
      </c>
      <c r="F316" s="5">
        <v>13</v>
      </c>
      <c r="G316" s="5">
        <v>3083</v>
      </c>
      <c r="H316" s="5">
        <v>7</v>
      </c>
      <c r="I316" s="6">
        <v>46168</v>
      </c>
      <c r="J316" s="6">
        <v>46173</v>
      </c>
      <c r="K316" s="10" t="s">
        <v>51</v>
      </c>
      <c r="L316" s="11" t="str">
        <f t="shared" si="12"/>
        <v>MEERA</v>
      </c>
      <c r="M316" s="12" t="str">
        <f t="shared" si="13"/>
        <v>table</v>
      </c>
      <c r="N316" s="13">
        <f t="shared" si="14"/>
        <v>5</v>
      </c>
    </row>
    <row r="317" spans="1:14" ht="15" thickBot="1" x14ac:dyDescent="0.4">
      <c r="A317" s="5">
        <v>1335</v>
      </c>
      <c r="B317" s="5" t="s">
        <v>47</v>
      </c>
      <c r="C317" s="5" t="s">
        <v>17</v>
      </c>
      <c r="D317" s="5" t="s">
        <v>18</v>
      </c>
      <c r="E317" s="5" t="s">
        <v>19</v>
      </c>
      <c r="F317" s="5">
        <v>9</v>
      </c>
      <c r="G317" s="5">
        <v>1495</v>
      </c>
      <c r="H317" s="5">
        <v>12</v>
      </c>
      <c r="I317" s="6">
        <v>46168</v>
      </c>
      <c r="J317" s="6">
        <v>46173</v>
      </c>
      <c r="K317" s="10" t="s">
        <v>15</v>
      </c>
      <c r="L317" s="11" t="str">
        <f t="shared" si="12"/>
        <v>YASH</v>
      </c>
      <c r="M317" s="12" t="str">
        <f t="shared" si="13"/>
        <v>desk</v>
      </c>
      <c r="N317" s="13">
        <f t="shared" si="14"/>
        <v>4</v>
      </c>
    </row>
    <row r="318" spans="1:14" ht="15" thickBot="1" x14ac:dyDescent="0.4">
      <c r="A318" s="5">
        <v>1286</v>
      </c>
      <c r="B318" s="5" t="s">
        <v>46</v>
      </c>
      <c r="C318" s="5" t="s">
        <v>17</v>
      </c>
      <c r="D318" s="5" t="s">
        <v>18</v>
      </c>
      <c r="E318" s="5" t="s">
        <v>56</v>
      </c>
      <c r="F318" s="5">
        <v>9</v>
      </c>
      <c r="G318" s="5">
        <v>1340</v>
      </c>
      <c r="H318" s="5">
        <v>2</v>
      </c>
      <c r="I318" s="6">
        <v>46168</v>
      </c>
      <c r="J318" s="6">
        <v>46173</v>
      </c>
      <c r="K318" s="10" t="s">
        <v>15</v>
      </c>
      <c r="L318" s="11" t="str">
        <f t="shared" si="12"/>
        <v>KIRAN</v>
      </c>
      <c r="M318" s="12" t="str">
        <f t="shared" si="13"/>
        <v>cabinet</v>
      </c>
      <c r="N318" s="13">
        <f t="shared" si="14"/>
        <v>7</v>
      </c>
    </row>
    <row r="319" spans="1:14" ht="15" thickBot="1" x14ac:dyDescent="0.4">
      <c r="A319" s="5">
        <v>1177</v>
      </c>
      <c r="B319" s="5" t="s">
        <v>29</v>
      </c>
      <c r="C319" s="5" t="s">
        <v>22</v>
      </c>
      <c r="D319" s="5" t="s">
        <v>18</v>
      </c>
      <c r="E319" s="5" t="s">
        <v>19</v>
      </c>
      <c r="F319" s="5">
        <v>14</v>
      </c>
      <c r="G319" s="5">
        <v>7501</v>
      </c>
      <c r="H319" s="5">
        <v>7</v>
      </c>
      <c r="I319" s="6">
        <v>46169</v>
      </c>
      <c r="J319" s="6">
        <v>46179</v>
      </c>
      <c r="K319" s="10" t="s">
        <v>20</v>
      </c>
      <c r="L319" s="11" t="str">
        <f t="shared" si="12"/>
        <v>PRIYA</v>
      </c>
      <c r="M319" s="12" t="str">
        <f t="shared" si="13"/>
        <v>desk</v>
      </c>
      <c r="N319" s="13">
        <f t="shared" si="14"/>
        <v>4</v>
      </c>
    </row>
    <row r="320" spans="1:14" ht="15" thickBot="1" x14ac:dyDescent="0.4">
      <c r="A320" s="5">
        <v>1318</v>
      </c>
      <c r="B320" s="5" t="s">
        <v>11</v>
      </c>
      <c r="C320" s="5" t="s">
        <v>43</v>
      </c>
      <c r="D320" s="5" t="s">
        <v>13</v>
      </c>
      <c r="E320" s="5" t="s">
        <v>50</v>
      </c>
      <c r="F320" s="5">
        <v>4</v>
      </c>
      <c r="G320" s="5">
        <v>38</v>
      </c>
      <c r="H320" s="5">
        <v>12</v>
      </c>
      <c r="I320" s="6">
        <v>46169</v>
      </c>
      <c r="J320" s="6">
        <v>46175</v>
      </c>
      <c r="K320" s="10" t="s">
        <v>29</v>
      </c>
      <c r="L320" s="11" t="str">
        <f t="shared" si="12"/>
        <v>RITESH</v>
      </c>
      <c r="M320" s="12" t="str">
        <f t="shared" si="13"/>
        <v>marker</v>
      </c>
      <c r="N320" s="13">
        <f t="shared" si="14"/>
        <v>6</v>
      </c>
    </row>
    <row r="321" spans="1:14" ht="15" thickBot="1" x14ac:dyDescent="0.4">
      <c r="A321" s="5">
        <v>1079</v>
      </c>
      <c r="B321" s="5" t="s">
        <v>26</v>
      </c>
      <c r="C321" s="5" t="s">
        <v>38</v>
      </c>
      <c r="D321" s="5" t="s">
        <v>34</v>
      </c>
      <c r="E321" s="5" t="s">
        <v>41</v>
      </c>
      <c r="F321" s="5">
        <v>19</v>
      </c>
      <c r="G321" s="5">
        <v>48956</v>
      </c>
      <c r="H321" s="5">
        <v>12</v>
      </c>
      <c r="I321" s="6">
        <v>46170</v>
      </c>
      <c r="J321" s="6">
        <v>46177</v>
      </c>
      <c r="K321" s="10" t="s">
        <v>51</v>
      </c>
      <c r="L321" s="11" t="str">
        <f t="shared" si="12"/>
        <v>VIKRAM</v>
      </c>
      <c r="M321" s="12" t="str">
        <f t="shared" si="13"/>
        <v>headset</v>
      </c>
      <c r="N321" s="13">
        <f t="shared" si="14"/>
        <v>7</v>
      </c>
    </row>
    <row r="322" spans="1:14" ht="15" thickBot="1" x14ac:dyDescent="0.4">
      <c r="A322" s="5">
        <v>1127</v>
      </c>
      <c r="B322" s="5" t="s">
        <v>26</v>
      </c>
      <c r="C322" s="5" t="s">
        <v>33</v>
      </c>
      <c r="D322" s="5" t="s">
        <v>18</v>
      </c>
      <c r="E322" s="5" t="s">
        <v>28</v>
      </c>
      <c r="F322" s="5">
        <v>15</v>
      </c>
      <c r="G322" s="5">
        <v>11694</v>
      </c>
      <c r="H322" s="5">
        <v>12</v>
      </c>
      <c r="I322" s="6">
        <v>46170</v>
      </c>
      <c r="J322" s="6">
        <v>46179</v>
      </c>
      <c r="K322" s="10" t="s">
        <v>29</v>
      </c>
      <c r="L322" s="11" t="str">
        <f t="shared" si="12"/>
        <v>VIKRAM</v>
      </c>
      <c r="M322" s="12" t="str">
        <f t="shared" si="13"/>
        <v>chair</v>
      </c>
      <c r="N322" s="13">
        <f t="shared" si="14"/>
        <v>5</v>
      </c>
    </row>
    <row r="323" spans="1:14" ht="15" thickBot="1" x14ac:dyDescent="0.4">
      <c r="A323" s="5">
        <v>1398</v>
      </c>
      <c r="B323" s="5" t="s">
        <v>58</v>
      </c>
      <c r="C323" s="5" t="s">
        <v>43</v>
      </c>
      <c r="D323" s="5" t="s">
        <v>34</v>
      </c>
      <c r="E323" s="5" t="s">
        <v>39</v>
      </c>
      <c r="F323" s="5">
        <v>12</v>
      </c>
      <c r="G323" s="5">
        <v>10668</v>
      </c>
      <c r="H323" s="5">
        <v>0</v>
      </c>
      <c r="I323" s="6">
        <v>46170</v>
      </c>
      <c r="J323" s="6">
        <v>46176</v>
      </c>
      <c r="K323" s="10" t="s">
        <v>15</v>
      </c>
      <c r="L323" s="11" t="str">
        <f t="shared" ref="L323:L386" si="15">UPPER(B323)</f>
        <v>ROHAN</v>
      </c>
      <c r="M323" s="12" t="str">
        <f t="shared" ref="M323:M386" si="16">LOWER(E323)</f>
        <v>keyboard</v>
      </c>
      <c r="N323" s="13">
        <f t="shared" ref="N323:N386" si="17">LEN(E323)</f>
        <v>8</v>
      </c>
    </row>
    <row r="324" spans="1:14" ht="15" thickBot="1" x14ac:dyDescent="0.4">
      <c r="A324" s="5">
        <v>1220</v>
      </c>
      <c r="B324" s="5" t="s">
        <v>11</v>
      </c>
      <c r="C324" s="5" t="s">
        <v>25</v>
      </c>
      <c r="D324" s="5" t="s">
        <v>18</v>
      </c>
      <c r="E324" s="5" t="s">
        <v>56</v>
      </c>
      <c r="F324" s="5">
        <v>2</v>
      </c>
      <c r="G324" s="5">
        <v>8861</v>
      </c>
      <c r="H324" s="5">
        <v>2</v>
      </c>
      <c r="I324" s="6">
        <v>46170</v>
      </c>
      <c r="J324" s="6">
        <v>46174</v>
      </c>
      <c r="K324" s="10" t="s">
        <v>24</v>
      </c>
      <c r="L324" s="11" t="str">
        <f t="shared" si="15"/>
        <v>RITESH</v>
      </c>
      <c r="M324" s="12" t="str">
        <f t="shared" si="16"/>
        <v>cabinet</v>
      </c>
      <c r="N324" s="13">
        <f t="shared" si="17"/>
        <v>7</v>
      </c>
    </row>
    <row r="325" spans="1:14" ht="15" thickBot="1" x14ac:dyDescent="0.4">
      <c r="A325" s="5">
        <v>1040</v>
      </c>
      <c r="B325" s="5" t="s">
        <v>49</v>
      </c>
      <c r="C325" s="5" t="s">
        <v>38</v>
      </c>
      <c r="D325" s="5" t="s">
        <v>18</v>
      </c>
      <c r="E325" s="5" t="s">
        <v>28</v>
      </c>
      <c r="F325" s="5">
        <v>10</v>
      </c>
      <c r="G325" s="5">
        <v>7531</v>
      </c>
      <c r="H325" s="5">
        <v>2</v>
      </c>
      <c r="I325" s="6">
        <v>46171</v>
      </c>
      <c r="J325" s="6">
        <v>46178</v>
      </c>
      <c r="K325" s="10" t="s">
        <v>24</v>
      </c>
      <c r="L325" s="11" t="str">
        <f t="shared" si="15"/>
        <v>AJAY</v>
      </c>
      <c r="M325" s="12" t="str">
        <f t="shared" si="16"/>
        <v>chair</v>
      </c>
      <c r="N325" s="13">
        <f t="shared" si="17"/>
        <v>5</v>
      </c>
    </row>
    <row r="326" spans="1:14" ht="15" thickBot="1" x14ac:dyDescent="0.4">
      <c r="A326" s="5">
        <v>1087</v>
      </c>
      <c r="B326" s="5" t="s">
        <v>11</v>
      </c>
      <c r="C326" s="5" t="s">
        <v>31</v>
      </c>
      <c r="D326" s="5" t="s">
        <v>13</v>
      </c>
      <c r="E326" s="5" t="s">
        <v>37</v>
      </c>
      <c r="F326" s="5">
        <v>13</v>
      </c>
      <c r="G326" s="5">
        <v>387</v>
      </c>
      <c r="H326" s="5">
        <v>7</v>
      </c>
      <c r="I326" s="6">
        <v>46171</v>
      </c>
      <c r="J326" s="6">
        <v>46176</v>
      </c>
      <c r="K326" s="10" t="s">
        <v>24</v>
      </c>
      <c r="L326" s="11" t="str">
        <f t="shared" si="15"/>
        <v>RITESH</v>
      </c>
      <c r="M326" s="12" t="str">
        <f t="shared" si="16"/>
        <v>pen pack</v>
      </c>
      <c r="N326" s="13">
        <f t="shared" si="17"/>
        <v>8</v>
      </c>
    </row>
    <row r="327" spans="1:14" ht="15" thickBot="1" x14ac:dyDescent="0.4">
      <c r="A327" s="5">
        <v>1005</v>
      </c>
      <c r="B327" s="5" t="s">
        <v>26</v>
      </c>
      <c r="C327" s="5" t="s">
        <v>17</v>
      </c>
      <c r="D327" s="5" t="s">
        <v>13</v>
      </c>
      <c r="E327" s="5" t="s">
        <v>14</v>
      </c>
      <c r="F327" s="5">
        <v>18</v>
      </c>
      <c r="G327" s="5">
        <v>70</v>
      </c>
      <c r="H327" s="5">
        <v>0</v>
      </c>
      <c r="I327" s="6">
        <v>46171</v>
      </c>
      <c r="J327" s="6">
        <v>46179</v>
      </c>
      <c r="K327" s="10" t="s">
        <v>24</v>
      </c>
      <c r="L327" s="11" t="str">
        <f t="shared" si="15"/>
        <v>VIKRAM</v>
      </c>
      <c r="M327" s="12" t="str">
        <f t="shared" si="16"/>
        <v>notebook</v>
      </c>
      <c r="N327" s="13">
        <f t="shared" si="17"/>
        <v>8</v>
      </c>
    </row>
    <row r="328" spans="1:14" ht="15" thickBot="1" x14ac:dyDescent="0.4">
      <c r="A328" s="5">
        <v>1217</v>
      </c>
      <c r="B328" s="5" t="s">
        <v>30</v>
      </c>
      <c r="C328" s="5" t="s">
        <v>22</v>
      </c>
      <c r="D328" s="5" t="s">
        <v>13</v>
      </c>
      <c r="E328" s="5" t="s">
        <v>50</v>
      </c>
      <c r="F328" s="5">
        <v>18</v>
      </c>
      <c r="G328" s="5">
        <v>60</v>
      </c>
      <c r="H328" s="5">
        <v>0</v>
      </c>
      <c r="I328" s="6">
        <v>46171</v>
      </c>
      <c r="J328" s="6">
        <v>46172</v>
      </c>
      <c r="K328" s="10" t="s">
        <v>29</v>
      </c>
      <c r="L328" s="11" t="str">
        <f t="shared" si="15"/>
        <v>NEHA</v>
      </c>
      <c r="M328" s="12" t="str">
        <f t="shared" si="16"/>
        <v>marker</v>
      </c>
      <c r="N328" s="13">
        <f t="shared" si="17"/>
        <v>6</v>
      </c>
    </row>
    <row r="329" spans="1:14" ht="15" thickBot="1" x14ac:dyDescent="0.4">
      <c r="A329" s="5">
        <v>1259</v>
      </c>
      <c r="B329" s="5" t="s">
        <v>42</v>
      </c>
      <c r="C329" s="5" t="s">
        <v>22</v>
      </c>
      <c r="D329" s="5" t="s">
        <v>34</v>
      </c>
      <c r="E329" s="5" t="s">
        <v>45</v>
      </c>
      <c r="F329" s="5">
        <v>10</v>
      </c>
      <c r="G329" s="5">
        <v>38771</v>
      </c>
      <c r="H329" s="5">
        <v>15</v>
      </c>
      <c r="I329" s="6">
        <v>46172</v>
      </c>
      <c r="J329" s="6">
        <v>46182</v>
      </c>
      <c r="K329" s="10" t="s">
        <v>15</v>
      </c>
      <c r="L329" s="11" t="str">
        <f t="shared" si="15"/>
        <v>NISHA</v>
      </c>
      <c r="M329" s="12" t="str">
        <f t="shared" si="16"/>
        <v>monitor</v>
      </c>
      <c r="N329" s="13">
        <f t="shared" si="17"/>
        <v>7</v>
      </c>
    </row>
    <row r="330" spans="1:14" ht="15" thickBot="1" x14ac:dyDescent="0.4">
      <c r="A330" s="5">
        <v>1273</v>
      </c>
      <c r="B330" s="5" t="s">
        <v>46</v>
      </c>
      <c r="C330" s="5" t="s">
        <v>25</v>
      </c>
      <c r="D330" s="5" t="s">
        <v>34</v>
      </c>
      <c r="E330" s="5" t="s">
        <v>39</v>
      </c>
      <c r="F330" s="5">
        <v>12</v>
      </c>
      <c r="G330" s="5">
        <v>20618</v>
      </c>
      <c r="H330" s="5">
        <v>12</v>
      </c>
      <c r="I330" s="6">
        <v>46172</v>
      </c>
      <c r="J330" s="6">
        <v>46174</v>
      </c>
      <c r="K330" s="10" t="s">
        <v>20</v>
      </c>
      <c r="L330" s="11" t="str">
        <f t="shared" si="15"/>
        <v>KIRAN</v>
      </c>
      <c r="M330" s="12" t="str">
        <f t="shared" si="16"/>
        <v>keyboard</v>
      </c>
      <c r="N330" s="13">
        <f t="shared" si="17"/>
        <v>8</v>
      </c>
    </row>
    <row r="331" spans="1:14" ht="15" thickBot="1" x14ac:dyDescent="0.4">
      <c r="A331" s="5">
        <v>1235</v>
      </c>
      <c r="B331" s="5" t="s">
        <v>57</v>
      </c>
      <c r="C331" s="5" t="s">
        <v>25</v>
      </c>
      <c r="D331" s="5" t="s">
        <v>13</v>
      </c>
      <c r="E331" s="5" t="s">
        <v>50</v>
      </c>
      <c r="F331" s="5">
        <v>15</v>
      </c>
      <c r="G331" s="5">
        <v>267</v>
      </c>
      <c r="H331" s="5">
        <v>15</v>
      </c>
      <c r="I331" s="6">
        <v>46172</v>
      </c>
      <c r="J331" s="6">
        <v>46177</v>
      </c>
      <c r="K331" s="10" t="s">
        <v>29</v>
      </c>
      <c r="L331" s="11" t="str">
        <f t="shared" si="15"/>
        <v>SARA</v>
      </c>
      <c r="M331" s="12" t="str">
        <f t="shared" si="16"/>
        <v>marker</v>
      </c>
      <c r="N331" s="13">
        <f t="shared" si="17"/>
        <v>6</v>
      </c>
    </row>
    <row r="332" spans="1:14" ht="15" thickBot="1" x14ac:dyDescent="0.4">
      <c r="A332" s="5">
        <v>1044</v>
      </c>
      <c r="B332" s="5" t="s">
        <v>48</v>
      </c>
      <c r="C332" s="5" t="s">
        <v>38</v>
      </c>
      <c r="D332" s="5" t="s">
        <v>18</v>
      </c>
      <c r="E332" s="5" t="s">
        <v>19</v>
      </c>
      <c r="F332" s="5">
        <v>4</v>
      </c>
      <c r="G332" s="5">
        <v>14731</v>
      </c>
      <c r="H332" s="5">
        <v>2</v>
      </c>
      <c r="I332" s="6">
        <v>46173</v>
      </c>
      <c r="J332" s="6">
        <v>46176</v>
      </c>
      <c r="K332" s="10" t="s">
        <v>20</v>
      </c>
      <c r="L332" s="11" t="str">
        <f t="shared" si="15"/>
        <v>NITIN</v>
      </c>
      <c r="M332" s="12" t="str">
        <f t="shared" si="16"/>
        <v>desk</v>
      </c>
      <c r="N332" s="13">
        <f t="shared" si="17"/>
        <v>4</v>
      </c>
    </row>
    <row r="333" spans="1:14" ht="15" thickBot="1" x14ac:dyDescent="0.4">
      <c r="A333" s="5">
        <v>1247</v>
      </c>
      <c r="B333" s="5" t="s">
        <v>26</v>
      </c>
      <c r="C333" s="5" t="s">
        <v>12</v>
      </c>
      <c r="D333" s="5" t="s">
        <v>13</v>
      </c>
      <c r="E333" s="5" t="s">
        <v>50</v>
      </c>
      <c r="F333" s="5">
        <v>10</v>
      </c>
      <c r="G333" s="5">
        <v>336</v>
      </c>
      <c r="H333" s="5">
        <v>7</v>
      </c>
      <c r="I333" s="6">
        <v>46173</v>
      </c>
      <c r="J333" s="6">
        <v>46175</v>
      </c>
      <c r="K333" s="10" t="s">
        <v>20</v>
      </c>
      <c r="L333" s="11" t="str">
        <f t="shared" si="15"/>
        <v>VIKRAM</v>
      </c>
      <c r="M333" s="12" t="str">
        <f t="shared" si="16"/>
        <v>marker</v>
      </c>
      <c r="N333" s="13">
        <f t="shared" si="17"/>
        <v>6</v>
      </c>
    </row>
    <row r="334" spans="1:14" ht="15" thickBot="1" x14ac:dyDescent="0.4">
      <c r="A334" s="5">
        <v>1311</v>
      </c>
      <c r="B334" s="5" t="s">
        <v>55</v>
      </c>
      <c r="C334" s="5" t="s">
        <v>12</v>
      </c>
      <c r="D334" s="5" t="s">
        <v>13</v>
      </c>
      <c r="E334" s="5" t="s">
        <v>14</v>
      </c>
      <c r="F334" s="5">
        <v>2</v>
      </c>
      <c r="G334" s="5">
        <v>209</v>
      </c>
      <c r="H334" s="5">
        <v>0</v>
      </c>
      <c r="I334" s="6">
        <v>46173</v>
      </c>
      <c r="J334" s="6">
        <v>46176</v>
      </c>
      <c r="K334" s="10" t="s">
        <v>20</v>
      </c>
      <c r="L334" s="11" t="str">
        <f t="shared" si="15"/>
        <v>SNEHA</v>
      </c>
      <c r="M334" s="12" t="str">
        <f t="shared" si="16"/>
        <v>notebook</v>
      </c>
      <c r="N334" s="13">
        <f t="shared" si="17"/>
        <v>8</v>
      </c>
    </row>
    <row r="335" spans="1:14" ht="15" thickBot="1" x14ac:dyDescent="0.4">
      <c r="A335" s="5">
        <v>1343</v>
      </c>
      <c r="B335" s="5" t="s">
        <v>59</v>
      </c>
      <c r="C335" s="5" t="s">
        <v>31</v>
      </c>
      <c r="D335" s="5" t="s">
        <v>34</v>
      </c>
      <c r="E335" s="5" t="s">
        <v>39</v>
      </c>
      <c r="F335" s="5">
        <v>14</v>
      </c>
      <c r="G335" s="5">
        <v>32719</v>
      </c>
      <c r="H335" s="5">
        <v>15</v>
      </c>
      <c r="I335" s="6">
        <v>46174</v>
      </c>
      <c r="J335" s="6">
        <v>46179</v>
      </c>
      <c r="K335" s="10" t="s">
        <v>15</v>
      </c>
      <c r="L335" s="11" t="str">
        <f t="shared" si="15"/>
        <v>ANITA</v>
      </c>
      <c r="M335" s="12" t="str">
        <f t="shared" si="16"/>
        <v>keyboard</v>
      </c>
      <c r="N335" s="13">
        <f t="shared" si="17"/>
        <v>8</v>
      </c>
    </row>
    <row r="336" spans="1:14" ht="15" thickBot="1" x14ac:dyDescent="0.4">
      <c r="A336" s="5">
        <v>1002</v>
      </c>
      <c r="B336" s="5" t="s">
        <v>16</v>
      </c>
      <c r="C336" s="5" t="s">
        <v>17</v>
      </c>
      <c r="D336" s="5" t="s">
        <v>18</v>
      </c>
      <c r="E336" s="5" t="s">
        <v>19</v>
      </c>
      <c r="F336" s="5">
        <v>7</v>
      </c>
      <c r="G336" s="5">
        <v>8448</v>
      </c>
      <c r="H336" s="5">
        <v>12</v>
      </c>
      <c r="I336" s="6">
        <v>46174</v>
      </c>
      <c r="J336" s="6">
        <v>46179</v>
      </c>
      <c r="K336" s="10" t="s">
        <v>20</v>
      </c>
      <c r="L336" s="11" t="str">
        <f t="shared" si="15"/>
        <v>POOJA</v>
      </c>
      <c r="M336" s="12" t="str">
        <f t="shared" si="16"/>
        <v>desk</v>
      </c>
      <c r="N336" s="13">
        <f t="shared" si="17"/>
        <v>4</v>
      </c>
    </row>
    <row r="337" spans="1:14" ht="15" thickBot="1" x14ac:dyDescent="0.4">
      <c r="A337" s="5">
        <v>1262</v>
      </c>
      <c r="B337" s="5" t="s">
        <v>16</v>
      </c>
      <c r="C337" s="5" t="s">
        <v>22</v>
      </c>
      <c r="D337" s="5" t="s">
        <v>18</v>
      </c>
      <c r="E337" s="5" t="s">
        <v>28</v>
      </c>
      <c r="F337" s="5">
        <v>9</v>
      </c>
      <c r="G337" s="5">
        <v>2231</v>
      </c>
      <c r="H337" s="5">
        <v>15</v>
      </c>
      <c r="I337" s="6">
        <v>46174</v>
      </c>
      <c r="J337" s="6">
        <v>46183</v>
      </c>
      <c r="K337" s="10" t="s">
        <v>15</v>
      </c>
      <c r="L337" s="11" t="str">
        <f t="shared" si="15"/>
        <v>POOJA</v>
      </c>
      <c r="M337" s="12" t="str">
        <f t="shared" si="16"/>
        <v>chair</v>
      </c>
      <c r="N337" s="13">
        <f t="shared" si="17"/>
        <v>5</v>
      </c>
    </row>
    <row r="338" spans="1:14" ht="15" thickBot="1" x14ac:dyDescent="0.4">
      <c r="A338" s="5">
        <v>1015</v>
      </c>
      <c r="B338" s="5" t="s">
        <v>42</v>
      </c>
      <c r="C338" s="5" t="s">
        <v>43</v>
      </c>
      <c r="D338" s="5" t="s">
        <v>18</v>
      </c>
      <c r="E338" s="5" t="s">
        <v>44</v>
      </c>
      <c r="F338" s="5">
        <v>11</v>
      </c>
      <c r="G338" s="5">
        <v>14511</v>
      </c>
      <c r="H338" s="5">
        <v>2</v>
      </c>
      <c r="I338" s="6">
        <v>46175</v>
      </c>
      <c r="J338" s="6">
        <v>46185</v>
      </c>
      <c r="K338" s="10" t="s">
        <v>20</v>
      </c>
      <c r="L338" s="11" t="str">
        <f t="shared" si="15"/>
        <v>NISHA</v>
      </c>
      <c r="M338" s="12" t="str">
        <f t="shared" si="16"/>
        <v>bookshelf</v>
      </c>
      <c r="N338" s="13">
        <f t="shared" si="17"/>
        <v>9</v>
      </c>
    </row>
    <row r="339" spans="1:14" ht="15" thickBot="1" x14ac:dyDescent="0.4">
      <c r="A339" s="5">
        <v>1093</v>
      </c>
      <c r="B339" s="5" t="s">
        <v>47</v>
      </c>
      <c r="C339" s="5" t="s">
        <v>25</v>
      </c>
      <c r="D339" s="5" t="s">
        <v>18</v>
      </c>
      <c r="E339" s="5" t="s">
        <v>23</v>
      </c>
      <c r="F339" s="5">
        <v>6</v>
      </c>
      <c r="G339" s="5">
        <v>8224</v>
      </c>
      <c r="H339" s="5">
        <v>15</v>
      </c>
      <c r="I339" s="6">
        <v>46175</v>
      </c>
      <c r="J339" s="6">
        <v>46185</v>
      </c>
      <c r="K339" s="10" t="s">
        <v>51</v>
      </c>
      <c r="L339" s="11" t="str">
        <f t="shared" si="15"/>
        <v>YASH</v>
      </c>
      <c r="M339" s="12" t="str">
        <f t="shared" si="16"/>
        <v>table</v>
      </c>
      <c r="N339" s="13">
        <f t="shared" si="17"/>
        <v>5</v>
      </c>
    </row>
    <row r="340" spans="1:14" ht="15" thickBot="1" x14ac:dyDescent="0.4">
      <c r="A340" s="5">
        <v>1025</v>
      </c>
      <c r="B340" s="5" t="s">
        <v>21</v>
      </c>
      <c r="C340" s="5" t="s">
        <v>12</v>
      </c>
      <c r="D340" s="5" t="s">
        <v>18</v>
      </c>
      <c r="E340" s="5" t="s">
        <v>19</v>
      </c>
      <c r="F340" s="5">
        <v>18</v>
      </c>
      <c r="G340" s="5">
        <v>7924</v>
      </c>
      <c r="H340" s="5">
        <v>0</v>
      </c>
      <c r="I340" s="6">
        <v>46175</v>
      </c>
      <c r="J340" s="6">
        <v>46181</v>
      </c>
      <c r="K340" s="10" t="s">
        <v>15</v>
      </c>
      <c r="L340" s="11" t="str">
        <f t="shared" si="15"/>
        <v>MEERA</v>
      </c>
      <c r="M340" s="12" t="str">
        <f t="shared" si="16"/>
        <v>desk</v>
      </c>
      <c r="N340" s="13">
        <f t="shared" si="17"/>
        <v>4</v>
      </c>
    </row>
    <row r="341" spans="1:14" ht="15" thickBot="1" x14ac:dyDescent="0.4">
      <c r="A341" s="5">
        <v>1211</v>
      </c>
      <c r="B341" s="5" t="s">
        <v>48</v>
      </c>
      <c r="C341" s="5" t="s">
        <v>17</v>
      </c>
      <c r="D341" s="5" t="s">
        <v>34</v>
      </c>
      <c r="E341" s="5" t="s">
        <v>35</v>
      </c>
      <c r="F341" s="5">
        <v>3</v>
      </c>
      <c r="G341" s="5">
        <v>5962</v>
      </c>
      <c r="H341" s="5">
        <v>7</v>
      </c>
      <c r="I341" s="6">
        <v>46175</v>
      </c>
      <c r="J341" s="6">
        <v>46183</v>
      </c>
      <c r="K341" s="10" t="s">
        <v>15</v>
      </c>
      <c r="L341" s="11" t="str">
        <f t="shared" si="15"/>
        <v>NITIN</v>
      </c>
      <c r="M341" s="12" t="str">
        <f t="shared" si="16"/>
        <v>printer</v>
      </c>
      <c r="N341" s="13">
        <f t="shared" si="17"/>
        <v>7</v>
      </c>
    </row>
    <row r="342" spans="1:14" ht="15" thickBot="1" x14ac:dyDescent="0.4">
      <c r="A342" s="5">
        <v>1245</v>
      </c>
      <c r="B342" s="5" t="s">
        <v>55</v>
      </c>
      <c r="C342" s="5" t="s">
        <v>43</v>
      </c>
      <c r="D342" s="5" t="s">
        <v>34</v>
      </c>
      <c r="E342" s="5" t="s">
        <v>41</v>
      </c>
      <c r="F342" s="5">
        <v>19</v>
      </c>
      <c r="G342" s="5">
        <v>69029</v>
      </c>
      <c r="H342" s="5">
        <v>7</v>
      </c>
      <c r="I342" s="6">
        <v>46176</v>
      </c>
      <c r="J342" s="6">
        <v>46179</v>
      </c>
      <c r="K342" s="10" t="s">
        <v>29</v>
      </c>
      <c r="L342" s="11" t="str">
        <f t="shared" si="15"/>
        <v>SNEHA</v>
      </c>
      <c r="M342" s="12" t="str">
        <f t="shared" si="16"/>
        <v>headset</v>
      </c>
      <c r="N342" s="13">
        <f t="shared" si="17"/>
        <v>7</v>
      </c>
    </row>
    <row r="343" spans="1:14" ht="15" thickBot="1" x14ac:dyDescent="0.4">
      <c r="A343" s="5">
        <v>1282</v>
      </c>
      <c r="B343" s="5" t="s">
        <v>57</v>
      </c>
      <c r="C343" s="5" t="s">
        <v>43</v>
      </c>
      <c r="D343" s="5" t="s">
        <v>18</v>
      </c>
      <c r="E343" s="5" t="s">
        <v>44</v>
      </c>
      <c r="F343" s="5">
        <v>12</v>
      </c>
      <c r="G343" s="5">
        <v>3178</v>
      </c>
      <c r="H343" s="5">
        <v>10</v>
      </c>
      <c r="I343" s="6">
        <v>46176</v>
      </c>
      <c r="J343" s="6">
        <v>46177</v>
      </c>
      <c r="K343" s="10" t="s">
        <v>29</v>
      </c>
      <c r="L343" s="11" t="str">
        <f t="shared" si="15"/>
        <v>SARA</v>
      </c>
      <c r="M343" s="12" t="str">
        <f t="shared" si="16"/>
        <v>bookshelf</v>
      </c>
      <c r="N343" s="13">
        <f t="shared" si="17"/>
        <v>9</v>
      </c>
    </row>
    <row r="344" spans="1:14" ht="15" thickBot="1" x14ac:dyDescent="0.4">
      <c r="A344" s="5">
        <v>1338</v>
      </c>
      <c r="B344" s="5" t="s">
        <v>59</v>
      </c>
      <c r="C344" s="5" t="s">
        <v>25</v>
      </c>
      <c r="D344" s="5" t="s">
        <v>34</v>
      </c>
      <c r="E344" s="5" t="s">
        <v>60</v>
      </c>
      <c r="F344" s="5">
        <v>10</v>
      </c>
      <c r="G344" s="5">
        <v>16719</v>
      </c>
      <c r="H344" s="5">
        <v>5</v>
      </c>
      <c r="I344" s="6">
        <v>46177</v>
      </c>
      <c r="J344" s="6">
        <v>46179</v>
      </c>
      <c r="K344" s="10" t="s">
        <v>15</v>
      </c>
      <c r="L344" s="11" t="str">
        <f t="shared" si="15"/>
        <v>ANITA</v>
      </c>
      <c r="M344" s="12" t="str">
        <f t="shared" si="16"/>
        <v>laptop</v>
      </c>
      <c r="N344" s="13">
        <f t="shared" si="17"/>
        <v>6</v>
      </c>
    </row>
    <row r="345" spans="1:14" ht="15" thickBot="1" x14ac:dyDescent="0.4">
      <c r="A345" s="5">
        <v>1187</v>
      </c>
      <c r="B345" s="5" t="s">
        <v>54</v>
      </c>
      <c r="C345" s="5" t="s">
        <v>22</v>
      </c>
      <c r="D345" s="5" t="s">
        <v>34</v>
      </c>
      <c r="E345" s="5" t="s">
        <v>45</v>
      </c>
      <c r="F345" s="5">
        <v>18</v>
      </c>
      <c r="G345" s="5">
        <v>68527</v>
      </c>
      <c r="H345" s="5">
        <v>12</v>
      </c>
      <c r="I345" s="6">
        <v>46178</v>
      </c>
      <c r="J345" s="6">
        <v>46184</v>
      </c>
      <c r="K345" s="10" t="s">
        <v>51</v>
      </c>
      <c r="L345" s="11" t="str">
        <f t="shared" si="15"/>
        <v>MANOJ</v>
      </c>
      <c r="M345" s="12" t="str">
        <f t="shared" si="16"/>
        <v>monitor</v>
      </c>
      <c r="N345" s="13">
        <f t="shared" si="17"/>
        <v>7</v>
      </c>
    </row>
    <row r="346" spans="1:14" ht="15" thickBot="1" x14ac:dyDescent="0.4">
      <c r="A346" s="5">
        <v>1297</v>
      </c>
      <c r="B346" s="5" t="s">
        <v>54</v>
      </c>
      <c r="C346" s="5" t="s">
        <v>25</v>
      </c>
      <c r="D346" s="5" t="s">
        <v>34</v>
      </c>
      <c r="E346" s="5" t="s">
        <v>35</v>
      </c>
      <c r="F346" s="5">
        <v>14</v>
      </c>
      <c r="G346" s="5">
        <v>24524</v>
      </c>
      <c r="H346" s="5">
        <v>10</v>
      </c>
      <c r="I346" s="6">
        <v>46178</v>
      </c>
      <c r="J346" s="6">
        <v>46187</v>
      </c>
      <c r="K346" s="10" t="s">
        <v>29</v>
      </c>
      <c r="L346" s="11" t="str">
        <f t="shared" si="15"/>
        <v>MANOJ</v>
      </c>
      <c r="M346" s="12" t="str">
        <f t="shared" si="16"/>
        <v>printer</v>
      </c>
      <c r="N346" s="13">
        <f t="shared" si="17"/>
        <v>7</v>
      </c>
    </row>
    <row r="347" spans="1:14" ht="15" thickBot="1" x14ac:dyDescent="0.4">
      <c r="A347" s="5">
        <v>1231</v>
      </c>
      <c r="B347" s="5" t="s">
        <v>48</v>
      </c>
      <c r="C347" s="5" t="s">
        <v>38</v>
      </c>
      <c r="D347" s="5" t="s">
        <v>18</v>
      </c>
      <c r="E347" s="5" t="s">
        <v>19</v>
      </c>
      <c r="F347" s="5">
        <v>13</v>
      </c>
      <c r="G347" s="5">
        <v>10297</v>
      </c>
      <c r="H347" s="5">
        <v>12</v>
      </c>
      <c r="I347" s="6">
        <v>46178</v>
      </c>
      <c r="J347" s="6">
        <v>46186</v>
      </c>
      <c r="K347" s="10" t="s">
        <v>20</v>
      </c>
      <c r="L347" s="11" t="str">
        <f t="shared" si="15"/>
        <v>NITIN</v>
      </c>
      <c r="M347" s="12" t="str">
        <f t="shared" si="16"/>
        <v>desk</v>
      </c>
      <c r="N347" s="13">
        <f t="shared" si="17"/>
        <v>4</v>
      </c>
    </row>
    <row r="348" spans="1:14" ht="15" thickBot="1" x14ac:dyDescent="0.4">
      <c r="A348" s="5">
        <v>1118</v>
      </c>
      <c r="B348" s="5" t="s">
        <v>21</v>
      </c>
      <c r="C348" s="5" t="s">
        <v>22</v>
      </c>
      <c r="D348" s="5" t="s">
        <v>18</v>
      </c>
      <c r="E348" s="5" t="s">
        <v>23</v>
      </c>
      <c r="F348" s="5">
        <v>18</v>
      </c>
      <c r="G348" s="5">
        <v>9118</v>
      </c>
      <c r="H348" s="5">
        <v>5</v>
      </c>
      <c r="I348" s="6">
        <v>46178</v>
      </c>
      <c r="J348" s="6">
        <v>46187</v>
      </c>
      <c r="K348" s="10" t="s">
        <v>29</v>
      </c>
      <c r="L348" s="11" t="str">
        <f t="shared" si="15"/>
        <v>MEERA</v>
      </c>
      <c r="M348" s="12" t="str">
        <f t="shared" si="16"/>
        <v>table</v>
      </c>
      <c r="N348" s="13">
        <f t="shared" si="17"/>
        <v>5</v>
      </c>
    </row>
    <row r="349" spans="1:14" ht="15" thickBot="1" x14ac:dyDescent="0.4">
      <c r="A349" s="5">
        <v>1154</v>
      </c>
      <c r="B349" s="5" t="s">
        <v>32</v>
      </c>
      <c r="C349" s="5" t="s">
        <v>17</v>
      </c>
      <c r="D349" s="5" t="s">
        <v>18</v>
      </c>
      <c r="E349" s="5" t="s">
        <v>56</v>
      </c>
      <c r="F349" s="5">
        <v>15</v>
      </c>
      <c r="G349" s="5">
        <v>6101</v>
      </c>
      <c r="H349" s="5">
        <v>0</v>
      </c>
      <c r="I349" s="6">
        <v>46178</v>
      </c>
      <c r="J349" s="6">
        <v>46183</v>
      </c>
      <c r="K349" s="10" t="s">
        <v>51</v>
      </c>
      <c r="L349" s="11" t="str">
        <f t="shared" si="15"/>
        <v>ASHA</v>
      </c>
      <c r="M349" s="12" t="str">
        <f t="shared" si="16"/>
        <v>cabinet</v>
      </c>
      <c r="N349" s="13">
        <f t="shared" si="17"/>
        <v>7</v>
      </c>
    </row>
    <row r="350" spans="1:14" ht="15" thickBot="1" x14ac:dyDescent="0.4">
      <c r="A350" s="5">
        <v>1199</v>
      </c>
      <c r="B350" s="5" t="s">
        <v>11</v>
      </c>
      <c r="C350" s="5" t="s">
        <v>25</v>
      </c>
      <c r="D350" s="5" t="s">
        <v>34</v>
      </c>
      <c r="E350" s="5" t="s">
        <v>45</v>
      </c>
      <c r="F350" s="5">
        <v>2</v>
      </c>
      <c r="G350" s="5">
        <v>4375</v>
      </c>
      <c r="H350" s="5">
        <v>7</v>
      </c>
      <c r="I350" s="6">
        <v>46178</v>
      </c>
      <c r="J350" s="6">
        <v>46180</v>
      </c>
      <c r="K350" s="10" t="s">
        <v>24</v>
      </c>
      <c r="L350" s="11" t="str">
        <f t="shared" si="15"/>
        <v>RITESH</v>
      </c>
      <c r="M350" s="12" t="str">
        <f t="shared" si="16"/>
        <v>monitor</v>
      </c>
      <c r="N350" s="13">
        <f t="shared" si="17"/>
        <v>7</v>
      </c>
    </row>
    <row r="351" spans="1:14" ht="15" thickBot="1" x14ac:dyDescent="0.4">
      <c r="A351" s="5">
        <v>1376</v>
      </c>
      <c r="B351" s="5" t="s">
        <v>52</v>
      </c>
      <c r="C351" s="5" t="s">
        <v>31</v>
      </c>
      <c r="D351" s="5" t="s">
        <v>13</v>
      </c>
      <c r="E351" s="5" t="s">
        <v>50</v>
      </c>
      <c r="F351" s="5">
        <v>20</v>
      </c>
      <c r="G351" s="5">
        <v>429</v>
      </c>
      <c r="H351" s="5">
        <v>5</v>
      </c>
      <c r="I351" s="6">
        <v>46178</v>
      </c>
      <c r="J351" s="6">
        <v>46184</v>
      </c>
      <c r="K351" s="10" t="s">
        <v>20</v>
      </c>
      <c r="L351" s="11" t="str">
        <f t="shared" si="15"/>
        <v>KOMAL</v>
      </c>
      <c r="M351" s="12" t="str">
        <f t="shared" si="16"/>
        <v>marker</v>
      </c>
      <c r="N351" s="13">
        <f t="shared" si="17"/>
        <v>6</v>
      </c>
    </row>
    <row r="352" spans="1:14" ht="15" thickBot="1" x14ac:dyDescent="0.4">
      <c r="A352" s="5">
        <v>1274</v>
      </c>
      <c r="B352" s="5" t="s">
        <v>26</v>
      </c>
      <c r="C352" s="5" t="s">
        <v>25</v>
      </c>
      <c r="D352" s="5" t="s">
        <v>34</v>
      </c>
      <c r="E352" s="5" t="s">
        <v>41</v>
      </c>
      <c r="F352" s="5">
        <v>13</v>
      </c>
      <c r="G352" s="5">
        <v>36652</v>
      </c>
      <c r="H352" s="5">
        <v>12</v>
      </c>
      <c r="I352" s="6">
        <v>46179</v>
      </c>
      <c r="J352" s="6">
        <v>46186</v>
      </c>
      <c r="K352" s="10" t="s">
        <v>20</v>
      </c>
      <c r="L352" s="11" t="str">
        <f t="shared" si="15"/>
        <v>VIKRAM</v>
      </c>
      <c r="M352" s="12" t="str">
        <f t="shared" si="16"/>
        <v>headset</v>
      </c>
      <c r="N352" s="13">
        <f t="shared" si="17"/>
        <v>7</v>
      </c>
    </row>
    <row r="353" spans="1:14" ht="15" thickBot="1" x14ac:dyDescent="0.4">
      <c r="A353" s="5">
        <v>1288</v>
      </c>
      <c r="B353" s="5" t="s">
        <v>54</v>
      </c>
      <c r="C353" s="5" t="s">
        <v>22</v>
      </c>
      <c r="D353" s="5" t="s">
        <v>34</v>
      </c>
      <c r="E353" s="5" t="s">
        <v>60</v>
      </c>
      <c r="F353" s="5">
        <v>14</v>
      </c>
      <c r="G353" s="5">
        <v>35601</v>
      </c>
      <c r="H353" s="5">
        <v>10</v>
      </c>
      <c r="I353" s="6">
        <v>46179</v>
      </c>
      <c r="J353" s="6">
        <v>46187</v>
      </c>
      <c r="K353" s="10" t="s">
        <v>29</v>
      </c>
      <c r="L353" s="11" t="str">
        <f t="shared" si="15"/>
        <v>MANOJ</v>
      </c>
      <c r="M353" s="12" t="str">
        <f t="shared" si="16"/>
        <v>laptop</v>
      </c>
      <c r="N353" s="13">
        <f t="shared" si="17"/>
        <v>6</v>
      </c>
    </row>
    <row r="354" spans="1:14" ht="15" thickBot="1" x14ac:dyDescent="0.4">
      <c r="A354" s="5">
        <v>1278</v>
      </c>
      <c r="B354" s="5" t="s">
        <v>47</v>
      </c>
      <c r="C354" s="5" t="s">
        <v>22</v>
      </c>
      <c r="D354" s="5" t="s">
        <v>34</v>
      </c>
      <c r="E354" s="5" t="s">
        <v>61</v>
      </c>
      <c r="F354" s="5">
        <v>4</v>
      </c>
      <c r="G354" s="5">
        <v>20639</v>
      </c>
      <c r="H354" s="5">
        <v>7</v>
      </c>
      <c r="I354" s="6">
        <v>46180</v>
      </c>
      <c r="J354" s="6">
        <v>46186</v>
      </c>
      <c r="K354" s="10" t="s">
        <v>20</v>
      </c>
      <c r="L354" s="11" t="str">
        <f t="shared" si="15"/>
        <v>YASH</v>
      </c>
      <c r="M354" s="12" t="str">
        <f t="shared" si="16"/>
        <v>mouse</v>
      </c>
      <c r="N354" s="13">
        <f t="shared" si="17"/>
        <v>5</v>
      </c>
    </row>
    <row r="355" spans="1:14" ht="15" thickBot="1" x14ac:dyDescent="0.4">
      <c r="A355" s="5">
        <v>1048</v>
      </c>
      <c r="B355" s="5" t="s">
        <v>59</v>
      </c>
      <c r="C355" s="5" t="s">
        <v>25</v>
      </c>
      <c r="D355" s="5" t="s">
        <v>34</v>
      </c>
      <c r="E355" s="5" t="s">
        <v>60</v>
      </c>
      <c r="F355" s="5">
        <v>14</v>
      </c>
      <c r="G355" s="5">
        <v>11762</v>
      </c>
      <c r="H355" s="5">
        <v>7</v>
      </c>
      <c r="I355" s="6">
        <v>46180</v>
      </c>
      <c r="J355" s="6">
        <v>46186</v>
      </c>
      <c r="K355" s="10" t="s">
        <v>24</v>
      </c>
      <c r="L355" s="11" t="str">
        <f t="shared" si="15"/>
        <v>ANITA</v>
      </c>
      <c r="M355" s="12" t="str">
        <f t="shared" si="16"/>
        <v>laptop</v>
      </c>
      <c r="N355" s="13">
        <f t="shared" si="17"/>
        <v>6</v>
      </c>
    </row>
    <row r="356" spans="1:14" ht="15" thickBot="1" x14ac:dyDescent="0.4">
      <c r="A356" s="5">
        <v>1294</v>
      </c>
      <c r="B356" s="5" t="s">
        <v>21</v>
      </c>
      <c r="C356" s="5" t="s">
        <v>12</v>
      </c>
      <c r="D356" s="5" t="s">
        <v>18</v>
      </c>
      <c r="E356" s="5" t="s">
        <v>19</v>
      </c>
      <c r="F356" s="5">
        <v>8</v>
      </c>
      <c r="G356" s="5">
        <v>14448</v>
      </c>
      <c r="H356" s="5">
        <v>10</v>
      </c>
      <c r="I356" s="6">
        <v>46181</v>
      </c>
      <c r="J356" s="6">
        <v>46189</v>
      </c>
      <c r="K356" s="10" t="s">
        <v>15</v>
      </c>
      <c r="L356" s="11" t="str">
        <f t="shared" si="15"/>
        <v>MEERA</v>
      </c>
      <c r="M356" s="12" t="str">
        <f t="shared" si="16"/>
        <v>desk</v>
      </c>
      <c r="N356" s="13">
        <f t="shared" si="17"/>
        <v>4</v>
      </c>
    </row>
    <row r="357" spans="1:14" ht="15" thickBot="1" x14ac:dyDescent="0.4">
      <c r="A357" s="5">
        <v>1310</v>
      </c>
      <c r="B357" s="5" t="s">
        <v>49</v>
      </c>
      <c r="C357" s="5" t="s">
        <v>17</v>
      </c>
      <c r="D357" s="5" t="s">
        <v>18</v>
      </c>
      <c r="E357" s="5" t="s">
        <v>56</v>
      </c>
      <c r="F357" s="5">
        <v>19</v>
      </c>
      <c r="G357" s="5">
        <v>12691</v>
      </c>
      <c r="H357" s="5">
        <v>0</v>
      </c>
      <c r="I357" s="6">
        <v>46181</v>
      </c>
      <c r="J357" s="6">
        <v>46189</v>
      </c>
      <c r="K357" s="10" t="s">
        <v>29</v>
      </c>
      <c r="L357" s="11" t="str">
        <f t="shared" si="15"/>
        <v>AJAY</v>
      </c>
      <c r="M357" s="12" t="str">
        <f t="shared" si="16"/>
        <v>cabinet</v>
      </c>
      <c r="N357" s="13">
        <f t="shared" si="17"/>
        <v>7</v>
      </c>
    </row>
    <row r="358" spans="1:14" ht="15" thickBot="1" x14ac:dyDescent="0.4">
      <c r="A358" s="5">
        <v>1124</v>
      </c>
      <c r="B358" s="5" t="s">
        <v>27</v>
      </c>
      <c r="C358" s="5" t="s">
        <v>38</v>
      </c>
      <c r="D358" s="5" t="s">
        <v>18</v>
      </c>
      <c r="E358" s="5" t="s">
        <v>56</v>
      </c>
      <c r="F358" s="5">
        <v>4</v>
      </c>
      <c r="G358" s="5">
        <v>14195</v>
      </c>
      <c r="H358" s="5">
        <v>15</v>
      </c>
      <c r="I358" s="6">
        <v>46182</v>
      </c>
      <c r="J358" s="6">
        <v>46189</v>
      </c>
      <c r="K358" s="10" t="s">
        <v>51</v>
      </c>
      <c r="L358" s="11" t="str">
        <f t="shared" si="15"/>
        <v>ARJUN</v>
      </c>
      <c r="M358" s="12" t="str">
        <f t="shared" si="16"/>
        <v>cabinet</v>
      </c>
      <c r="N358" s="13">
        <f t="shared" si="17"/>
        <v>7</v>
      </c>
    </row>
    <row r="359" spans="1:14" ht="15" thickBot="1" x14ac:dyDescent="0.4">
      <c r="A359" s="5">
        <v>1009</v>
      </c>
      <c r="B359" s="5" t="s">
        <v>32</v>
      </c>
      <c r="C359" s="5" t="s">
        <v>33</v>
      </c>
      <c r="D359" s="5" t="s">
        <v>34</v>
      </c>
      <c r="E359" s="5" t="s">
        <v>35</v>
      </c>
      <c r="F359" s="5">
        <v>10</v>
      </c>
      <c r="G359" s="5">
        <v>40671</v>
      </c>
      <c r="H359" s="5">
        <v>12</v>
      </c>
      <c r="I359" s="6">
        <v>46183</v>
      </c>
      <c r="J359" s="6">
        <v>46193</v>
      </c>
      <c r="K359" s="10" t="s">
        <v>24</v>
      </c>
      <c r="L359" s="11" t="str">
        <f t="shared" si="15"/>
        <v>ASHA</v>
      </c>
      <c r="M359" s="12" t="str">
        <f t="shared" si="16"/>
        <v>printer</v>
      </c>
      <c r="N359" s="13">
        <f t="shared" si="17"/>
        <v>7</v>
      </c>
    </row>
    <row r="360" spans="1:14" ht="15" thickBot="1" x14ac:dyDescent="0.4">
      <c r="A360" s="5">
        <v>1003</v>
      </c>
      <c r="B360" s="5" t="s">
        <v>21</v>
      </c>
      <c r="C360" s="5" t="s">
        <v>22</v>
      </c>
      <c r="D360" s="5" t="s">
        <v>18</v>
      </c>
      <c r="E360" s="5" t="s">
        <v>23</v>
      </c>
      <c r="F360" s="5">
        <v>20</v>
      </c>
      <c r="G360" s="5">
        <v>2123</v>
      </c>
      <c r="H360" s="5">
        <v>15</v>
      </c>
      <c r="I360" s="6">
        <v>46183</v>
      </c>
      <c r="J360" s="6">
        <v>46192</v>
      </c>
      <c r="K360" s="10" t="s">
        <v>24</v>
      </c>
      <c r="L360" s="11" t="str">
        <f t="shared" si="15"/>
        <v>MEERA</v>
      </c>
      <c r="M360" s="12" t="str">
        <f t="shared" si="16"/>
        <v>table</v>
      </c>
      <c r="N360" s="13">
        <f t="shared" si="17"/>
        <v>5</v>
      </c>
    </row>
    <row r="361" spans="1:14" ht="15" thickBot="1" x14ac:dyDescent="0.4">
      <c r="A361" s="5">
        <v>1320</v>
      </c>
      <c r="B361" s="5" t="s">
        <v>47</v>
      </c>
      <c r="C361" s="5" t="s">
        <v>38</v>
      </c>
      <c r="D361" s="5" t="s">
        <v>13</v>
      </c>
      <c r="E361" s="5" t="s">
        <v>36</v>
      </c>
      <c r="F361" s="5">
        <v>20</v>
      </c>
      <c r="G361" s="5">
        <v>55</v>
      </c>
      <c r="H361" s="5">
        <v>7</v>
      </c>
      <c r="I361" s="6">
        <v>46183</v>
      </c>
      <c r="J361" s="6">
        <v>46186</v>
      </c>
      <c r="K361" s="10" t="s">
        <v>20</v>
      </c>
      <c r="L361" s="11" t="str">
        <f t="shared" si="15"/>
        <v>YASH</v>
      </c>
      <c r="M361" s="12" t="str">
        <f t="shared" si="16"/>
        <v>stapler</v>
      </c>
      <c r="N361" s="13">
        <f t="shared" si="17"/>
        <v>7</v>
      </c>
    </row>
    <row r="362" spans="1:14" ht="15" thickBot="1" x14ac:dyDescent="0.4">
      <c r="A362" s="5">
        <v>1159</v>
      </c>
      <c r="B362" s="5" t="s">
        <v>32</v>
      </c>
      <c r="C362" s="5" t="s">
        <v>43</v>
      </c>
      <c r="D362" s="5" t="s">
        <v>18</v>
      </c>
      <c r="E362" s="5" t="s">
        <v>28</v>
      </c>
      <c r="F362" s="5">
        <v>20</v>
      </c>
      <c r="G362" s="5">
        <v>14000</v>
      </c>
      <c r="H362" s="5">
        <v>15</v>
      </c>
      <c r="I362" s="6">
        <v>46184</v>
      </c>
      <c r="J362" s="6">
        <v>46187</v>
      </c>
      <c r="K362" s="10" t="s">
        <v>15</v>
      </c>
      <c r="L362" s="11" t="str">
        <f t="shared" si="15"/>
        <v>ASHA</v>
      </c>
      <c r="M362" s="12" t="str">
        <f t="shared" si="16"/>
        <v>chair</v>
      </c>
      <c r="N362" s="13">
        <f t="shared" si="17"/>
        <v>5</v>
      </c>
    </row>
    <row r="363" spans="1:14" ht="15" thickBot="1" x14ac:dyDescent="0.4">
      <c r="A363" s="5">
        <v>1189</v>
      </c>
      <c r="B363" s="5" t="s">
        <v>49</v>
      </c>
      <c r="C363" s="5" t="s">
        <v>31</v>
      </c>
      <c r="D363" s="5" t="s">
        <v>18</v>
      </c>
      <c r="E363" s="5" t="s">
        <v>56</v>
      </c>
      <c r="F363" s="5">
        <v>12</v>
      </c>
      <c r="G363" s="5">
        <v>8327</v>
      </c>
      <c r="H363" s="5">
        <v>10</v>
      </c>
      <c r="I363" s="6">
        <v>46184</v>
      </c>
      <c r="J363" s="6">
        <v>46185</v>
      </c>
      <c r="K363" s="10" t="s">
        <v>29</v>
      </c>
      <c r="L363" s="11" t="str">
        <f t="shared" si="15"/>
        <v>AJAY</v>
      </c>
      <c r="M363" s="12" t="str">
        <f t="shared" si="16"/>
        <v>cabinet</v>
      </c>
      <c r="N363" s="13">
        <f t="shared" si="17"/>
        <v>7</v>
      </c>
    </row>
    <row r="364" spans="1:14" ht="15" thickBot="1" x14ac:dyDescent="0.4">
      <c r="A364" s="5">
        <v>1119</v>
      </c>
      <c r="B364" s="5" t="s">
        <v>30</v>
      </c>
      <c r="C364" s="5" t="s">
        <v>43</v>
      </c>
      <c r="D364" s="5" t="s">
        <v>18</v>
      </c>
      <c r="E364" s="5" t="s">
        <v>28</v>
      </c>
      <c r="F364" s="5">
        <v>2</v>
      </c>
      <c r="G364" s="5">
        <v>3706</v>
      </c>
      <c r="H364" s="5">
        <v>5</v>
      </c>
      <c r="I364" s="6">
        <v>46184</v>
      </c>
      <c r="J364" s="6">
        <v>46192</v>
      </c>
      <c r="K364" s="10" t="s">
        <v>51</v>
      </c>
      <c r="L364" s="11" t="str">
        <f t="shared" si="15"/>
        <v>NEHA</v>
      </c>
      <c r="M364" s="12" t="str">
        <f t="shared" si="16"/>
        <v>chair</v>
      </c>
      <c r="N364" s="13">
        <f t="shared" si="17"/>
        <v>5</v>
      </c>
    </row>
    <row r="365" spans="1:14" ht="15" thickBot="1" x14ac:dyDescent="0.4">
      <c r="A365" s="5">
        <v>1370</v>
      </c>
      <c r="B365" s="5" t="s">
        <v>59</v>
      </c>
      <c r="C365" s="5" t="s">
        <v>38</v>
      </c>
      <c r="D365" s="5" t="s">
        <v>13</v>
      </c>
      <c r="E365" s="5" t="s">
        <v>53</v>
      </c>
      <c r="F365" s="5">
        <v>13</v>
      </c>
      <c r="G365" s="5">
        <v>337</v>
      </c>
      <c r="H365" s="5">
        <v>7</v>
      </c>
      <c r="I365" s="6">
        <v>46184</v>
      </c>
      <c r="J365" s="6">
        <v>46188</v>
      </c>
      <c r="K365" s="10" t="s">
        <v>15</v>
      </c>
      <c r="L365" s="11" t="str">
        <f t="shared" si="15"/>
        <v>ANITA</v>
      </c>
      <c r="M365" s="12" t="str">
        <f t="shared" si="16"/>
        <v>diary</v>
      </c>
      <c r="N365" s="13">
        <f t="shared" si="17"/>
        <v>5</v>
      </c>
    </row>
    <row r="366" spans="1:14" ht="15" thickBot="1" x14ac:dyDescent="0.4">
      <c r="A366" s="5">
        <v>1137</v>
      </c>
      <c r="B366" s="5" t="s">
        <v>52</v>
      </c>
      <c r="C366" s="5" t="s">
        <v>12</v>
      </c>
      <c r="D366" s="5" t="s">
        <v>13</v>
      </c>
      <c r="E366" s="5" t="s">
        <v>37</v>
      </c>
      <c r="F366" s="5">
        <v>16</v>
      </c>
      <c r="G366" s="5">
        <v>270</v>
      </c>
      <c r="H366" s="5">
        <v>10</v>
      </c>
      <c r="I366" s="6">
        <v>46184</v>
      </c>
      <c r="J366" s="6">
        <v>46190</v>
      </c>
      <c r="K366" s="10" t="s">
        <v>29</v>
      </c>
      <c r="L366" s="11" t="str">
        <f t="shared" si="15"/>
        <v>KOMAL</v>
      </c>
      <c r="M366" s="12" t="str">
        <f t="shared" si="16"/>
        <v>pen pack</v>
      </c>
      <c r="N366" s="13">
        <f t="shared" si="17"/>
        <v>8</v>
      </c>
    </row>
    <row r="367" spans="1:14" ht="15" thickBot="1" x14ac:dyDescent="0.4">
      <c r="A367" s="5">
        <v>1075</v>
      </c>
      <c r="B367" s="5" t="s">
        <v>42</v>
      </c>
      <c r="C367" s="5" t="s">
        <v>43</v>
      </c>
      <c r="D367" s="5" t="s">
        <v>34</v>
      </c>
      <c r="E367" s="5" t="s">
        <v>61</v>
      </c>
      <c r="F367" s="5">
        <v>4</v>
      </c>
      <c r="G367" s="5">
        <v>64773</v>
      </c>
      <c r="H367" s="5">
        <v>10</v>
      </c>
      <c r="I367" s="6">
        <v>46185</v>
      </c>
      <c r="J367" s="6">
        <v>46186</v>
      </c>
      <c r="K367" s="10" t="s">
        <v>51</v>
      </c>
      <c r="L367" s="11" t="str">
        <f t="shared" si="15"/>
        <v>NISHA</v>
      </c>
      <c r="M367" s="12" t="str">
        <f t="shared" si="16"/>
        <v>mouse</v>
      </c>
      <c r="N367" s="13">
        <f t="shared" si="17"/>
        <v>5</v>
      </c>
    </row>
    <row r="368" spans="1:14" ht="15" thickBot="1" x14ac:dyDescent="0.4">
      <c r="A368" s="5">
        <v>1350</v>
      </c>
      <c r="B368" s="5" t="s">
        <v>26</v>
      </c>
      <c r="C368" s="5" t="s">
        <v>43</v>
      </c>
      <c r="D368" s="5" t="s">
        <v>18</v>
      </c>
      <c r="E368" s="5" t="s">
        <v>28</v>
      </c>
      <c r="F368" s="5">
        <v>16</v>
      </c>
      <c r="G368" s="5">
        <v>11790</v>
      </c>
      <c r="H368" s="5">
        <v>12</v>
      </c>
      <c r="I368" s="6">
        <v>46185</v>
      </c>
      <c r="J368" s="6">
        <v>46190</v>
      </c>
      <c r="K368" s="10" t="s">
        <v>29</v>
      </c>
      <c r="L368" s="11" t="str">
        <f t="shared" si="15"/>
        <v>VIKRAM</v>
      </c>
      <c r="M368" s="12" t="str">
        <f t="shared" si="16"/>
        <v>chair</v>
      </c>
      <c r="N368" s="13">
        <f t="shared" si="17"/>
        <v>5</v>
      </c>
    </row>
    <row r="369" spans="1:14" ht="15" thickBot="1" x14ac:dyDescent="0.4">
      <c r="A369" s="5">
        <v>1083</v>
      </c>
      <c r="B369" s="5" t="s">
        <v>55</v>
      </c>
      <c r="C369" s="5" t="s">
        <v>33</v>
      </c>
      <c r="D369" s="5" t="s">
        <v>13</v>
      </c>
      <c r="E369" s="5" t="s">
        <v>53</v>
      </c>
      <c r="F369" s="5">
        <v>4</v>
      </c>
      <c r="G369" s="5">
        <v>397</v>
      </c>
      <c r="H369" s="5">
        <v>7</v>
      </c>
      <c r="I369" s="6">
        <v>46185</v>
      </c>
      <c r="J369" s="6">
        <v>46193</v>
      </c>
      <c r="K369" s="10" t="s">
        <v>15</v>
      </c>
      <c r="L369" s="11" t="str">
        <f t="shared" si="15"/>
        <v>SNEHA</v>
      </c>
      <c r="M369" s="12" t="str">
        <f t="shared" si="16"/>
        <v>diary</v>
      </c>
      <c r="N369" s="13">
        <f t="shared" si="17"/>
        <v>5</v>
      </c>
    </row>
    <row r="370" spans="1:14" ht="15" thickBot="1" x14ac:dyDescent="0.4">
      <c r="A370" s="5">
        <v>1064</v>
      </c>
      <c r="B370" s="5" t="s">
        <v>26</v>
      </c>
      <c r="C370" s="5" t="s">
        <v>17</v>
      </c>
      <c r="D370" s="5" t="s">
        <v>13</v>
      </c>
      <c r="E370" s="5" t="s">
        <v>50</v>
      </c>
      <c r="F370" s="5">
        <v>20</v>
      </c>
      <c r="G370" s="5">
        <v>191</v>
      </c>
      <c r="H370" s="5">
        <v>7</v>
      </c>
      <c r="I370" s="6">
        <v>46185</v>
      </c>
      <c r="J370" s="6">
        <v>46195</v>
      </c>
      <c r="K370" s="10" t="s">
        <v>29</v>
      </c>
      <c r="L370" s="11" t="str">
        <f t="shared" si="15"/>
        <v>VIKRAM</v>
      </c>
      <c r="M370" s="12" t="str">
        <f t="shared" si="16"/>
        <v>marker</v>
      </c>
      <c r="N370" s="13">
        <f t="shared" si="17"/>
        <v>6</v>
      </c>
    </row>
    <row r="371" spans="1:14" ht="15" thickBot="1" x14ac:dyDescent="0.4">
      <c r="A371" s="5">
        <v>1041</v>
      </c>
      <c r="B371" s="5" t="s">
        <v>54</v>
      </c>
      <c r="C371" s="5" t="s">
        <v>38</v>
      </c>
      <c r="D371" s="5" t="s">
        <v>13</v>
      </c>
      <c r="E371" s="5" t="s">
        <v>50</v>
      </c>
      <c r="F371" s="5">
        <v>9</v>
      </c>
      <c r="G371" s="5">
        <v>71</v>
      </c>
      <c r="H371" s="5">
        <v>7</v>
      </c>
      <c r="I371" s="6">
        <v>46185</v>
      </c>
      <c r="J371" s="6">
        <v>46188</v>
      </c>
      <c r="K371" s="10" t="s">
        <v>15</v>
      </c>
      <c r="L371" s="11" t="str">
        <f t="shared" si="15"/>
        <v>MANOJ</v>
      </c>
      <c r="M371" s="12" t="str">
        <f t="shared" si="16"/>
        <v>marker</v>
      </c>
      <c r="N371" s="13">
        <f t="shared" si="17"/>
        <v>6</v>
      </c>
    </row>
    <row r="372" spans="1:14" ht="15" thickBot="1" x14ac:dyDescent="0.4">
      <c r="A372" s="5">
        <v>1315</v>
      </c>
      <c r="B372" s="5" t="s">
        <v>49</v>
      </c>
      <c r="C372" s="5" t="s">
        <v>31</v>
      </c>
      <c r="D372" s="5" t="s">
        <v>34</v>
      </c>
      <c r="E372" s="5" t="s">
        <v>41</v>
      </c>
      <c r="F372" s="5">
        <v>14</v>
      </c>
      <c r="G372" s="5">
        <v>57670</v>
      </c>
      <c r="H372" s="5">
        <v>2</v>
      </c>
      <c r="I372" s="6">
        <v>46186</v>
      </c>
      <c r="J372" s="6">
        <v>46196</v>
      </c>
      <c r="K372" s="10" t="s">
        <v>15</v>
      </c>
      <c r="L372" s="11" t="str">
        <f t="shared" si="15"/>
        <v>AJAY</v>
      </c>
      <c r="M372" s="12" t="str">
        <f t="shared" si="16"/>
        <v>headset</v>
      </c>
      <c r="N372" s="13">
        <f t="shared" si="17"/>
        <v>7</v>
      </c>
    </row>
    <row r="373" spans="1:14" ht="15" thickBot="1" x14ac:dyDescent="0.4">
      <c r="A373" s="5">
        <v>1292</v>
      </c>
      <c r="B373" s="5" t="s">
        <v>54</v>
      </c>
      <c r="C373" s="5" t="s">
        <v>33</v>
      </c>
      <c r="D373" s="5" t="s">
        <v>34</v>
      </c>
      <c r="E373" s="5" t="s">
        <v>61</v>
      </c>
      <c r="F373" s="5">
        <v>11</v>
      </c>
      <c r="G373" s="5">
        <v>25158</v>
      </c>
      <c r="H373" s="5">
        <v>5</v>
      </c>
      <c r="I373" s="6">
        <v>46186</v>
      </c>
      <c r="J373" s="6">
        <v>46193</v>
      </c>
      <c r="K373" s="10" t="s">
        <v>20</v>
      </c>
      <c r="L373" s="11" t="str">
        <f t="shared" si="15"/>
        <v>MANOJ</v>
      </c>
      <c r="M373" s="12" t="str">
        <f t="shared" si="16"/>
        <v>mouse</v>
      </c>
      <c r="N373" s="13">
        <f t="shared" si="17"/>
        <v>5</v>
      </c>
    </row>
    <row r="374" spans="1:14" ht="15" thickBot="1" x14ac:dyDescent="0.4">
      <c r="A374" s="5">
        <v>1186</v>
      </c>
      <c r="B374" s="5" t="s">
        <v>16</v>
      </c>
      <c r="C374" s="5" t="s">
        <v>25</v>
      </c>
      <c r="D374" s="5" t="s">
        <v>18</v>
      </c>
      <c r="E374" s="5" t="s">
        <v>44</v>
      </c>
      <c r="F374" s="5">
        <v>10</v>
      </c>
      <c r="G374" s="5">
        <v>14951</v>
      </c>
      <c r="H374" s="5">
        <v>2</v>
      </c>
      <c r="I374" s="6">
        <v>46188</v>
      </c>
      <c r="J374" s="6">
        <v>46196</v>
      </c>
      <c r="K374" s="10" t="s">
        <v>24</v>
      </c>
      <c r="L374" s="11" t="str">
        <f t="shared" si="15"/>
        <v>POOJA</v>
      </c>
      <c r="M374" s="12" t="str">
        <f t="shared" si="16"/>
        <v>bookshelf</v>
      </c>
      <c r="N374" s="13">
        <f t="shared" si="17"/>
        <v>9</v>
      </c>
    </row>
    <row r="375" spans="1:14" ht="15" thickBot="1" x14ac:dyDescent="0.4">
      <c r="A375" s="5">
        <v>1146</v>
      </c>
      <c r="B375" s="5" t="s">
        <v>16</v>
      </c>
      <c r="C375" s="5" t="s">
        <v>43</v>
      </c>
      <c r="D375" s="5" t="s">
        <v>34</v>
      </c>
      <c r="E375" s="5" t="s">
        <v>45</v>
      </c>
      <c r="F375" s="5">
        <v>7</v>
      </c>
      <c r="G375" s="5">
        <v>68217</v>
      </c>
      <c r="H375" s="5">
        <v>0</v>
      </c>
      <c r="I375" s="6">
        <v>46190</v>
      </c>
      <c r="J375" s="6">
        <v>46197</v>
      </c>
      <c r="K375" s="10" t="s">
        <v>29</v>
      </c>
      <c r="L375" s="11" t="str">
        <f t="shared" si="15"/>
        <v>POOJA</v>
      </c>
      <c r="M375" s="12" t="str">
        <f t="shared" si="16"/>
        <v>monitor</v>
      </c>
      <c r="N375" s="13">
        <f t="shared" si="17"/>
        <v>7</v>
      </c>
    </row>
    <row r="376" spans="1:14" ht="15" thickBot="1" x14ac:dyDescent="0.4">
      <c r="A376" s="5">
        <v>1331</v>
      </c>
      <c r="B376" s="5" t="s">
        <v>21</v>
      </c>
      <c r="C376" s="5" t="s">
        <v>25</v>
      </c>
      <c r="D376" s="5" t="s">
        <v>34</v>
      </c>
      <c r="E376" s="5" t="s">
        <v>61</v>
      </c>
      <c r="F376" s="5">
        <v>2</v>
      </c>
      <c r="G376" s="5">
        <v>43557</v>
      </c>
      <c r="H376" s="5">
        <v>2</v>
      </c>
      <c r="I376" s="6">
        <v>46190</v>
      </c>
      <c r="J376" s="6">
        <v>46200</v>
      </c>
      <c r="K376" s="10" t="s">
        <v>15</v>
      </c>
      <c r="L376" s="11" t="str">
        <f t="shared" si="15"/>
        <v>MEERA</v>
      </c>
      <c r="M376" s="12" t="str">
        <f t="shared" si="16"/>
        <v>mouse</v>
      </c>
      <c r="N376" s="13">
        <f t="shared" si="17"/>
        <v>5</v>
      </c>
    </row>
    <row r="377" spans="1:14" ht="15" thickBot="1" x14ac:dyDescent="0.4">
      <c r="A377" s="5">
        <v>1062</v>
      </c>
      <c r="B377" s="5" t="s">
        <v>40</v>
      </c>
      <c r="C377" s="5" t="s">
        <v>43</v>
      </c>
      <c r="D377" s="5" t="s">
        <v>18</v>
      </c>
      <c r="E377" s="5" t="s">
        <v>23</v>
      </c>
      <c r="F377" s="5">
        <v>8</v>
      </c>
      <c r="G377" s="5">
        <v>8360</v>
      </c>
      <c r="H377" s="5">
        <v>2</v>
      </c>
      <c r="I377" s="6">
        <v>46190</v>
      </c>
      <c r="J377" s="6">
        <v>46200</v>
      </c>
      <c r="K377" s="10" t="s">
        <v>51</v>
      </c>
      <c r="L377" s="11" t="str">
        <f t="shared" si="15"/>
        <v>DEEPAK</v>
      </c>
      <c r="M377" s="12" t="str">
        <f t="shared" si="16"/>
        <v>table</v>
      </c>
      <c r="N377" s="13">
        <f t="shared" si="17"/>
        <v>5</v>
      </c>
    </row>
    <row r="378" spans="1:14" ht="15" thickBot="1" x14ac:dyDescent="0.4">
      <c r="A378" s="5">
        <v>1373</v>
      </c>
      <c r="B378" s="5" t="s">
        <v>54</v>
      </c>
      <c r="C378" s="5" t="s">
        <v>25</v>
      </c>
      <c r="D378" s="5" t="s">
        <v>34</v>
      </c>
      <c r="E378" s="5" t="s">
        <v>60</v>
      </c>
      <c r="F378" s="5">
        <v>11</v>
      </c>
      <c r="G378" s="5">
        <v>47930</v>
      </c>
      <c r="H378" s="5">
        <v>12</v>
      </c>
      <c r="I378" s="6">
        <v>46191</v>
      </c>
      <c r="J378" s="6">
        <v>46201</v>
      </c>
      <c r="K378" s="10" t="s">
        <v>20</v>
      </c>
      <c r="L378" s="11" t="str">
        <f t="shared" si="15"/>
        <v>MANOJ</v>
      </c>
      <c r="M378" s="12" t="str">
        <f t="shared" si="16"/>
        <v>laptop</v>
      </c>
      <c r="N378" s="13">
        <f t="shared" si="17"/>
        <v>6</v>
      </c>
    </row>
    <row r="379" spans="1:14" ht="15" thickBot="1" x14ac:dyDescent="0.4">
      <c r="A379" s="5">
        <v>1306</v>
      </c>
      <c r="B379" s="5" t="s">
        <v>54</v>
      </c>
      <c r="C379" s="5" t="s">
        <v>43</v>
      </c>
      <c r="D379" s="5" t="s">
        <v>13</v>
      </c>
      <c r="E379" s="5" t="s">
        <v>36</v>
      </c>
      <c r="F379" s="5">
        <v>1</v>
      </c>
      <c r="G379" s="5">
        <v>332</v>
      </c>
      <c r="H379" s="5">
        <v>0</v>
      </c>
      <c r="I379" s="6">
        <v>46191</v>
      </c>
      <c r="J379" s="6">
        <v>46194</v>
      </c>
      <c r="K379" s="10" t="s">
        <v>20</v>
      </c>
      <c r="L379" s="11" t="str">
        <f t="shared" si="15"/>
        <v>MANOJ</v>
      </c>
      <c r="M379" s="12" t="str">
        <f t="shared" si="16"/>
        <v>stapler</v>
      </c>
      <c r="N379" s="13">
        <f t="shared" si="17"/>
        <v>7</v>
      </c>
    </row>
    <row r="380" spans="1:14" ht="15" thickBot="1" x14ac:dyDescent="0.4">
      <c r="A380" s="5">
        <v>1242</v>
      </c>
      <c r="B380" s="5" t="s">
        <v>54</v>
      </c>
      <c r="C380" s="5" t="s">
        <v>38</v>
      </c>
      <c r="D380" s="5" t="s">
        <v>13</v>
      </c>
      <c r="E380" s="5" t="s">
        <v>50</v>
      </c>
      <c r="F380" s="5">
        <v>7</v>
      </c>
      <c r="G380" s="5">
        <v>168</v>
      </c>
      <c r="H380" s="5">
        <v>10</v>
      </c>
      <c r="I380" s="6">
        <v>46191</v>
      </c>
      <c r="J380" s="6">
        <v>46196</v>
      </c>
      <c r="K380" s="10" t="s">
        <v>51</v>
      </c>
      <c r="L380" s="11" t="str">
        <f t="shared" si="15"/>
        <v>MANOJ</v>
      </c>
      <c r="M380" s="12" t="str">
        <f t="shared" si="16"/>
        <v>marker</v>
      </c>
      <c r="N380" s="13">
        <f t="shared" si="17"/>
        <v>6</v>
      </c>
    </row>
    <row r="381" spans="1:14" ht="15" thickBot="1" x14ac:dyDescent="0.4">
      <c r="A381" s="5">
        <v>1065</v>
      </c>
      <c r="B381" s="5" t="s">
        <v>42</v>
      </c>
      <c r="C381" s="5" t="s">
        <v>43</v>
      </c>
      <c r="D381" s="5" t="s">
        <v>18</v>
      </c>
      <c r="E381" s="5" t="s">
        <v>44</v>
      </c>
      <c r="F381" s="5">
        <v>1</v>
      </c>
      <c r="G381" s="5">
        <v>7730</v>
      </c>
      <c r="H381" s="5">
        <v>5</v>
      </c>
      <c r="I381" s="6">
        <v>46192</v>
      </c>
      <c r="J381" s="6">
        <v>46195</v>
      </c>
      <c r="K381" s="10" t="s">
        <v>51</v>
      </c>
      <c r="L381" s="11" t="str">
        <f t="shared" si="15"/>
        <v>NISHA</v>
      </c>
      <c r="M381" s="12" t="str">
        <f t="shared" si="16"/>
        <v>bookshelf</v>
      </c>
      <c r="N381" s="13">
        <f t="shared" si="17"/>
        <v>9</v>
      </c>
    </row>
    <row r="382" spans="1:14" ht="15" thickBot="1" x14ac:dyDescent="0.4">
      <c r="A382" s="5">
        <v>1023</v>
      </c>
      <c r="B382" s="5" t="s">
        <v>40</v>
      </c>
      <c r="C382" s="5" t="s">
        <v>12</v>
      </c>
      <c r="D382" s="5" t="s">
        <v>18</v>
      </c>
      <c r="E382" s="5" t="s">
        <v>44</v>
      </c>
      <c r="F382" s="5">
        <v>15</v>
      </c>
      <c r="G382" s="5">
        <v>3506</v>
      </c>
      <c r="H382" s="5">
        <v>2</v>
      </c>
      <c r="I382" s="6">
        <v>46193</v>
      </c>
      <c r="J382" s="6">
        <v>46194</v>
      </c>
      <c r="K382" s="10" t="s">
        <v>29</v>
      </c>
      <c r="L382" s="11" t="str">
        <f t="shared" si="15"/>
        <v>DEEPAK</v>
      </c>
      <c r="M382" s="12" t="str">
        <f t="shared" si="16"/>
        <v>bookshelf</v>
      </c>
      <c r="N382" s="13">
        <f t="shared" si="17"/>
        <v>9</v>
      </c>
    </row>
    <row r="383" spans="1:14" ht="15" thickBot="1" x14ac:dyDescent="0.4">
      <c r="A383" s="5">
        <v>1212</v>
      </c>
      <c r="B383" s="5" t="s">
        <v>59</v>
      </c>
      <c r="C383" s="5" t="s">
        <v>25</v>
      </c>
      <c r="D383" s="5" t="s">
        <v>34</v>
      </c>
      <c r="E383" s="5" t="s">
        <v>60</v>
      </c>
      <c r="F383" s="5">
        <v>10</v>
      </c>
      <c r="G383" s="5">
        <v>34380</v>
      </c>
      <c r="H383" s="5">
        <v>7</v>
      </c>
      <c r="I383" s="6">
        <v>46194</v>
      </c>
      <c r="J383" s="6">
        <v>46195</v>
      </c>
      <c r="K383" s="10" t="s">
        <v>29</v>
      </c>
      <c r="L383" s="11" t="str">
        <f t="shared" si="15"/>
        <v>ANITA</v>
      </c>
      <c r="M383" s="12" t="str">
        <f t="shared" si="16"/>
        <v>laptop</v>
      </c>
      <c r="N383" s="13">
        <f t="shared" si="17"/>
        <v>6</v>
      </c>
    </row>
    <row r="384" spans="1:14" ht="15" thickBot="1" x14ac:dyDescent="0.4">
      <c r="A384" s="5">
        <v>1397</v>
      </c>
      <c r="B384" s="5" t="s">
        <v>21</v>
      </c>
      <c r="C384" s="5" t="s">
        <v>33</v>
      </c>
      <c r="D384" s="5" t="s">
        <v>18</v>
      </c>
      <c r="E384" s="5" t="s">
        <v>23</v>
      </c>
      <c r="F384" s="5">
        <v>1</v>
      </c>
      <c r="G384" s="5">
        <v>8948</v>
      </c>
      <c r="H384" s="5">
        <v>5</v>
      </c>
      <c r="I384" s="6">
        <v>46194</v>
      </c>
      <c r="J384" s="6">
        <v>46201</v>
      </c>
      <c r="K384" s="10" t="s">
        <v>51</v>
      </c>
      <c r="L384" s="11" t="str">
        <f t="shared" si="15"/>
        <v>MEERA</v>
      </c>
      <c r="M384" s="12" t="str">
        <f t="shared" si="16"/>
        <v>table</v>
      </c>
      <c r="N384" s="13">
        <f t="shared" si="17"/>
        <v>5</v>
      </c>
    </row>
    <row r="385" spans="1:14" ht="15" thickBot="1" x14ac:dyDescent="0.4">
      <c r="A385" s="5">
        <v>1353</v>
      </c>
      <c r="B385" s="5" t="s">
        <v>47</v>
      </c>
      <c r="C385" s="5" t="s">
        <v>43</v>
      </c>
      <c r="D385" s="5" t="s">
        <v>13</v>
      </c>
      <c r="E385" s="5" t="s">
        <v>14</v>
      </c>
      <c r="F385" s="5">
        <v>6</v>
      </c>
      <c r="G385" s="5">
        <v>495</v>
      </c>
      <c r="H385" s="5">
        <v>2</v>
      </c>
      <c r="I385" s="6">
        <v>46194</v>
      </c>
      <c r="J385" s="6">
        <v>46200</v>
      </c>
      <c r="K385" s="10" t="s">
        <v>24</v>
      </c>
      <c r="L385" s="11" t="str">
        <f t="shared" si="15"/>
        <v>YASH</v>
      </c>
      <c r="M385" s="12" t="str">
        <f t="shared" si="16"/>
        <v>notebook</v>
      </c>
      <c r="N385" s="13">
        <f t="shared" si="17"/>
        <v>8</v>
      </c>
    </row>
    <row r="386" spans="1:14" ht="15" thickBot="1" x14ac:dyDescent="0.4">
      <c r="A386" s="5">
        <v>1164</v>
      </c>
      <c r="B386" s="5" t="s">
        <v>40</v>
      </c>
      <c r="C386" s="5" t="s">
        <v>43</v>
      </c>
      <c r="D386" s="5" t="s">
        <v>34</v>
      </c>
      <c r="E386" s="5" t="s">
        <v>61</v>
      </c>
      <c r="F386" s="5">
        <v>7</v>
      </c>
      <c r="G386" s="5">
        <v>24615</v>
      </c>
      <c r="H386" s="5">
        <v>12</v>
      </c>
      <c r="I386" s="6">
        <v>46196</v>
      </c>
      <c r="J386" s="6">
        <v>46203</v>
      </c>
      <c r="K386" s="10" t="s">
        <v>51</v>
      </c>
      <c r="L386" s="11" t="str">
        <f t="shared" si="15"/>
        <v>DEEPAK</v>
      </c>
      <c r="M386" s="12" t="str">
        <f t="shared" si="16"/>
        <v>mouse</v>
      </c>
      <c r="N386" s="13">
        <f t="shared" si="17"/>
        <v>5</v>
      </c>
    </row>
    <row r="387" spans="1:14" ht="15" thickBot="1" x14ac:dyDescent="0.4">
      <c r="A387" s="5">
        <v>1068</v>
      </c>
      <c r="B387" s="5" t="s">
        <v>52</v>
      </c>
      <c r="C387" s="5" t="s">
        <v>43</v>
      </c>
      <c r="D387" s="5" t="s">
        <v>34</v>
      </c>
      <c r="E387" s="5" t="s">
        <v>60</v>
      </c>
      <c r="F387" s="5">
        <v>15</v>
      </c>
      <c r="G387" s="5">
        <v>14534</v>
      </c>
      <c r="H387" s="5">
        <v>5</v>
      </c>
      <c r="I387" s="6">
        <v>46196</v>
      </c>
      <c r="J387" s="6">
        <v>46199</v>
      </c>
      <c r="K387" s="10" t="s">
        <v>29</v>
      </c>
      <c r="L387" s="11" t="str">
        <f t="shared" ref="L387:L401" si="18">UPPER(B387)</f>
        <v>KOMAL</v>
      </c>
      <c r="M387" s="12" t="str">
        <f t="shared" ref="M387:M401" si="19">LOWER(E387)</f>
        <v>laptop</v>
      </c>
      <c r="N387" s="13">
        <f t="shared" ref="N387:N401" si="20">LEN(E387)</f>
        <v>6</v>
      </c>
    </row>
    <row r="388" spans="1:14" ht="15" thickBot="1" x14ac:dyDescent="0.4">
      <c r="A388" s="5">
        <v>1314</v>
      </c>
      <c r="B388" s="5" t="s">
        <v>52</v>
      </c>
      <c r="C388" s="5" t="s">
        <v>33</v>
      </c>
      <c r="D388" s="5" t="s">
        <v>18</v>
      </c>
      <c r="E388" s="5" t="s">
        <v>19</v>
      </c>
      <c r="F388" s="5">
        <v>10</v>
      </c>
      <c r="G388" s="5">
        <v>6328</v>
      </c>
      <c r="H388" s="5">
        <v>2</v>
      </c>
      <c r="I388" s="6">
        <v>46196</v>
      </c>
      <c r="J388" s="6">
        <v>46197</v>
      </c>
      <c r="K388" s="10" t="s">
        <v>29</v>
      </c>
      <c r="L388" s="11" t="str">
        <f t="shared" si="18"/>
        <v>KOMAL</v>
      </c>
      <c r="M388" s="12" t="str">
        <f t="shared" si="19"/>
        <v>desk</v>
      </c>
      <c r="N388" s="13">
        <f t="shared" si="20"/>
        <v>4</v>
      </c>
    </row>
    <row r="389" spans="1:14" ht="15" thickBot="1" x14ac:dyDescent="0.4">
      <c r="A389" s="5">
        <v>1340</v>
      </c>
      <c r="B389" s="5" t="s">
        <v>48</v>
      </c>
      <c r="C389" s="5" t="s">
        <v>17</v>
      </c>
      <c r="D389" s="5" t="s">
        <v>18</v>
      </c>
      <c r="E389" s="5" t="s">
        <v>19</v>
      </c>
      <c r="F389" s="5">
        <v>12</v>
      </c>
      <c r="G389" s="5">
        <v>3857</v>
      </c>
      <c r="H389" s="5">
        <v>12</v>
      </c>
      <c r="I389" s="6">
        <v>46196</v>
      </c>
      <c r="J389" s="6">
        <v>46198</v>
      </c>
      <c r="K389" s="10" t="s">
        <v>51</v>
      </c>
      <c r="L389" s="11" t="str">
        <f t="shared" si="18"/>
        <v>NITIN</v>
      </c>
      <c r="M389" s="12" t="str">
        <f t="shared" si="19"/>
        <v>desk</v>
      </c>
      <c r="N389" s="13">
        <f t="shared" si="20"/>
        <v>4</v>
      </c>
    </row>
    <row r="390" spans="1:14" ht="15" thickBot="1" x14ac:dyDescent="0.4">
      <c r="A390" s="5">
        <v>1383</v>
      </c>
      <c r="B390" s="5" t="s">
        <v>32</v>
      </c>
      <c r="C390" s="5" t="s">
        <v>12</v>
      </c>
      <c r="D390" s="5" t="s">
        <v>13</v>
      </c>
      <c r="E390" s="5" t="s">
        <v>53</v>
      </c>
      <c r="F390" s="5">
        <v>14</v>
      </c>
      <c r="G390" s="5">
        <v>334</v>
      </c>
      <c r="H390" s="5">
        <v>10</v>
      </c>
      <c r="I390" s="6">
        <v>46196</v>
      </c>
      <c r="J390" s="6">
        <v>46203</v>
      </c>
      <c r="K390" s="10" t="s">
        <v>15</v>
      </c>
      <c r="L390" s="11" t="str">
        <f t="shared" si="18"/>
        <v>ASHA</v>
      </c>
      <c r="M390" s="12" t="str">
        <f t="shared" si="19"/>
        <v>diary</v>
      </c>
      <c r="N390" s="13">
        <f t="shared" si="20"/>
        <v>5</v>
      </c>
    </row>
    <row r="391" spans="1:14" ht="15" thickBot="1" x14ac:dyDescent="0.4">
      <c r="A391" s="5">
        <v>1309</v>
      </c>
      <c r="B391" s="5" t="s">
        <v>29</v>
      </c>
      <c r="C391" s="5" t="s">
        <v>31</v>
      </c>
      <c r="D391" s="5" t="s">
        <v>13</v>
      </c>
      <c r="E391" s="5" t="s">
        <v>50</v>
      </c>
      <c r="F391" s="5">
        <v>2</v>
      </c>
      <c r="G391" s="5">
        <v>35</v>
      </c>
      <c r="H391" s="5">
        <v>5</v>
      </c>
      <c r="I391" s="6">
        <v>46197</v>
      </c>
      <c r="J391" s="6">
        <v>46198</v>
      </c>
      <c r="K391" s="10" t="s">
        <v>24</v>
      </c>
      <c r="L391" s="11" t="str">
        <f t="shared" si="18"/>
        <v>PRIYA</v>
      </c>
      <c r="M391" s="12" t="str">
        <f t="shared" si="19"/>
        <v>marker</v>
      </c>
      <c r="N391" s="13">
        <f t="shared" si="20"/>
        <v>6</v>
      </c>
    </row>
    <row r="392" spans="1:14" ht="15" thickBot="1" x14ac:dyDescent="0.4">
      <c r="A392" s="5">
        <v>1233</v>
      </c>
      <c r="B392" s="5" t="s">
        <v>58</v>
      </c>
      <c r="C392" s="5" t="s">
        <v>22</v>
      </c>
      <c r="D392" s="5" t="s">
        <v>18</v>
      </c>
      <c r="E392" s="5" t="s">
        <v>19</v>
      </c>
      <c r="F392" s="5">
        <v>20</v>
      </c>
      <c r="G392" s="5">
        <v>13941</v>
      </c>
      <c r="H392" s="5">
        <v>15</v>
      </c>
      <c r="I392" s="6">
        <v>46198</v>
      </c>
      <c r="J392" s="6">
        <v>46202</v>
      </c>
      <c r="K392" s="10" t="s">
        <v>24</v>
      </c>
      <c r="L392" s="11" t="str">
        <f t="shared" si="18"/>
        <v>ROHAN</v>
      </c>
      <c r="M392" s="12" t="str">
        <f t="shared" si="19"/>
        <v>desk</v>
      </c>
      <c r="N392" s="13">
        <f t="shared" si="20"/>
        <v>4</v>
      </c>
    </row>
    <row r="393" spans="1:14" ht="15" thickBot="1" x14ac:dyDescent="0.4">
      <c r="A393" s="5">
        <v>1195</v>
      </c>
      <c r="B393" s="5" t="s">
        <v>59</v>
      </c>
      <c r="C393" s="5" t="s">
        <v>17</v>
      </c>
      <c r="D393" s="5" t="s">
        <v>13</v>
      </c>
      <c r="E393" s="5" t="s">
        <v>50</v>
      </c>
      <c r="F393" s="5">
        <v>19</v>
      </c>
      <c r="G393" s="5">
        <v>313</v>
      </c>
      <c r="H393" s="5">
        <v>2</v>
      </c>
      <c r="I393" s="6">
        <v>46198</v>
      </c>
      <c r="J393" s="6">
        <v>46206</v>
      </c>
      <c r="K393" s="10" t="s">
        <v>51</v>
      </c>
      <c r="L393" s="11" t="str">
        <f t="shared" si="18"/>
        <v>ANITA</v>
      </c>
      <c r="M393" s="12" t="str">
        <f t="shared" si="19"/>
        <v>marker</v>
      </c>
      <c r="N393" s="13">
        <f t="shared" si="20"/>
        <v>6</v>
      </c>
    </row>
    <row r="394" spans="1:14" ht="15" thickBot="1" x14ac:dyDescent="0.4">
      <c r="A394" s="5">
        <v>1268</v>
      </c>
      <c r="B394" s="5" t="s">
        <v>42</v>
      </c>
      <c r="C394" s="5" t="s">
        <v>38</v>
      </c>
      <c r="D394" s="5" t="s">
        <v>34</v>
      </c>
      <c r="E394" s="5" t="s">
        <v>45</v>
      </c>
      <c r="F394" s="5">
        <v>10</v>
      </c>
      <c r="G394" s="5">
        <v>46291</v>
      </c>
      <c r="H394" s="5">
        <v>12</v>
      </c>
      <c r="I394" s="6">
        <v>46199</v>
      </c>
      <c r="J394" s="6">
        <v>46202</v>
      </c>
      <c r="K394" s="10" t="s">
        <v>20</v>
      </c>
      <c r="L394" s="11" t="str">
        <f t="shared" si="18"/>
        <v>NISHA</v>
      </c>
      <c r="M394" s="12" t="str">
        <f t="shared" si="19"/>
        <v>monitor</v>
      </c>
      <c r="N394" s="13">
        <f t="shared" si="20"/>
        <v>7</v>
      </c>
    </row>
    <row r="395" spans="1:14" ht="15" thickBot="1" x14ac:dyDescent="0.4">
      <c r="A395" s="5">
        <v>1047</v>
      </c>
      <c r="B395" s="5" t="s">
        <v>58</v>
      </c>
      <c r="C395" s="5" t="s">
        <v>38</v>
      </c>
      <c r="D395" s="5" t="s">
        <v>18</v>
      </c>
      <c r="E395" s="5" t="s">
        <v>56</v>
      </c>
      <c r="F395" s="5">
        <v>11</v>
      </c>
      <c r="G395" s="5">
        <v>9976</v>
      </c>
      <c r="H395" s="5">
        <v>12</v>
      </c>
      <c r="I395" s="6">
        <v>46200</v>
      </c>
      <c r="J395" s="6">
        <v>46209</v>
      </c>
      <c r="K395" s="10" t="s">
        <v>15</v>
      </c>
      <c r="L395" s="11" t="str">
        <f t="shared" si="18"/>
        <v>ROHAN</v>
      </c>
      <c r="M395" s="12" t="str">
        <f t="shared" si="19"/>
        <v>cabinet</v>
      </c>
      <c r="N395" s="13">
        <f t="shared" si="20"/>
        <v>7</v>
      </c>
    </row>
    <row r="396" spans="1:14" ht="15" thickBot="1" x14ac:dyDescent="0.4">
      <c r="A396" s="5">
        <v>1054</v>
      </c>
      <c r="B396" s="5" t="s">
        <v>26</v>
      </c>
      <c r="C396" s="5" t="s">
        <v>25</v>
      </c>
      <c r="D396" s="5" t="s">
        <v>18</v>
      </c>
      <c r="E396" s="5" t="s">
        <v>23</v>
      </c>
      <c r="F396" s="5">
        <v>8</v>
      </c>
      <c r="G396" s="5">
        <v>9798</v>
      </c>
      <c r="H396" s="5">
        <v>12</v>
      </c>
      <c r="I396" s="6">
        <v>46200</v>
      </c>
      <c r="J396" s="6">
        <v>46201</v>
      </c>
      <c r="K396" s="10" t="s">
        <v>51</v>
      </c>
      <c r="L396" s="11" t="str">
        <f t="shared" si="18"/>
        <v>VIKRAM</v>
      </c>
      <c r="M396" s="12" t="str">
        <f t="shared" si="19"/>
        <v>table</v>
      </c>
      <c r="N396" s="13">
        <f t="shared" si="20"/>
        <v>5</v>
      </c>
    </row>
    <row r="397" spans="1:14" ht="15" thickBot="1" x14ac:dyDescent="0.4">
      <c r="A397" s="5">
        <v>1264</v>
      </c>
      <c r="B397" s="5" t="s">
        <v>11</v>
      </c>
      <c r="C397" s="5" t="s">
        <v>22</v>
      </c>
      <c r="D397" s="5" t="s">
        <v>18</v>
      </c>
      <c r="E397" s="5" t="s">
        <v>28</v>
      </c>
      <c r="F397" s="5">
        <v>15</v>
      </c>
      <c r="G397" s="5">
        <v>6365</v>
      </c>
      <c r="H397" s="5">
        <v>10</v>
      </c>
      <c r="I397" s="6">
        <v>46200</v>
      </c>
      <c r="J397" s="6">
        <v>46206</v>
      </c>
      <c r="K397" s="10" t="s">
        <v>20</v>
      </c>
      <c r="L397" s="11" t="str">
        <f t="shared" si="18"/>
        <v>RITESH</v>
      </c>
      <c r="M397" s="12" t="str">
        <f t="shared" si="19"/>
        <v>chair</v>
      </c>
      <c r="N397" s="13">
        <f t="shared" si="20"/>
        <v>5</v>
      </c>
    </row>
    <row r="398" spans="1:14" ht="15" thickBot="1" x14ac:dyDescent="0.4">
      <c r="A398" s="5">
        <v>1244</v>
      </c>
      <c r="B398" s="5" t="s">
        <v>57</v>
      </c>
      <c r="C398" s="5" t="s">
        <v>38</v>
      </c>
      <c r="D398" s="5" t="s">
        <v>18</v>
      </c>
      <c r="E398" s="5" t="s">
        <v>28</v>
      </c>
      <c r="F398" s="5">
        <v>10</v>
      </c>
      <c r="G398" s="5">
        <v>6339</v>
      </c>
      <c r="H398" s="5">
        <v>12</v>
      </c>
      <c r="I398" s="6">
        <v>46200</v>
      </c>
      <c r="J398" s="6">
        <v>46205</v>
      </c>
      <c r="K398" s="10" t="s">
        <v>15</v>
      </c>
      <c r="L398" s="11" t="str">
        <f t="shared" si="18"/>
        <v>SARA</v>
      </c>
      <c r="M398" s="12" t="str">
        <f t="shared" si="19"/>
        <v>chair</v>
      </c>
      <c r="N398" s="13">
        <f t="shared" si="20"/>
        <v>5</v>
      </c>
    </row>
    <row r="399" spans="1:14" ht="15" thickBot="1" x14ac:dyDescent="0.4">
      <c r="A399" s="5">
        <v>1356</v>
      </c>
      <c r="B399" s="5" t="s">
        <v>26</v>
      </c>
      <c r="C399" s="5" t="s">
        <v>38</v>
      </c>
      <c r="D399" s="5" t="s">
        <v>34</v>
      </c>
      <c r="E399" s="5" t="s">
        <v>60</v>
      </c>
      <c r="F399" s="5">
        <v>16</v>
      </c>
      <c r="G399" s="5">
        <v>53457</v>
      </c>
      <c r="H399" s="5">
        <v>10</v>
      </c>
      <c r="I399" s="6">
        <v>46201</v>
      </c>
      <c r="J399" s="6">
        <v>46204</v>
      </c>
      <c r="K399" s="10" t="s">
        <v>15</v>
      </c>
      <c r="L399" s="11" t="str">
        <f t="shared" si="18"/>
        <v>VIKRAM</v>
      </c>
      <c r="M399" s="12" t="str">
        <f t="shared" si="19"/>
        <v>laptop</v>
      </c>
      <c r="N399" s="13">
        <f t="shared" si="20"/>
        <v>6</v>
      </c>
    </row>
    <row r="400" spans="1:14" ht="15" thickBot="1" x14ac:dyDescent="0.4">
      <c r="A400" s="5">
        <v>1126</v>
      </c>
      <c r="B400" s="5" t="s">
        <v>46</v>
      </c>
      <c r="C400" s="5" t="s">
        <v>22</v>
      </c>
      <c r="D400" s="5" t="s">
        <v>34</v>
      </c>
      <c r="E400" s="5" t="s">
        <v>39</v>
      </c>
      <c r="F400" s="5">
        <v>17</v>
      </c>
      <c r="G400" s="5">
        <v>19390</v>
      </c>
      <c r="H400" s="5">
        <v>12</v>
      </c>
      <c r="I400" s="6">
        <v>46201</v>
      </c>
      <c r="J400" s="6">
        <v>46206</v>
      </c>
      <c r="K400" s="10" t="s">
        <v>29</v>
      </c>
      <c r="L400" s="11" t="str">
        <f t="shared" si="18"/>
        <v>KIRAN</v>
      </c>
      <c r="M400" s="12" t="str">
        <f t="shared" si="19"/>
        <v>keyboard</v>
      </c>
      <c r="N400" s="13">
        <f t="shared" si="20"/>
        <v>8</v>
      </c>
    </row>
    <row r="401" spans="1:14" ht="15" thickBot="1" x14ac:dyDescent="0.4">
      <c r="A401" s="5">
        <v>1219</v>
      </c>
      <c r="B401" s="5" t="s">
        <v>46</v>
      </c>
      <c r="C401" s="5" t="s">
        <v>22</v>
      </c>
      <c r="D401" s="5" t="s">
        <v>13</v>
      </c>
      <c r="E401" s="5" t="s">
        <v>14</v>
      </c>
      <c r="F401" s="5">
        <v>4</v>
      </c>
      <c r="G401" s="5">
        <v>117</v>
      </c>
      <c r="H401" s="5">
        <v>15</v>
      </c>
      <c r="I401" s="6">
        <v>46202</v>
      </c>
      <c r="J401" s="6">
        <v>46206</v>
      </c>
      <c r="K401" s="10" t="s">
        <v>29</v>
      </c>
      <c r="L401" s="11" t="str">
        <f t="shared" si="18"/>
        <v>KIRAN</v>
      </c>
      <c r="M401" s="12" t="str">
        <f t="shared" si="19"/>
        <v>notebook</v>
      </c>
      <c r="N401" s="13">
        <f t="shared" si="20"/>
        <v>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B403E8-A3C8-474A-AA00-58FDA4A46004}">
  <dimension ref="A1:O401"/>
  <sheetViews>
    <sheetView workbookViewId="0">
      <selection activeCell="L1" sqref="L1:O1"/>
    </sheetView>
  </sheetViews>
  <sheetFormatPr defaultRowHeight="14.5" x14ac:dyDescent="0.35"/>
  <cols>
    <col min="1" max="1" width="8.54296875" bestFit="1" customWidth="1"/>
    <col min="2" max="2" width="9" bestFit="1" customWidth="1"/>
    <col min="3" max="3" width="11" bestFit="1" customWidth="1"/>
    <col min="4" max="4" width="9.7265625" bestFit="1" customWidth="1"/>
    <col min="5" max="5" width="9" bestFit="1" customWidth="1"/>
    <col min="6" max="6" width="8.1796875" bestFit="1" customWidth="1"/>
    <col min="7" max="7" width="9.453125" bestFit="1" customWidth="1"/>
    <col min="8" max="8" width="10.6328125" bestFit="1" customWidth="1"/>
    <col min="9" max="9" width="10.7265625" bestFit="1" customWidth="1"/>
    <col min="10" max="10" width="12.54296875" bestFit="1" customWidth="1"/>
    <col min="11" max="11" width="10.81640625" bestFit="1" customWidth="1"/>
    <col min="12" max="12" width="13.54296875" customWidth="1"/>
    <col min="13" max="13" width="14.26953125" customWidth="1"/>
    <col min="14" max="14" width="17.36328125" customWidth="1"/>
    <col min="15" max="15" width="18.54296875" customWidth="1"/>
  </cols>
  <sheetData>
    <row r="1" spans="1:15" ht="15" thickBot="1" x14ac:dyDescent="0.4">
      <c r="A1" s="31" t="s">
        <v>0</v>
      </c>
      <c r="B1" s="31" t="s">
        <v>1</v>
      </c>
      <c r="C1" s="31" t="s">
        <v>2</v>
      </c>
      <c r="D1" s="31" t="s">
        <v>3</v>
      </c>
      <c r="E1" s="31" t="s">
        <v>4</v>
      </c>
      <c r="F1" s="31" t="s">
        <v>5</v>
      </c>
      <c r="G1" s="31" t="s">
        <v>6</v>
      </c>
      <c r="H1" s="31" t="s">
        <v>7</v>
      </c>
      <c r="I1" s="31" t="s">
        <v>8</v>
      </c>
      <c r="J1" s="31" t="s">
        <v>9</v>
      </c>
      <c r="K1" s="32" t="s">
        <v>10</v>
      </c>
      <c r="L1" s="37" t="s">
        <v>81</v>
      </c>
      <c r="M1" s="37" t="s">
        <v>82</v>
      </c>
      <c r="N1" s="37" t="s">
        <v>79</v>
      </c>
      <c r="O1" s="37" t="s">
        <v>80</v>
      </c>
    </row>
    <row r="2" spans="1:15" ht="15" thickBot="1" x14ac:dyDescent="0.4">
      <c r="A2" s="5">
        <v>1019</v>
      </c>
      <c r="B2" s="5" t="s">
        <v>11</v>
      </c>
      <c r="C2" s="5" t="s">
        <v>43</v>
      </c>
      <c r="D2" s="5" t="s">
        <v>34</v>
      </c>
      <c r="E2" s="5" t="s">
        <v>41</v>
      </c>
      <c r="F2" s="5">
        <v>18</v>
      </c>
      <c r="G2" s="5">
        <v>45652</v>
      </c>
      <c r="H2" s="5">
        <v>10</v>
      </c>
      <c r="I2" s="6">
        <v>46023</v>
      </c>
      <c r="J2" s="6">
        <v>46030</v>
      </c>
      <c r="K2" s="10" t="s">
        <v>20</v>
      </c>
      <c r="L2" s="16">
        <f>J2-I2</f>
        <v>7</v>
      </c>
      <c r="M2" s="19"/>
      <c r="N2" s="19">
        <f ca="1">TODAY()</f>
        <v>46311</v>
      </c>
      <c r="O2" s="20">
        <f ca="1">NOW()</f>
        <v>46311.500488541664</v>
      </c>
    </row>
    <row r="3" spans="1:15" ht="15" thickBot="1" x14ac:dyDescent="0.4">
      <c r="A3" s="5">
        <v>1355</v>
      </c>
      <c r="B3" s="5" t="s">
        <v>27</v>
      </c>
      <c r="C3" s="5" t="s">
        <v>12</v>
      </c>
      <c r="D3" s="5" t="s">
        <v>34</v>
      </c>
      <c r="E3" s="5" t="s">
        <v>60</v>
      </c>
      <c r="F3" s="5">
        <v>18</v>
      </c>
      <c r="G3" s="5">
        <v>35997</v>
      </c>
      <c r="H3" s="5">
        <v>2</v>
      </c>
      <c r="I3" s="6">
        <v>46024</v>
      </c>
      <c r="J3" s="6">
        <v>46031</v>
      </c>
      <c r="K3" s="10" t="s">
        <v>51</v>
      </c>
      <c r="L3" s="16">
        <f t="shared" ref="L3:L66" si="0">J3-I3</f>
        <v>7</v>
      </c>
    </row>
    <row r="4" spans="1:15" ht="15" thickBot="1" x14ac:dyDescent="0.4">
      <c r="A4" s="5">
        <v>1060</v>
      </c>
      <c r="B4" s="5" t="s">
        <v>49</v>
      </c>
      <c r="C4" s="5" t="s">
        <v>12</v>
      </c>
      <c r="D4" s="5" t="s">
        <v>18</v>
      </c>
      <c r="E4" s="5" t="s">
        <v>44</v>
      </c>
      <c r="F4" s="5">
        <v>9</v>
      </c>
      <c r="G4" s="5">
        <v>9727</v>
      </c>
      <c r="H4" s="5">
        <v>2</v>
      </c>
      <c r="I4" s="6">
        <v>46024</v>
      </c>
      <c r="J4" s="6">
        <v>46030</v>
      </c>
      <c r="K4" s="10" t="s">
        <v>20</v>
      </c>
      <c r="L4" s="16">
        <f t="shared" si="0"/>
        <v>6</v>
      </c>
    </row>
    <row r="5" spans="1:15" ht="15" thickBot="1" x14ac:dyDescent="0.4">
      <c r="A5" s="5">
        <v>1151</v>
      </c>
      <c r="B5" s="5" t="s">
        <v>46</v>
      </c>
      <c r="C5" s="5" t="s">
        <v>43</v>
      </c>
      <c r="D5" s="5" t="s">
        <v>13</v>
      </c>
      <c r="E5" s="5" t="s">
        <v>50</v>
      </c>
      <c r="F5" s="5">
        <v>20</v>
      </c>
      <c r="G5" s="5">
        <v>272</v>
      </c>
      <c r="H5" s="5">
        <v>15</v>
      </c>
      <c r="I5" s="6">
        <v>46024</v>
      </c>
      <c r="J5" s="6">
        <v>46029</v>
      </c>
      <c r="K5" s="10" t="s">
        <v>51</v>
      </c>
      <c r="L5" s="16">
        <f t="shared" si="0"/>
        <v>5</v>
      </c>
    </row>
    <row r="6" spans="1:15" ht="15" thickBot="1" x14ac:dyDescent="0.4">
      <c r="A6" s="5">
        <v>1132</v>
      </c>
      <c r="B6" s="5" t="s">
        <v>11</v>
      </c>
      <c r="C6" s="5" t="s">
        <v>31</v>
      </c>
      <c r="D6" s="5" t="s">
        <v>13</v>
      </c>
      <c r="E6" s="5" t="s">
        <v>50</v>
      </c>
      <c r="F6" s="5">
        <v>10</v>
      </c>
      <c r="G6" s="5">
        <v>270</v>
      </c>
      <c r="H6" s="5">
        <v>7</v>
      </c>
      <c r="I6" s="6">
        <v>46024</v>
      </c>
      <c r="J6" s="6">
        <v>46034</v>
      </c>
      <c r="K6" s="10" t="s">
        <v>24</v>
      </c>
      <c r="L6" s="16">
        <f t="shared" si="0"/>
        <v>10</v>
      </c>
    </row>
    <row r="7" spans="1:15" ht="15" thickBot="1" x14ac:dyDescent="0.4">
      <c r="A7" s="5">
        <v>1352</v>
      </c>
      <c r="B7" s="5" t="s">
        <v>54</v>
      </c>
      <c r="C7" s="5" t="s">
        <v>22</v>
      </c>
      <c r="D7" s="5" t="s">
        <v>13</v>
      </c>
      <c r="E7" s="5" t="s">
        <v>14</v>
      </c>
      <c r="F7" s="5">
        <v>12</v>
      </c>
      <c r="G7" s="5">
        <v>203</v>
      </c>
      <c r="H7" s="5">
        <v>5</v>
      </c>
      <c r="I7" s="6">
        <v>46024</v>
      </c>
      <c r="J7" s="6">
        <v>46033</v>
      </c>
      <c r="K7" s="10" t="s">
        <v>15</v>
      </c>
      <c r="L7" s="16">
        <f t="shared" si="0"/>
        <v>9</v>
      </c>
    </row>
    <row r="8" spans="1:15" ht="15" thickBot="1" x14ac:dyDescent="0.4">
      <c r="A8" s="5">
        <v>1156</v>
      </c>
      <c r="B8" s="5" t="s">
        <v>54</v>
      </c>
      <c r="C8" s="5" t="s">
        <v>38</v>
      </c>
      <c r="D8" s="5" t="s">
        <v>13</v>
      </c>
      <c r="E8" s="5" t="s">
        <v>36</v>
      </c>
      <c r="F8" s="5">
        <v>5</v>
      </c>
      <c r="G8" s="5">
        <v>466</v>
      </c>
      <c r="H8" s="5">
        <v>15</v>
      </c>
      <c r="I8" s="6">
        <v>46025</v>
      </c>
      <c r="J8" s="6">
        <v>46029</v>
      </c>
      <c r="K8" s="10" t="s">
        <v>15</v>
      </c>
      <c r="L8" s="16">
        <f t="shared" si="0"/>
        <v>4</v>
      </c>
    </row>
    <row r="9" spans="1:15" ht="15" thickBot="1" x14ac:dyDescent="0.4">
      <c r="A9" s="5">
        <v>1341</v>
      </c>
      <c r="B9" s="5" t="s">
        <v>57</v>
      </c>
      <c r="C9" s="5" t="s">
        <v>38</v>
      </c>
      <c r="D9" s="5" t="s">
        <v>18</v>
      </c>
      <c r="E9" s="5" t="s">
        <v>19</v>
      </c>
      <c r="F9" s="5">
        <v>19</v>
      </c>
      <c r="G9" s="5">
        <v>6488</v>
      </c>
      <c r="H9" s="5">
        <v>15</v>
      </c>
      <c r="I9" s="6">
        <v>46026</v>
      </c>
      <c r="J9" s="6">
        <v>46030</v>
      </c>
      <c r="K9" s="10" t="s">
        <v>20</v>
      </c>
      <c r="L9" s="16">
        <f t="shared" si="0"/>
        <v>4</v>
      </c>
    </row>
    <row r="10" spans="1:15" ht="15" thickBot="1" x14ac:dyDescent="0.4">
      <c r="A10" s="5">
        <v>1351</v>
      </c>
      <c r="B10" s="5" t="s">
        <v>42</v>
      </c>
      <c r="C10" s="5" t="s">
        <v>33</v>
      </c>
      <c r="D10" s="5" t="s">
        <v>34</v>
      </c>
      <c r="E10" s="5" t="s">
        <v>45</v>
      </c>
      <c r="F10" s="5">
        <v>12</v>
      </c>
      <c r="G10" s="5">
        <v>1272</v>
      </c>
      <c r="H10" s="5">
        <v>0</v>
      </c>
      <c r="I10" s="6">
        <v>46026</v>
      </c>
      <c r="J10" s="6">
        <v>46029</v>
      </c>
      <c r="K10" s="10" t="s">
        <v>15</v>
      </c>
      <c r="L10" s="16">
        <f t="shared" si="0"/>
        <v>3</v>
      </c>
    </row>
    <row r="11" spans="1:15" ht="15" thickBot="1" x14ac:dyDescent="0.4">
      <c r="A11" s="5">
        <v>1229</v>
      </c>
      <c r="B11" s="5" t="s">
        <v>57</v>
      </c>
      <c r="C11" s="5" t="s">
        <v>12</v>
      </c>
      <c r="D11" s="5" t="s">
        <v>18</v>
      </c>
      <c r="E11" s="5" t="s">
        <v>56</v>
      </c>
      <c r="F11" s="5">
        <v>14</v>
      </c>
      <c r="G11" s="5">
        <v>5859</v>
      </c>
      <c r="H11" s="5">
        <v>12</v>
      </c>
      <c r="I11" s="6">
        <v>46027</v>
      </c>
      <c r="J11" s="6">
        <v>46036</v>
      </c>
      <c r="K11" s="10" t="s">
        <v>20</v>
      </c>
      <c r="L11" s="16">
        <f t="shared" si="0"/>
        <v>9</v>
      </c>
    </row>
    <row r="12" spans="1:15" ht="15" thickBot="1" x14ac:dyDescent="0.4">
      <c r="A12" s="5">
        <v>1100</v>
      </c>
      <c r="B12" s="5" t="s">
        <v>11</v>
      </c>
      <c r="C12" s="5" t="s">
        <v>31</v>
      </c>
      <c r="D12" s="5" t="s">
        <v>13</v>
      </c>
      <c r="E12" s="5" t="s">
        <v>14</v>
      </c>
      <c r="F12" s="5">
        <v>11</v>
      </c>
      <c r="G12" s="5">
        <v>296</v>
      </c>
      <c r="H12" s="5">
        <v>10</v>
      </c>
      <c r="I12" s="6">
        <v>46027</v>
      </c>
      <c r="J12" s="6">
        <v>46031</v>
      </c>
      <c r="K12" s="10" t="s">
        <v>51</v>
      </c>
      <c r="L12" s="16">
        <f t="shared" si="0"/>
        <v>4</v>
      </c>
    </row>
    <row r="13" spans="1:15" ht="15" thickBot="1" x14ac:dyDescent="0.4">
      <c r="A13" s="5">
        <v>1301</v>
      </c>
      <c r="B13" s="5" t="s">
        <v>54</v>
      </c>
      <c r="C13" s="5" t="s">
        <v>17</v>
      </c>
      <c r="D13" s="5" t="s">
        <v>18</v>
      </c>
      <c r="E13" s="5" t="s">
        <v>28</v>
      </c>
      <c r="F13" s="5">
        <v>3</v>
      </c>
      <c r="G13" s="5">
        <v>7020</v>
      </c>
      <c r="H13" s="5">
        <v>10</v>
      </c>
      <c r="I13" s="6">
        <v>46028</v>
      </c>
      <c r="J13" s="6">
        <v>46038</v>
      </c>
      <c r="K13" s="10" t="s">
        <v>24</v>
      </c>
      <c r="L13" s="16">
        <f t="shared" si="0"/>
        <v>10</v>
      </c>
    </row>
    <row r="14" spans="1:15" ht="15" thickBot="1" x14ac:dyDescent="0.4">
      <c r="A14" s="5">
        <v>1148</v>
      </c>
      <c r="B14" s="5" t="s">
        <v>59</v>
      </c>
      <c r="C14" s="5" t="s">
        <v>33</v>
      </c>
      <c r="D14" s="5" t="s">
        <v>18</v>
      </c>
      <c r="E14" s="5" t="s">
        <v>28</v>
      </c>
      <c r="F14" s="5">
        <v>11</v>
      </c>
      <c r="G14" s="5">
        <v>3023</v>
      </c>
      <c r="H14" s="5">
        <v>7</v>
      </c>
      <c r="I14" s="6">
        <v>46030</v>
      </c>
      <c r="J14" s="6">
        <v>46032</v>
      </c>
      <c r="K14" s="10" t="s">
        <v>24</v>
      </c>
      <c r="L14" s="16">
        <f t="shared" si="0"/>
        <v>2</v>
      </c>
    </row>
    <row r="15" spans="1:15" ht="15" thickBot="1" x14ac:dyDescent="0.4">
      <c r="A15" s="5">
        <v>1038</v>
      </c>
      <c r="B15" s="5" t="s">
        <v>55</v>
      </c>
      <c r="C15" s="5" t="s">
        <v>17</v>
      </c>
      <c r="D15" s="5" t="s">
        <v>13</v>
      </c>
      <c r="E15" s="5" t="s">
        <v>36</v>
      </c>
      <c r="F15" s="5">
        <v>17</v>
      </c>
      <c r="G15" s="5">
        <v>223</v>
      </c>
      <c r="H15" s="5">
        <v>7</v>
      </c>
      <c r="I15" s="6">
        <v>46030</v>
      </c>
      <c r="J15" s="6">
        <v>46031</v>
      </c>
      <c r="K15" s="10" t="s">
        <v>51</v>
      </c>
      <c r="L15" s="16">
        <f t="shared" si="0"/>
        <v>1</v>
      </c>
    </row>
    <row r="16" spans="1:15" ht="15" thickBot="1" x14ac:dyDescent="0.4">
      <c r="A16" s="5">
        <v>1035</v>
      </c>
      <c r="B16" s="5" t="s">
        <v>49</v>
      </c>
      <c r="C16" s="5" t="s">
        <v>43</v>
      </c>
      <c r="D16" s="5" t="s">
        <v>18</v>
      </c>
      <c r="E16" s="5" t="s">
        <v>56</v>
      </c>
      <c r="F16" s="5">
        <v>3</v>
      </c>
      <c r="G16" s="5">
        <v>9149</v>
      </c>
      <c r="H16" s="5">
        <v>0</v>
      </c>
      <c r="I16" s="6">
        <v>46031</v>
      </c>
      <c r="J16" s="6">
        <v>46034</v>
      </c>
      <c r="K16" s="10" t="s">
        <v>24</v>
      </c>
      <c r="L16" s="16">
        <f t="shared" si="0"/>
        <v>3</v>
      </c>
    </row>
    <row r="17" spans="1:12" ht="15" thickBot="1" x14ac:dyDescent="0.4">
      <c r="A17" s="5">
        <v>1364</v>
      </c>
      <c r="B17" s="5" t="s">
        <v>30</v>
      </c>
      <c r="C17" s="5" t="s">
        <v>22</v>
      </c>
      <c r="D17" s="5" t="s">
        <v>18</v>
      </c>
      <c r="E17" s="5" t="s">
        <v>56</v>
      </c>
      <c r="F17" s="5">
        <v>16</v>
      </c>
      <c r="G17" s="5">
        <v>1744</v>
      </c>
      <c r="H17" s="5">
        <v>15</v>
      </c>
      <c r="I17" s="6">
        <v>46031</v>
      </c>
      <c r="J17" s="6">
        <v>46033</v>
      </c>
      <c r="K17" s="10" t="s">
        <v>51</v>
      </c>
      <c r="L17" s="16">
        <f t="shared" si="0"/>
        <v>2</v>
      </c>
    </row>
    <row r="18" spans="1:12" ht="15" thickBot="1" x14ac:dyDescent="0.4">
      <c r="A18" s="5">
        <v>1396</v>
      </c>
      <c r="B18" s="5" t="s">
        <v>21</v>
      </c>
      <c r="C18" s="5" t="s">
        <v>38</v>
      </c>
      <c r="D18" s="5" t="s">
        <v>13</v>
      </c>
      <c r="E18" s="5" t="s">
        <v>53</v>
      </c>
      <c r="F18" s="5">
        <v>8</v>
      </c>
      <c r="G18" s="5">
        <v>54</v>
      </c>
      <c r="H18" s="5">
        <v>15</v>
      </c>
      <c r="I18" s="6">
        <v>46031</v>
      </c>
      <c r="J18" s="6">
        <v>46035</v>
      </c>
      <c r="K18" s="10" t="s">
        <v>15</v>
      </c>
      <c r="L18" s="16">
        <f t="shared" si="0"/>
        <v>4</v>
      </c>
    </row>
    <row r="19" spans="1:12" ht="15" thickBot="1" x14ac:dyDescent="0.4">
      <c r="A19" s="5">
        <v>1330</v>
      </c>
      <c r="B19" s="5" t="s">
        <v>49</v>
      </c>
      <c r="C19" s="5" t="s">
        <v>17</v>
      </c>
      <c r="D19" s="5" t="s">
        <v>18</v>
      </c>
      <c r="E19" s="5" t="s">
        <v>19</v>
      </c>
      <c r="F19" s="5">
        <v>13</v>
      </c>
      <c r="G19" s="5">
        <v>12071</v>
      </c>
      <c r="H19" s="5">
        <v>0</v>
      </c>
      <c r="I19" s="6">
        <v>46032</v>
      </c>
      <c r="J19" s="6">
        <v>46036</v>
      </c>
      <c r="K19" s="10" t="s">
        <v>51</v>
      </c>
      <c r="L19" s="16">
        <f t="shared" si="0"/>
        <v>4</v>
      </c>
    </row>
    <row r="20" spans="1:12" ht="15" thickBot="1" x14ac:dyDescent="0.4">
      <c r="A20" s="5">
        <v>1037</v>
      </c>
      <c r="B20" s="5" t="s">
        <v>46</v>
      </c>
      <c r="C20" s="5" t="s">
        <v>43</v>
      </c>
      <c r="D20" s="5" t="s">
        <v>18</v>
      </c>
      <c r="E20" s="5" t="s">
        <v>56</v>
      </c>
      <c r="F20" s="5">
        <v>6</v>
      </c>
      <c r="G20" s="5">
        <v>14385</v>
      </c>
      <c r="H20" s="5">
        <v>12</v>
      </c>
      <c r="I20" s="6">
        <v>46033</v>
      </c>
      <c r="J20" s="6">
        <v>46043</v>
      </c>
      <c r="K20" s="10" t="s">
        <v>24</v>
      </c>
      <c r="L20" s="16">
        <f t="shared" si="0"/>
        <v>10</v>
      </c>
    </row>
    <row r="21" spans="1:12" ht="15" thickBot="1" x14ac:dyDescent="0.4">
      <c r="A21" s="5">
        <v>1109</v>
      </c>
      <c r="B21" s="5" t="s">
        <v>21</v>
      </c>
      <c r="C21" s="5" t="s">
        <v>31</v>
      </c>
      <c r="D21" s="5" t="s">
        <v>18</v>
      </c>
      <c r="E21" s="5" t="s">
        <v>44</v>
      </c>
      <c r="F21" s="5">
        <v>19</v>
      </c>
      <c r="G21" s="5">
        <v>6512</v>
      </c>
      <c r="H21" s="5">
        <v>10</v>
      </c>
      <c r="I21" s="6">
        <v>46033</v>
      </c>
      <c r="J21" s="6">
        <v>46037</v>
      </c>
      <c r="K21" s="10" t="s">
        <v>20</v>
      </c>
      <c r="L21" s="16">
        <f t="shared" si="0"/>
        <v>4</v>
      </c>
    </row>
    <row r="22" spans="1:12" ht="15" thickBot="1" x14ac:dyDescent="0.4">
      <c r="A22" s="5">
        <v>1008</v>
      </c>
      <c r="B22" s="5" t="s">
        <v>30</v>
      </c>
      <c r="C22" s="5" t="s">
        <v>31</v>
      </c>
      <c r="D22" s="5" t="s">
        <v>18</v>
      </c>
      <c r="E22" s="5" t="s">
        <v>28</v>
      </c>
      <c r="F22" s="5">
        <v>1</v>
      </c>
      <c r="G22" s="5">
        <v>1134</v>
      </c>
      <c r="H22" s="5">
        <v>0</v>
      </c>
      <c r="I22" s="6">
        <v>46033</v>
      </c>
      <c r="J22" s="6">
        <v>46041</v>
      </c>
      <c r="K22" s="10" t="s">
        <v>24</v>
      </c>
      <c r="L22" s="16">
        <f t="shared" si="0"/>
        <v>8</v>
      </c>
    </row>
    <row r="23" spans="1:12" ht="15" thickBot="1" x14ac:dyDescent="0.4">
      <c r="A23" s="5">
        <v>1181</v>
      </c>
      <c r="B23" s="5" t="s">
        <v>58</v>
      </c>
      <c r="C23" s="5" t="s">
        <v>33</v>
      </c>
      <c r="D23" s="5" t="s">
        <v>13</v>
      </c>
      <c r="E23" s="5" t="s">
        <v>36</v>
      </c>
      <c r="F23" s="5">
        <v>4</v>
      </c>
      <c r="G23" s="5">
        <v>357</v>
      </c>
      <c r="H23" s="5">
        <v>2</v>
      </c>
      <c r="I23" s="6">
        <v>46033</v>
      </c>
      <c r="J23" s="6">
        <v>46035</v>
      </c>
      <c r="K23" s="10" t="s">
        <v>15</v>
      </c>
      <c r="L23" s="16">
        <f t="shared" si="0"/>
        <v>2</v>
      </c>
    </row>
    <row r="24" spans="1:12" ht="15" thickBot="1" x14ac:dyDescent="0.4">
      <c r="A24" s="5">
        <v>1205</v>
      </c>
      <c r="B24" s="5" t="s">
        <v>21</v>
      </c>
      <c r="C24" s="5" t="s">
        <v>38</v>
      </c>
      <c r="D24" s="5" t="s">
        <v>13</v>
      </c>
      <c r="E24" s="5" t="s">
        <v>36</v>
      </c>
      <c r="F24" s="5">
        <v>1</v>
      </c>
      <c r="G24" s="5">
        <v>112</v>
      </c>
      <c r="H24" s="5">
        <v>7</v>
      </c>
      <c r="I24" s="6">
        <v>46033</v>
      </c>
      <c r="J24" s="6">
        <v>46040</v>
      </c>
      <c r="K24" s="10" t="s">
        <v>51</v>
      </c>
      <c r="L24" s="16">
        <f t="shared" si="0"/>
        <v>7</v>
      </c>
    </row>
    <row r="25" spans="1:12" ht="15" thickBot="1" x14ac:dyDescent="0.4">
      <c r="A25" s="5">
        <v>1004</v>
      </c>
      <c r="B25" s="5" t="s">
        <v>16</v>
      </c>
      <c r="C25" s="5" t="s">
        <v>25</v>
      </c>
      <c r="D25" s="5" t="s">
        <v>18</v>
      </c>
      <c r="E25" s="5" t="s">
        <v>23</v>
      </c>
      <c r="F25" s="5">
        <v>16</v>
      </c>
      <c r="G25" s="5">
        <v>11739</v>
      </c>
      <c r="H25" s="5">
        <v>12</v>
      </c>
      <c r="I25" s="6">
        <v>46034</v>
      </c>
      <c r="J25" s="6">
        <v>46040</v>
      </c>
      <c r="K25" s="10" t="s">
        <v>20</v>
      </c>
      <c r="L25" s="16">
        <f t="shared" si="0"/>
        <v>6</v>
      </c>
    </row>
    <row r="26" spans="1:12" ht="15" thickBot="1" x14ac:dyDescent="0.4">
      <c r="A26" s="5">
        <v>1072</v>
      </c>
      <c r="B26" s="5" t="s">
        <v>16</v>
      </c>
      <c r="C26" s="5" t="s">
        <v>25</v>
      </c>
      <c r="D26" s="5" t="s">
        <v>34</v>
      </c>
      <c r="E26" s="5" t="s">
        <v>61</v>
      </c>
      <c r="F26" s="5">
        <v>20</v>
      </c>
      <c r="G26" s="5">
        <v>58779</v>
      </c>
      <c r="H26" s="5">
        <v>0</v>
      </c>
      <c r="I26" s="6">
        <v>46035</v>
      </c>
      <c r="J26" s="6">
        <v>46036</v>
      </c>
      <c r="K26" s="10" t="s">
        <v>24</v>
      </c>
      <c r="L26" s="16">
        <f t="shared" si="0"/>
        <v>1</v>
      </c>
    </row>
    <row r="27" spans="1:12" ht="15" thickBot="1" x14ac:dyDescent="0.4">
      <c r="A27" s="5">
        <v>1368</v>
      </c>
      <c r="B27" s="5" t="s">
        <v>55</v>
      </c>
      <c r="C27" s="5" t="s">
        <v>38</v>
      </c>
      <c r="D27" s="5" t="s">
        <v>13</v>
      </c>
      <c r="E27" s="5" t="s">
        <v>36</v>
      </c>
      <c r="F27" s="5">
        <v>9</v>
      </c>
      <c r="G27" s="5">
        <v>115</v>
      </c>
      <c r="H27" s="5">
        <v>0</v>
      </c>
      <c r="I27" s="6">
        <v>46036</v>
      </c>
      <c r="J27" s="6">
        <v>46045</v>
      </c>
      <c r="K27" s="10" t="s">
        <v>24</v>
      </c>
      <c r="L27" s="16">
        <f t="shared" si="0"/>
        <v>9</v>
      </c>
    </row>
    <row r="28" spans="1:12" ht="15" thickBot="1" x14ac:dyDescent="0.4">
      <c r="A28" s="5">
        <v>1347</v>
      </c>
      <c r="B28" s="5" t="s">
        <v>29</v>
      </c>
      <c r="C28" s="5" t="s">
        <v>22</v>
      </c>
      <c r="D28" s="5" t="s">
        <v>34</v>
      </c>
      <c r="E28" s="5" t="s">
        <v>35</v>
      </c>
      <c r="F28" s="5">
        <v>16</v>
      </c>
      <c r="G28" s="5">
        <v>6034</v>
      </c>
      <c r="H28" s="5">
        <v>15</v>
      </c>
      <c r="I28" s="6">
        <v>46037</v>
      </c>
      <c r="J28" s="6">
        <v>46044</v>
      </c>
      <c r="K28" s="10" t="s">
        <v>24</v>
      </c>
      <c r="L28" s="16">
        <f t="shared" si="0"/>
        <v>7</v>
      </c>
    </row>
    <row r="29" spans="1:12" ht="15" thickBot="1" x14ac:dyDescent="0.4">
      <c r="A29" s="5">
        <v>1051</v>
      </c>
      <c r="B29" s="5" t="s">
        <v>58</v>
      </c>
      <c r="C29" s="5" t="s">
        <v>17</v>
      </c>
      <c r="D29" s="5" t="s">
        <v>13</v>
      </c>
      <c r="E29" s="5" t="s">
        <v>36</v>
      </c>
      <c r="F29" s="5">
        <v>12</v>
      </c>
      <c r="G29" s="5">
        <v>47</v>
      </c>
      <c r="H29" s="5">
        <v>2</v>
      </c>
      <c r="I29" s="6">
        <v>46037</v>
      </c>
      <c r="J29" s="6">
        <v>46045</v>
      </c>
      <c r="K29" s="10" t="s">
        <v>15</v>
      </c>
      <c r="L29" s="16">
        <f t="shared" si="0"/>
        <v>8</v>
      </c>
    </row>
    <row r="30" spans="1:12" ht="15" thickBot="1" x14ac:dyDescent="0.4">
      <c r="A30" s="5">
        <v>1045</v>
      </c>
      <c r="B30" s="5" t="s">
        <v>32</v>
      </c>
      <c r="C30" s="5" t="s">
        <v>38</v>
      </c>
      <c r="D30" s="5" t="s">
        <v>34</v>
      </c>
      <c r="E30" s="5" t="s">
        <v>35</v>
      </c>
      <c r="F30" s="5">
        <v>3</v>
      </c>
      <c r="G30" s="5">
        <v>62762</v>
      </c>
      <c r="H30" s="5">
        <v>7</v>
      </c>
      <c r="I30" s="6">
        <v>46038</v>
      </c>
      <c r="J30" s="6">
        <v>46039</v>
      </c>
      <c r="K30" s="10" t="s">
        <v>29</v>
      </c>
      <c r="L30" s="16">
        <f t="shared" si="0"/>
        <v>1</v>
      </c>
    </row>
    <row r="31" spans="1:12" ht="15" thickBot="1" x14ac:dyDescent="0.4">
      <c r="A31" s="5">
        <v>1334</v>
      </c>
      <c r="B31" s="5" t="s">
        <v>40</v>
      </c>
      <c r="C31" s="5" t="s">
        <v>12</v>
      </c>
      <c r="D31" s="5" t="s">
        <v>34</v>
      </c>
      <c r="E31" s="5" t="s">
        <v>41</v>
      </c>
      <c r="F31" s="5">
        <v>15</v>
      </c>
      <c r="G31" s="5">
        <v>39853</v>
      </c>
      <c r="H31" s="5">
        <v>7</v>
      </c>
      <c r="I31" s="6">
        <v>46038</v>
      </c>
      <c r="J31" s="6">
        <v>46047</v>
      </c>
      <c r="K31" s="10" t="s">
        <v>51</v>
      </c>
      <c r="L31" s="16">
        <f t="shared" si="0"/>
        <v>9</v>
      </c>
    </row>
    <row r="32" spans="1:12" ht="15" thickBot="1" x14ac:dyDescent="0.4">
      <c r="A32" s="5">
        <v>1069</v>
      </c>
      <c r="B32" s="5" t="s">
        <v>52</v>
      </c>
      <c r="C32" s="5" t="s">
        <v>31</v>
      </c>
      <c r="D32" s="5" t="s">
        <v>18</v>
      </c>
      <c r="E32" s="5" t="s">
        <v>28</v>
      </c>
      <c r="F32" s="5">
        <v>9</v>
      </c>
      <c r="G32" s="5">
        <v>4415</v>
      </c>
      <c r="H32" s="5">
        <v>5</v>
      </c>
      <c r="I32" s="6">
        <v>46039</v>
      </c>
      <c r="J32" s="6">
        <v>46046</v>
      </c>
      <c r="K32" s="10" t="s">
        <v>15</v>
      </c>
      <c r="L32" s="16">
        <f t="shared" si="0"/>
        <v>7</v>
      </c>
    </row>
    <row r="33" spans="1:12" ht="15" thickBot="1" x14ac:dyDescent="0.4">
      <c r="A33" s="5">
        <v>1246</v>
      </c>
      <c r="B33" s="5" t="s">
        <v>55</v>
      </c>
      <c r="C33" s="5" t="s">
        <v>22</v>
      </c>
      <c r="D33" s="5" t="s">
        <v>34</v>
      </c>
      <c r="E33" s="5" t="s">
        <v>35</v>
      </c>
      <c r="F33" s="5">
        <v>13</v>
      </c>
      <c r="G33" s="5">
        <v>1825</v>
      </c>
      <c r="H33" s="5">
        <v>2</v>
      </c>
      <c r="I33" s="6">
        <v>46039</v>
      </c>
      <c r="J33" s="6">
        <v>46045</v>
      </c>
      <c r="K33" s="10" t="s">
        <v>51</v>
      </c>
      <c r="L33" s="16">
        <f t="shared" si="0"/>
        <v>6</v>
      </c>
    </row>
    <row r="34" spans="1:12" ht="15" thickBot="1" x14ac:dyDescent="0.4">
      <c r="A34" s="5">
        <v>1026</v>
      </c>
      <c r="B34" s="5" t="s">
        <v>49</v>
      </c>
      <c r="C34" s="5" t="s">
        <v>31</v>
      </c>
      <c r="D34" s="5" t="s">
        <v>13</v>
      </c>
      <c r="E34" s="5" t="s">
        <v>50</v>
      </c>
      <c r="F34" s="5">
        <v>17</v>
      </c>
      <c r="G34" s="5">
        <v>323</v>
      </c>
      <c r="H34" s="5">
        <v>10</v>
      </c>
      <c r="I34" s="6">
        <v>46039</v>
      </c>
      <c r="J34" s="6">
        <v>46040</v>
      </c>
      <c r="K34" s="10" t="s">
        <v>29</v>
      </c>
      <c r="L34" s="16">
        <f t="shared" si="0"/>
        <v>1</v>
      </c>
    </row>
    <row r="35" spans="1:12" ht="15" thickBot="1" x14ac:dyDescent="0.4">
      <c r="A35" s="5">
        <v>1260</v>
      </c>
      <c r="B35" s="5" t="s">
        <v>54</v>
      </c>
      <c r="C35" s="5" t="s">
        <v>38</v>
      </c>
      <c r="D35" s="5" t="s">
        <v>34</v>
      </c>
      <c r="E35" s="5" t="s">
        <v>41</v>
      </c>
      <c r="F35" s="5">
        <v>19</v>
      </c>
      <c r="G35" s="5">
        <v>54981</v>
      </c>
      <c r="H35" s="5">
        <v>10</v>
      </c>
      <c r="I35" s="6">
        <v>46040</v>
      </c>
      <c r="J35" s="6">
        <v>46045</v>
      </c>
      <c r="K35" s="10" t="s">
        <v>29</v>
      </c>
      <c r="L35" s="16">
        <f t="shared" si="0"/>
        <v>5</v>
      </c>
    </row>
    <row r="36" spans="1:12" ht="15" thickBot="1" x14ac:dyDescent="0.4">
      <c r="A36" s="5">
        <v>1103</v>
      </c>
      <c r="B36" s="5" t="s">
        <v>16</v>
      </c>
      <c r="C36" s="5" t="s">
        <v>12</v>
      </c>
      <c r="D36" s="5" t="s">
        <v>18</v>
      </c>
      <c r="E36" s="5" t="s">
        <v>23</v>
      </c>
      <c r="F36" s="5">
        <v>7</v>
      </c>
      <c r="G36" s="5">
        <v>11925</v>
      </c>
      <c r="H36" s="5">
        <v>5</v>
      </c>
      <c r="I36" s="6">
        <v>46040</v>
      </c>
      <c r="J36" s="6">
        <v>46041</v>
      </c>
      <c r="K36" s="10" t="s">
        <v>29</v>
      </c>
      <c r="L36" s="16">
        <f t="shared" si="0"/>
        <v>1</v>
      </c>
    </row>
    <row r="37" spans="1:12" ht="15" thickBot="1" x14ac:dyDescent="0.4">
      <c r="A37" s="5">
        <v>1135</v>
      </c>
      <c r="B37" s="5" t="s">
        <v>49</v>
      </c>
      <c r="C37" s="5" t="s">
        <v>43</v>
      </c>
      <c r="D37" s="5" t="s">
        <v>34</v>
      </c>
      <c r="E37" s="5" t="s">
        <v>39</v>
      </c>
      <c r="F37" s="5">
        <v>14</v>
      </c>
      <c r="G37" s="5">
        <v>68534</v>
      </c>
      <c r="H37" s="5">
        <v>0</v>
      </c>
      <c r="I37" s="6">
        <v>46041</v>
      </c>
      <c r="J37" s="6">
        <v>46042</v>
      </c>
      <c r="K37" s="10" t="s">
        <v>15</v>
      </c>
      <c r="L37" s="16">
        <f t="shared" si="0"/>
        <v>1</v>
      </c>
    </row>
    <row r="38" spans="1:12" ht="15" thickBot="1" x14ac:dyDescent="0.4">
      <c r="A38" s="5">
        <v>1228</v>
      </c>
      <c r="B38" s="5" t="s">
        <v>29</v>
      </c>
      <c r="C38" s="5" t="s">
        <v>25</v>
      </c>
      <c r="D38" s="5" t="s">
        <v>34</v>
      </c>
      <c r="E38" s="5" t="s">
        <v>45</v>
      </c>
      <c r="F38" s="5">
        <v>16</v>
      </c>
      <c r="G38" s="5">
        <v>17477</v>
      </c>
      <c r="H38" s="5">
        <v>10</v>
      </c>
      <c r="I38" s="6">
        <v>46041</v>
      </c>
      <c r="J38" s="6">
        <v>46043</v>
      </c>
      <c r="K38" s="10" t="s">
        <v>24</v>
      </c>
      <c r="L38" s="16">
        <f t="shared" si="0"/>
        <v>2</v>
      </c>
    </row>
    <row r="39" spans="1:12" ht="15" thickBot="1" x14ac:dyDescent="0.4">
      <c r="A39" s="5">
        <v>1313</v>
      </c>
      <c r="B39" s="5" t="s">
        <v>59</v>
      </c>
      <c r="C39" s="5" t="s">
        <v>22</v>
      </c>
      <c r="D39" s="5" t="s">
        <v>18</v>
      </c>
      <c r="E39" s="5" t="s">
        <v>56</v>
      </c>
      <c r="F39" s="5">
        <v>6</v>
      </c>
      <c r="G39" s="5">
        <v>10864</v>
      </c>
      <c r="H39" s="5">
        <v>10</v>
      </c>
      <c r="I39" s="6">
        <v>46041</v>
      </c>
      <c r="J39" s="6">
        <v>46049</v>
      </c>
      <c r="K39" s="10" t="s">
        <v>15</v>
      </c>
      <c r="L39" s="16">
        <f t="shared" si="0"/>
        <v>8</v>
      </c>
    </row>
    <row r="40" spans="1:12" ht="15" thickBot="1" x14ac:dyDescent="0.4">
      <c r="A40" s="5">
        <v>1208</v>
      </c>
      <c r="B40" s="5" t="s">
        <v>54</v>
      </c>
      <c r="C40" s="5" t="s">
        <v>43</v>
      </c>
      <c r="D40" s="5" t="s">
        <v>18</v>
      </c>
      <c r="E40" s="5" t="s">
        <v>44</v>
      </c>
      <c r="F40" s="5">
        <v>6</v>
      </c>
      <c r="G40" s="5">
        <v>7627</v>
      </c>
      <c r="H40" s="5">
        <v>10</v>
      </c>
      <c r="I40" s="6">
        <v>46042</v>
      </c>
      <c r="J40" s="6">
        <v>46047</v>
      </c>
      <c r="K40" s="10" t="s">
        <v>20</v>
      </c>
      <c r="L40" s="16">
        <f t="shared" si="0"/>
        <v>5</v>
      </c>
    </row>
    <row r="41" spans="1:12" ht="15" thickBot="1" x14ac:dyDescent="0.4">
      <c r="A41" s="5">
        <v>1165</v>
      </c>
      <c r="B41" s="5" t="s">
        <v>48</v>
      </c>
      <c r="C41" s="5" t="s">
        <v>25</v>
      </c>
      <c r="D41" s="5" t="s">
        <v>13</v>
      </c>
      <c r="E41" s="5" t="s">
        <v>37</v>
      </c>
      <c r="F41" s="5">
        <v>1</v>
      </c>
      <c r="G41" s="5">
        <v>427</v>
      </c>
      <c r="H41" s="5">
        <v>0</v>
      </c>
      <c r="I41" s="6">
        <v>46042</v>
      </c>
      <c r="J41" s="6">
        <v>46050</v>
      </c>
      <c r="K41" s="10" t="s">
        <v>51</v>
      </c>
      <c r="L41" s="16">
        <f t="shared" si="0"/>
        <v>8</v>
      </c>
    </row>
    <row r="42" spans="1:12" ht="15" thickBot="1" x14ac:dyDescent="0.4">
      <c r="A42" s="5">
        <v>1304</v>
      </c>
      <c r="B42" s="5" t="s">
        <v>59</v>
      </c>
      <c r="C42" s="5" t="s">
        <v>25</v>
      </c>
      <c r="D42" s="5" t="s">
        <v>13</v>
      </c>
      <c r="E42" s="5" t="s">
        <v>36</v>
      </c>
      <c r="F42" s="5">
        <v>20</v>
      </c>
      <c r="G42" s="5">
        <v>368</v>
      </c>
      <c r="H42" s="5">
        <v>7</v>
      </c>
      <c r="I42" s="6">
        <v>46042</v>
      </c>
      <c r="J42" s="6">
        <v>46051</v>
      </c>
      <c r="K42" s="10" t="s">
        <v>51</v>
      </c>
      <c r="L42" s="16">
        <f t="shared" si="0"/>
        <v>9</v>
      </c>
    </row>
    <row r="43" spans="1:12" ht="15" thickBot="1" x14ac:dyDescent="0.4">
      <c r="A43" s="5">
        <v>1141</v>
      </c>
      <c r="B43" s="5" t="s">
        <v>11</v>
      </c>
      <c r="C43" s="5" t="s">
        <v>17</v>
      </c>
      <c r="D43" s="5" t="s">
        <v>18</v>
      </c>
      <c r="E43" s="5" t="s">
        <v>44</v>
      </c>
      <c r="F43" s="5">
        <v>20</v>
      </c>
      <c r="G43" s="5">
        <v>6835</v>
      </c>
      <c r="H43" s="5">
        <v>2</v>
      </c>
      <c r="I43" s="6">
        <v>46043</v>
      </c>
      <c r="J43" s="6">
        <v>46053</v>
      </c>
      <c r="K43" s="10" t="s">
        <v>15</v>
      </c>
      <c r="L43" s="16">
        <f t="shared" si="0"/>
        <v>10</v>
      </c>
    </row>
    <row r="44" spans="1:12" ht="15" thickBot="1" x14ac:dyDescent="0.4">
      <c r="A44" s="5">
        <v>1389</v>
      </c>
      <c r="B44" s="5" t="s">
        <v>32</v>
      </c>
      <c r="C44" s="5" t="s">
        <v>12</v>
      </c>
      <c r="D44" s="5" t="s">
        <v>34</v>
      </c>
      <c r="E44" s="5" t="s">
        <v>41</v>
      </c>
      <c r="F44" s="5">
        <v>3</v>
      </c>
      <c r="G44" s="5">
        <v>56380</v>
      </c>
      <c r="H44" s="5">
        <v>5</v>
      </c>
      <c r="I44" s="6">
        <v>46044</v>
      </c>
      <c r="J44" s="6">
        <v>46048</v>
      </c>
      <c r="K44" s="10" t="s">
        <v>51</v>
      </c>
      <c r="L44" s="16">
        <f t="shared" si="0"/>
        <v>4</v>
      </c>
    </row>
    <row r="45" spans="1:12" ht="15" thickBot="1" x14ac:dyDescent="0.4">
      <c r="A45" s="5">
        <v>1226</v>
      </c>
      <c r="B45" s="5" t="s">
        <v>29</v>
      </c>
      <c r="C45" s="5" t="s">
        <v>31</v>
      </c>
      <c r="D45" s="5" t="s">
        <v>34</v>
      </c>
      <c r="E45" s="5" t="s">
        <v>41</v>
      </c>
      <c r="F45" s="5">
        <v>13</v>
      </c>
      <c r="G45" s="5">
        <v>21332</v>
      </c>
      <c r="H45" s="5">
        <v>0</v>
      </c>
      <c r="I45" s="6">
        <v>46044</v>
      </c>
      <c r="J45" s="6">
        <v>46048</v>
      </c>
      <c r="K45" s="10" t="s">
        <v>29</v>
      </c>
      <c r="L45" s="16">
        <f t="shared" si="0"/>
        <v>4</v>
      </c>
    </row>
    <row r="46" spans="1:12" ht="15" thickBot="1" x14ac:dyDescent="0.4">
      <c r="A46" s="5">
        <v>1128</v>
      </c>
      <c r="B46" s="5" t="s">
        <v>30</v>
      </c>
      <c r="C46" s="5" t="s">
        <v>22</v>
      </c>
      <c r="D46" s="5" t="s">
        <v>34</v>
      </c>
      <c r="E46" s="5" t="s">
        <v>61</v>
      </c>
      <c r="F46" s="5">
        <v>6</v>
      </c>
      <c r="G46" s="5">
        <v>5001</v>
      </c>
      <c r="H46" s="5">
        <v>7</v>
      </c>
      <c r="I46" s="6">
        <v>46044</v>
      </c>
      <c r="J46" s="6">
        <v>46050</v>
      </c>
      <c r="K46" s="10" t="s">
        <v>29</v>
      </c>
      <c r="L46" s="16">
        <f t="shared" si="0"/>
        <v>6</v>
      </c>
    </row>
    <row r="47" spans="1:12" ht="15" thickBot="1" x14ac:dyDescent="0.4">
      <c r="A47" s="5">
        <v>1197</v>
      </c>
      <c r="B47" s="5" t="s">
        <v>52</v>
      </c>
      <c r="C47" s="5" t="s">
        <v>31</v>
      </c>
      <c r="D47" s="5" t="s">
        <v>34</v>
      </c>
      <c r="E47" s="5" t="s">
        <v>35</v>
      </c>
      <c r="F47" s="5">
        <v>5</v>
      </c>
      <c r="G47" s="5">
        <v>45352</v>
      </c>
      <c r="H47" s="5">
        <v>12</v>
      </c>
      <c r="I47" s="6">
        <v>46045</v>
      </c>
      <c r="J47" s="6">
        <v>46048</v>
      </c>
      <c r="K47" s="10" t="s">
        <v>15</v>
      </c>
      <c r="L47" s="16">
        <f t="shared" si="0"/>
        <v>3</v>
      </c>
    </row>
    <row r="48" spans="1:12" ht="15" thickBot="1" x14ac:dyDescent="0.4">
      <c r="A48" s="5">
        <v>1076</v>
      </c>
      <c r="B48" s="5" t="s">
        <v>29</v>
      </c>
      <c r="C48" s="5" t="s">
        <v>17</v>
      </c>
      <c r="D48" s="5" t="s">
        <v>34</v>
      </c>
      <c r="E48" s="5" t="s">
        <v>35</v>
      </c>
      <c r="F48" s="5">
        <v>19</v>
      </c>
      <c r="G48" s="5">
        <v>26714</v>
      </c>
      <c r="H48" s="5">
        <v>5</v>
      </c>
      <c r="I48" s="6">
        <v>46045</v>
      </c>
      <c r="J48" s="6">
        <v>46055</v>
      </c>
      <c r="K48" s="10" t="s">
        <v>29</v>
      </c>
      <c r="L48" s="16">
        <f t="shared" si="0"/>
        <v>10</v>
      </c>
    </row>
    <row r="49" spans="1:12" ht="15" thickBot="1" x14ac:dyDescent="0.4">
      <c r="A49" s="5">
        <v>1224</v>
      </c>
      <c r="B49" s="5" t="s">
        <v>30</v>
      </c>
      <c r="C49" s="5" t="s">
        <v>38</v>
      </c>
      <c r="D49" s="5" t="s">
        <v>34</v>
      </c>
      <c r="E49" s="5" t="s">
        <v>45</v>
      </c>
      <c r="F49" s="5">
        <v>16</v>
      </c>
      <c r="G49" s="5">
        <v>18378</v>
      </c>
      <c r="H49" s="5">
        <v>10</v>
      </c>
      <c r="I49" s="6">
        <v>46045</v>
      </c>
      <c r="J49" s="6">
        <v>46052</v>
      </c>
      <c r="K49" s="10" t="s">
        <v>24</v>
      </c>
      <c r="L49" s="16">
        <f t="shared" si="0"/>
        <v>7</v>
      </c>
    </row>
    <row r="50" spans="1:12" ht="15" thickBot="1" x14ac:dyDescent="0.4">
      <c r="A50" s="5">
        <v>1293</v>
      </c>
      <c r="B50" s="5" t="s">
        <v>49</v>
      </c>
      <c r="C50" s="5" t="s">
        <v>43</v>
      </c>
      <c r="D50" s="5" t="s">
        <v>18</v>
      </c>
      <c r="E50" s="5" t="s">
        <v>23</v>
      </c>
      <c r="F50" s="5">
        <v>7</v>
      </c>
      <c r="G50" s="5">
        <v>11481</v>
      </c>
      <c r="H50" s="5">
        <v>15</v>
      </c>
      <c r="I50" s="6">
        <v>46045</v>
      </c>
      <c r="J50" s="6">
        <v>46050</v>
      </c>
      <c r="K50" s="10" t="s">
        <v>20</v>
      </c>
      <c r="L50" s="16">
        <f t="shared" si="0"/>
        <v>5</v>
      </c>
    </row>
    <row r="51" spans="1:12" ht="15" thickBot="1" x14ac:dyDescent="0.4">
      <c r="A51" s="5">
        <v>1086</v>
      </c>
      <c r="B51" s="5" t="s">
        <v>32</v>
      </c>
      <c r="C51" s="5" t="s">
        <v>12</v>
      </c>
      <c r="D51" s="5" t="s">
        <v>13</v>
      </c>
      <c r="E51" s="5" t="s">
        <v>53</v>
      </c>
      <c r="F51" s="5">
        <v>15</v>
      </c>
      <c r="G51" s="5">
        <v>40</v>
      </c>
      <c r="H51" s="5">
        <v>10</v>
      </c>
      <c r="I51" s="6">
        <v>46045</v>
      </c>
      <c r="J51" s="6">
        <v>46049</v>
      </c>
      <c r="K51" s="10" t="s">
        <v>24</v>
      </c>
      <c r="L51" s="16">
        <f t="shared" si="0"/>
        <v>4</v>
      </c>
    </row>
    <row r="52" spans="1:12" ht="15" thickBot="1" x14ac:dyDescent="0.4">
      <c r="A52" s="5">
        <v>1029</v>
      </c>
      <c r="B52" s="5" t="s">
        <v>30</v>
      </c>
      <c r="C52" s="5" t="s">
        <v>25</v>
      </c>
      <c r="D52" s="5" t="s">
        <v>13</v>
      </c>
      <c r="E52" s="5" t="s">
        <v>36</v>
      </c>
      <c r="F52" s="5">
        <v>18</v>
      </c>
      <c r="G52" s="5">
        <v>443</v>
      </c>
      <c r="H52" s="5">
        <v>5</v>
      </c>
      <c r="I52" s="6">
        <v>46046</v>
      </c>
      <c r="J52" s="6">
        <v>46054</v>
      </c>
      <c r="K52" s="10" t="s">
        <v>24</v>
      </c>
      <c r="L52" s="16">
        <f t="shared" si="0"/>
        <v>8</v>
      </c>
    </row>
    <row r="53" spans="1:12" ht="15" thickBot="1" x14ac:dyDescent="0.4">
      <c r="A53" s="5">
        <v>1366</v>
      </c>
      <c r="B53" s="5" t="s">
        <v>26</v>
      </c>
      <c r="C53" s="5" t="s">
        <v>17</v>
      </c>
      <c r="D53" s="5" t="s">
        <v>34</v>
      </c>
      <c r="E53" s="5" t="s">
        <v>61</v>
      </c>
      <c r="F53" s="5">
        <v>20</v>
      </c>
      <c r="G53" s="5">
        <v>44312</v>
      </c>
      <c r="H53" s="5">
        <v>10</v>
      </c>
      <c r="I53" s="6">
        <v>46047</v>
      </c>
      <c r="J53" s="6">
        <v>46054</v>
      </c>
      <c r="K53" s="10" t="s">
        <v>29</v>
      </c>
      <c r="L53" s="16">
        <f t="shared" si="0"/>
        <v>7</v>
      </c>
    </row>
    <row r="54" spans="1:12" ht="15" thickBot="1" x14ac:dyDescent="0.4">
      <c r="A54" s="5">
        <v>1393</v>
      </c>
      <c r="B54" s="5" t="s">
        <v>30</v>
      </c>
      <c r="C54" s="5" t="s">
        <v>25</v>
      </c>
      <c r="D54" s="5" t="s">
        <v>34</v>
      </c>
      <c r="E54" s="5" t="s">
        <v>45</v>
      </c>
      <c r="F54" s="5">
        <v>17</v>
      </c>
      <c r="G54" s="5">
        <v>30351</v>
      </c>
      <c r="H54" s="5">
        <v>15</v>
      </c>
      <c r="I54" s="6">
        <v>46047</v>
      </c>
      <c r="J54" s="6">
        <v>46051</v>
      </c>
      <c r="K54" s="10" t="s">
        <v>51</v>
      </c>
      <c r="L54" s="16">
        <f t="shared" si="0"/>
        <v>4</v>
      </c>
    </row>
    <row r="55" spans="1:12" ht="15" thickBot="1" x14ac:dyDescent="0.4">
      <c r="A55" s="5">
        <v>1084</v>
      </c>
      <c r="B55" s="5" t="s">
        <v>49</v>
      </c>
      <c r="C55" s="5" t="s">
        <v>31</v>
      </c>
      <c r="D55" s="5" t="s">
        <v>18</v>
      </c>
      <c r="E55" s="5" t="s">
        <v>28</v>
      </c>
      <c r="F55" s="5">
        <v>4</v>
      </c>
      <c r="G55" s="5">
        <v>6901</v>
      </c>
      <c r="H55" s="5">
        <v>10</v>
      </c>
      <c r="I55" s="6">
        <v>46047</v>
      </c>
      <c r="J55" s="6">
        <v>46057</v>
      </c>
      <c r="K55" s="10" t="s">
        <v>20</v>
      </c>
      <c r="L55" s="16">
        <f t="shared" si="0"/>
        <v>10</v>
      </c>
    </row>
    <row r="56" spans="1:12" ht="15" thickBot="1" x14ac:dyDescent="0.4">
      <c r="A56" s="5">
        <v>1385</v>
      </c>
      <c r="B56" s="5" t="s">
        <v>26</v>
      </c>
      <c r="C56" s="5" t="s">
        <v>33</v>
      </c>
      <c r="D56" s="5" t="s">
        <v>34</v>
      </c>
      <c r="E56" s="5" t="s">
        <v>39</v>
      </c>
      <c r="F56" s="5">
        <v>12</v>
      </c>
      <c r="G56" s="5">
        <v>61360</v>
      </c>
      <c r="H56" s="5">
        <v>10</v>
      </c>
      <c r="I56" s="6">
        <v>46048</v>
      </c>
      <c r="J56" s="6">
        <v>46053</v>
      </c>
      <c r="K56" s="10" t="s">
        <v>51</v>
      </c>
      <c r="L56" s="16">
        <f t="shared" si="0"/>
        <v>5</v>
      </c>
    </row>
    <row r="57" spans="1:12" ht="15" thickBot="1" x14ac:dyDescent="0.4">
      <c r="A57" s="5">
        <v>1176</v>
      </c>
      <c r="B57" s="5" t="s">
        <v>58</v>
      </c>
      <c r="C57" s="5" t="s">
        <v>38</v>
      </c>
      <c r="D57" s="5" t="s">
        <v>34</v>
      </c>
      <c r="E57" s="5" t="s">
        <v>41</v>
      </c>
      <c r="F57" s="5">
        <v>17</v>
      </c>
      <c r="G57" s="5">
        <v>46937</v>
      </c>
      <c r="H57" s="5">
        <v>12</v>
      </c>
      <c r="I57" s="6">
        <v>46048</v>
      </c>
      <c r="J57" s="6">
        <v>46056</v>
      </c>
      <c r="K57" s="10" t="s">
        <v>29</v>
      </c>
      <c r="L57" s="16">
        <f t="shared" si="0"/>
        <v>8</v>
      </c>
    </row>
    <row r="58" spans="1:12" ht="15" thickBot="1" x14ac:dyDescent="0.4">
      <c r="A58" s="5">
        <v>1307</v>
      </c>
      <c r="B58" s="5" t="s">
        <v>57</v>
      </c>
      <c r="C58" s="5" t="s">
        <v>43</v>
      </c>
      <c r="D58" s="5" t="s">
        <v>34</v>
      </c>
      <c r="E58" s="5" t="s">
        <v>35</v>
      </c>
      <c r="F58" s="5">
        <v>18</v>
      </c>
      <c r="G58" s="5">
        <v>7541</v>
      </c>
      <c r="H58" s="5">
        <v>12</v>
      </c>
      <c r="I58" s="6">
        <v>46048</v>
      </c>
      <c r="J58" s="6">
        <v>46051</v>
      </c>
      <c r="K58" s="10" t="s">
        <v>51</v>
      </c>
      <c r="L58" s="16">
        <f t="shared" si="0"/>
        <v>3</v>
      </c>
    </row>
    <row r="59" spans="1:12" ht="15" thickBot="1" x14ac:dyDescent="0.4">
      <c r="A59" s="5">
        <v>1348</v>
      </c>
      <c r="B59" s="5" t="s">
        <v>11</v>
      </c>
      <c r="C59" s="5" t="s">
        <v>33</v>
      </c>
      <c r="D59" s="5" t="s">
        <v>13</v>
      </c>
      <c r="E59" s="5" t="s">
        <v>50</v>
      </c>
      <c r="F59" s="5">
        <v>12</v>
      </c>
      <c r="G59" s="5">
        <v>244</v>
      </c>
      <c r="H59" s="5">
        <v>7</v>
      </c>
      <c r="I59" s="6">
        <v>46048</v>
      </c>
      <c r="J59" s="6">
        <v>46053</v>
      </c>
      <c r="K59" s="10" t="s">
        <v>15</v>
      </c>
      <c r="L59" s="16">
        <f t="shared" si="0"/>
        <v>5</v>
      </c>
    </row>
    <row r="60" spans="1:12" ht="15" thickBot="1" x14ac:dyDescent="0.4">
      <c r="A60" s="5">
        <v>1092</v>
      </c>
      <c r="B60" s="5" t="s">
        <v>21</v>
      </c>
      <c r="C60" s="5" t="s">
        <v>22</v>
      </c>
      <c r="D60" s="5" t="s">
        <v>34</v>
      </c>
      <c r="E60" s="5" t="s">
        <v>41</v>
      </c>
      <c r="F60" s="5">
        <v>9</v>
      </c>
      <c r="G60" s="5">
        <v>23438</v>
      </c>
      <c r="H60" s="5">
        <v>2</v>
      </c>
      <c r="I60" s="6">
        <v>46049</v>
      </c>
      <c r="J60" s="6">
        <v>46055</v>
      </c>
      <c r="K60" s="10" t="s">
        <v>29</v>
      </c>
      <c r="L60" s="16">
        <f t="shared" si="0"/>
        <v>6</v>
      </c>
    </row>
    <row r="61" spans="1:12" ht="15" thickBot="1" x14ac:dyDescent="0.4">
      <c r="A61" s="5">
        <v>1116</v>
      </c>
      <c r="B61" s="5" t="s">
        <v>16</v>
      </c>
      <c r="C61" s="5" t="s">
        <v>25</v>
      </c>
      <c r="D61" s="5" t="s">
        <v>18</v>
      </c>
      <c r="E61" s="5" t="s">
        <v>56</v>
      </c>
      <c r="F61" s="5">
        <v>2</v>
      </c>
      <c r="G61" s="5">
        <v>12692</v>
      </c>
      <c r="H61" s="5">
        <v>15</v>
      </c>
      <c r="I61" s="6">
        <v>46049</v>
      </c>
      <c r="J61" s="6">
        <v>46051</v>
      </c>
      <c r="K61" s="10" t="s">
        <v>15</v>
      </c>
      <c r="L61" s="16">
        <f t="shared" si="0"/>
        <v>2</v>
      </c>
    </row>
    <row r="62" spans="1:12" ht="15" thickBot="1" x14ac:dyDescent="0.4">
      <c r="A62" s="5">
        <v>1230</v>
      </c>
      <c r="B62" s="5" t="s">
        <v>59</v>
      </c>
      <c r="C62" s="5" t="s">
        <v>33</v>
      </c>
      <c r="D62" s="5" t="s">
        <v>34</v>
      </c>
      <c r="E62" s="5" t="s">
        <v>60</v>
      </c>
      <c r="F62" s="5">
        <v>7</v>
      </c>
      <c r="G62" s="5">
        <v>2932</v>
      </c>
      <c r="H62" s="5">
        <v>7</v>
      </c>
      <c r="I62" s="6">
        <v>46050</v>
      </c>
      <c r="J62" s="6">
        <v>46059</v>
      </c>
      <c r="K62" s="10" t="s">
        <v>24</v>
      </c>
      <c r="L62" s="16">
        <f t="shared" si="0"/>
        <v>9</v>
      </c>
    </row>
    <row r="63" spans="1:12" ht="15" thickBot="1" x14ac:dyDescent="0.4">
      <c r="A63" s="5">
        <v>1173</v>
      </c>
      <c r="B63" s="5" t="s">
        <v>40</v>
      </c>
      <c r="C63" s="5" t="s">
        <v>17</v>
      </c>
      <c r="D63" s="5" t="s">
        <v>13</v>
      </c>
      <c r="E63" s="5" t="s">
        <v>37</v>
      </c>
      <c r="F63" s="5">
        <v>15</v>
      </c>
      <c r="G63" s="5">
        <v>214</v>
      </c>
      <c r="H63" s="5">
        <v>10</v>
      </c>
      <c r="I63" s="6">
        <v>46050</v>
      </c>
      <c r="J63" s="6">
        <v>46060</v>
      </c>
      <c r="K63" s="10" t="s">
        <v>51</v>
      </c>
      <c r="L63" s="16">
        <f t="shared" si="0"/>
        <v>10</v>
      </c>
    </row>
    <row r="64" spans="1:12" ht="15" thickBot="1" x14ac:dyDescent="0.4">
      <c r="A64" s="5">
        <v>1250</v>
      </c>
      <c r="B64" s="5" t="s">
        <v>11</v>
      </c>
      <c r="C64" s="5" t="s">
        <v>17</v>
      </c>
      <c r="D64" s="5" t="s">
        <v>34</v>
      </c>
      <c r="E64" s="5" t="s">
        <v>45</v>
      </c>
      <c r="F64" s="5">
        <v>2</v>
      </c>
      <c r="G64" s="5">
        <v>65953</v>
      </c>
      <c r="H64" s="5">
        <v>7</v>
      </c>
      <c r="I64" s="6">
        <v>46051</v>
      </c>
      <c r="J64" s="6">
        <v>46053</v>
      </c>
      <c r="K64" s="10" t="s">
        <v>29</v>
      </c>
      <c r="L64" s="16">
        <f t="shared" si="0"/>
        <v>2</v>
      </c>
    </row>
    <row r="65" spans="1:12" ht="15" thickBot="1" x14ac:dyDescent="0.4">
      <c r="A65" s="5">
        <v>1375</v>
      </c>
      <c r="B65" s="5" t="s">
        <v>46</v>
      </c>
      <c r="C65" s="5" t="s">
        <v>43</v>
      </c>
      <c r="D65" s="5" t="s">
        <v>34</v>
      </c>
      <c r="E65" s="5" t="s">
        <v>45</v>
      </c>
      <c r="F65" s="5">
        <v>20</v>
      </c>
      <c r="G65" s="5">
        <v>56766</v>
      </c>
      <c r="H65" s="5">
        <v>0</v>
      </c>
      <c r="I65" s="6">
        <v>46052</v>
      </c>
      <c r="J65" s="6">
        <v>46061</v>
      </c>
      <c r="K65" s="10" t="s">
        <v>24</v>
      </c>
      <c r="L65" s="16">
        <f t="shared" si="0"/>
        <v>9</v>
      </c>
    </row>
    <row r="66" spans="1:12" ht="15" thickBot="1" x14ac:dyDescent="0.4">
      <c r="A66" s="5">
        <v>1190</v>
      </c>
      <c r="B66" s="5" t="s">
        <v>57</v>
      </c>
      <c r="C66" s="5" t="s">
        <v>17</v>
      </c>
      <c r="D66" s="5" t="s">
        <v>18</v>
      </c>
      <c r="E66" s="5" t="s">
        <v>28</v>
      </c>
      <c r="F66" s="5">
        <v>4</v>
      </c>
      <c r="G66" s="5">
        <v>10154</v>
      </c>
      <c r="H66" s="5">
        <v>7</v>
      </c>
      <c r="I66" s="6">
        <v>46052</v>
      </c>
      <c r="J66" s="6">
        <v>46062</v>
      </c>
      <c r="K66" s="10" t="s">
        <v>20</v>
      </c>
      <c r="L66" s="16">
        <f t="shared" si="0"/>
        <v>10</v>
      </c>
    </row>
    <row r="67" spans="1:12" ht="15" thickBot="1" x14ac:dyDescent="0.4">
      <c r="A67" s="5">
        <v>1034</v>
      </c>
      <c r="B67" s="5" t="s">
        <v>55</v>
      </c>
      <c r="C67" s="5" t="s">
        <v>33</v>
      </c>
      <c r="D67" s="5" t="s">
        <v>18</v>
      </c>
      <c r="E67" s="5" t="s">
        <v>28</v>
      </c>
      <c r="F67" s="5">
        <v>17</v>
      </c>
      <c r="G67" s="5">
        <v>5104</v>
      </c>
      <c r="H67" s="5">
        <v>12</v>
      </c>
      <c r="I67" s="6">
        <v>46052</v>
      </c>
      <c r="J67" s="6">
        <v>46061</v>
      </c>
      <c r="K67" s="10" t="s">
        <v>51</v>
      </c>
      <c r="L67" s="16">
        <f t="shared" ref="L67:L130" si="1">J67-I67</f>
        <v>9</v>
      </c>
    </row>
    <row r="68" spans="1:12" ht="15" thickBot="1" x14ac:dyDescent="0.4">
      <c r="A68" s="5">
        <v>1210</v>
      </c>
      <c r="B68" s="5" t="s">
        <v>30</v>
      </c>
      <c r="C68" s="5" t="s">
        <v>31</v>
      </c>
      <c r="D68" s="5" t="s">
        <v>13</v>
      </c>
      <c r="E68" s="5" t="s">
        <v>53</v>
      </c>
      <c r="F68" s="5">
        <v>10</v>
      </c>
      <c r="G68" s="5">
        <v>349</v>
      </c>
      <c r="H68" s="5">
        <v>0</v>
      </c>
      <c r="I68" s="6">
        <v>46052</v>
      </c>
      <c r="J68" s="6">
        <v>46060</v>
      </c>
      <c r="K68" s="10" t="s">
        <v>29</v>
      </c>
      <c r="L68" s="16">
        <f t="shared" si="1"/>
        <v>8</v>
      </c>
    </row>
    <row r="69" spans="1:12" ht="15" thickBot="1" x14ac:dyDescent="0.4">
      <c r="A69" s="5">
        <v>1149</v>
      </c>
      <c r="B69" s="5" t="s">
        <v>26</v>
      </c>
      <c r="C69" s="5" t="s">
        <v>38</v>
      </c>
      <c r="D69" s="5" t="s">
        <v>34</v>
      </c>
      <c r="E69" s="5" t="s">
        <v>35</v>
      </c>
      <c r="F69" s="5">
        <v>10</v>
      </c>
      <c r="G69" s="5">
        <v>22853</v>
      </c>
      <c r="H69" s="5">
        <v>7</v>
      </c>
      <c r="I69" s="6">
        <v>46053</v>
      </c>
      <c r="J69" s="6">
        <v>46054</v>
      </c>
      <c r="K69" s="10" t="s">
        <v>29</v>
      </c>
      <c r="L69" s="16">
        <f t="shared" si="1"/>
        <v>1</v>
      </c>
    </row>
    <row r="70" spans="1:12" ht="15" thickBot="1" x14ac:dyDescent="0.4">
      <c r="A70" s="5">
        <v>1324</v>
      </c>
      <c r="B70" s="5" t="s">
        <v>32</v>
      </c>
      <c r="C70" s="5" t="s">
        <v>22</v>
      </c>
      <c r="D70" s="5" t="s">
        <v>18</v>
      </c>
      <c r="E70" s="5" t="s">
        <v>19</v>
      </c>
      <c r="F70" s="5">
        <v>1</v>
      </c>
      <c r="G70" s="5">
        <v>4286</v>
      </c>
      <c r="H70" s="5">
        <v>15</v>
      </c>
      <c r="I70" s="6">
        <v>46053</v>
      </c>
      <c r="J70" s="6">
        <v>46056</v>
      </c>
      <c r="K70" s="10" t="s">
        <v>20</v>
      </c>
      <c r="L70" s="16">
        <f t="shared" si="1"/>
        <v>3</v>
      </c>
    </row>
    <row r="71" spans="1:12" ht="15" thickBot="1" x14ac:dyDescent="0.4">
      <c r="A71" s="5">
        <v>1096</v>
      </c>
      <c r="B71" s="5" t="s">
        <v>49</v>
      </c>
      <c r="C71" s="5" t="s">
        <v>17</v>
      </c>
      <c r="D71" s="5" t="s">
        <v>18</v>
      </c>
      <c r="E71" s="5" t="s">
        <v>23</v>
      </c>
      <c r="F71" s="5">
        <v>15</v>
      </c>
      <c r="G71" s="5">
        <v>14724</v>
      </c>
      <c r="H71" s="5">
        <v>15</v>
      </c>
      <c r="I71" s="6">
        <v>46054</v>
      </c>
      <c r="J71" s="6">
        <v>46061</v>
      </c>
      <c r="K71" s="10" t="s">
        <v>20</v>
      </c>
      <c r="L71" s="16">
        <f t="shared" si="1"/>
        <v>7</v>
      </c>
    </row>
    <row r="72" spans="1:12" ht="15" thickBot="1" x14ac:dyDescent="0.4">
      <c r="A72" s="5">
        <v>1006</v>
      </c>
      <c r="B72" s="5" t="s">
        <v>27</v>
      </c>
      <c r="C72" s="5" t="s">
        <v>25</v>
      </c>
      <c r="D72" s="5" t="s">
        <v>18</v>
      </c>
      <c r="E72" s="5" t="s">
        <v>28</v>
      </c>
      <c r="F72" s="5">
        <v>3</v>
      </c>
      <c r="G72" s="5">
        <v>2714</v>
      </c>
      <c r="H72" s="5">
        <v>5</v>
      </c>
      <c r="I72" s="6">
        <v>46055</v>
      </c>
      <c r="J72" s="6">
        <v>46062</v>
      </c>
      <c r="K72" s="10" t="s">
        <v>29</v>
      </c>
      <c r="L72" s="16">
        <f t="shared" si="1"/>
        <v>7</v>
      </c>
    </row>
    <row r="73" spans="1:12" ht="15" thickBot="1" x14ac:dyDescent="0.4">
      <c r="A73" s="5">
        <v>1285</v>
      </c>
      <c r="B73" s="5" t="s">
        <v>32</v>
      </c>
      <c r="C73" s="5" t="s">
        <v>38</v>
      </c>
      <c r="D73" s="5" t="s">
        <v>13</v>
      </c>
      <c r="E73" s="5" t="s">
        <v>36</v>
      </c>
      <c r="F73" s="5">
        <v>7</v>
      </c>
      <c r="G73" s="5">
        <v>439</v>
      </c>
      <c r="H73" s="5">
        <v>15</v>
      </c>
      <c r="I73" s="6">
        <v>46055</v>
      </c>
      <c r="J73" s="6">
        <v>46058</v>
      </c>
      <c r="K73" s="10" t="s">
        <v>20</v>
      </c>
      <c r="L73" s="16">
        <f t="shared" si="1"/>
        <v>3</v>
      </c>
    </row>
    <row r="74" spans="1:12" ht="15" thickBot="1" x14ac:dyDescent="0.4">
      <c r="A74" s="5">
        <v>1281</v>
      </c>
      <c r="B74" s="5" t="s">
        <v>55</v>
      </c>
      <c r="C74" s="5" t="s">
        <v>17</v>
      </c>
      <c r="D74" s="5" t="s">
        <v>13</v>
      </c>
      <c r="E74" s="5" t="s">
        <v>50</v>
      </c>
      <c r="F74" s="5">
        <v>6</v>
      </c>
      <c r="G74" s="5">
        <v>253</v>
      </c>
      <c r="H74" s="5">
        <v>0</v>
      </c>
      <c r="I74" s="6">
        <v>46055</v>
      </c>
      <c r="J74" s="6">
        <v>46063</v>
      </c>
      <c r="K74" s="10" t="s">
        <v>24</v>
      </c>
      <c r="L74" s="16">
        <f t="shared" si="1"/>
        <v>8</v>
      </c>
    </row>
    <row r="75" spans="1:12" ht="15" thickBot="1" x14ac:dyDescent="0.4">
      <c r="A75" s="5">
        <v>1136</v>
      </c>
      <c r="B75" s="5" t="s">
        <v>27</v>
      </c>
      <c r="C75" s="5" t="s">
        <v>43</v>
      </c>
      <c r="D75" s="5" t="s">
        <v>18</v>
      </c>
      <c r="E75" s="5" t="s">
        <v>56</v>
      </c>
      <c r="F75" s="5">
        <v>19</v>
      </c>
      <c r="G75" s="5">
        <v>14528</v>
      </c>
      <c r="H75" s="5">
        <v>12</v>
      </c>
      <c r="I75" s="6">
        <v>46056</v>
      </c>
      <c r="J75" s="6">
        <v>46062</v>
      </c>
      <c r="K75" s="10" t="s">
        <v>24</v>
      </c>
      <c r="L75" s="16">
        <f t="shared" si="1"/>
        <v>6</v>
      </c>
    </row>
    <row r="76" spans="1:12" ht="15" thickBot="1" x14ac:dyDescent="0.4">
      <c r="A76" s="5">
        <v>1394</v>
      </c>
      <c r="B76" s="5" t="s">
        <v>54</v>
      </c>
      <c r="C76" s="5" t="s">
        <v>12</v>
      </c>
      <c r="D76" s="5" t="s">
        <v>13</v>
      </c>
      <c r="E76" s="5" t="s">
        <v>14</v>
      </c>
      <c r="F76" s="5">
        <v>10</v>
      </c>
      <c r="G76" s="5">
        <v>138</v>
      </c>
      <c r="H76" s="5">
        <v>2</v>
      </c>
      <c r="I76" s="6">
        <v>46056</v>
      </c>
      <c r="J76" s="6">
        <v>46057</v>
      </c>
      <c r="K76" s="10" t="s">
        <v>15</v>
      </c>
      <c r="L76" s="16">
        <f t="shared" si="1"/>
        <v>1</v>
      </c>
    </row>
    <row r="77" spans="1:12" ht="15" thickBot="1" x14ac:dyDescent="0.4">
      <c r="A77" s="5">
        <v>1105</v>
      </c>
      <c r="B77" s="5" t="s">
        <v>59</v>
      </c>
      <c r="C77" s="5" t="s">
        <v>25</v>
      </c>
      <c r="D77" s="5" t="s">
        <v>13</v>
      </c>
      <c r="E77" s="5" t="s">
        <v>50</v>
      </c>
      <c r="F77" s="5">
        <v>2</v>
      </c>
      <c r="G77" s="5">
        <v>493</v>
      </c>
      <c r="H77" s="5">
        <v>12</v>
      </c>
      <c r="I77" s="6">
        <v>46057</v>
      </c>
      <c r="J77" s="6">
        <v>46066</v>
      </c>
      <c r="K77" s="10" t="s">
        <v>51</v>
      </c>
      <c r="L77" s="16">
        <f t="shared" si="1"/>
        <v>9</v>
      </c>
    </row>
    <row r="78" spans="1:12" ht="15" thickBot="1" x14ac:dyDescent="0.4">
      <c r="A78" s="5">
        <v>1256</v>
      </c>
      <c r="B78" s="5" t="s">
        <v>48</v>
      </c>
      <c r="C78" s="5" t="s">
        <v>31</v>
      </c>
      <c r="D78" s="5" t="s">
        <v>13</v>
      </c>
      <c r="E78" s="5" t="s">
        <v>50</v>
      </c>
      <c r="F78" s="5">
        <v>19</v>
      </c>
      <c r="G78" s="5">
        <v>406</v>
      </c>
      <c r="H78" s="5">
        <v>7</v>
      </c>
      <c r="I78" s="6">
        <v>46057</v>
      </c>
      <c r="J78" s="6">
        <v>46061</v>
      </c>
      <c r="K78" s="10" t="s">
        <v>15</v>
      </c>
      <c r="L78" s="16">
        <f t="shared" si="1"/>
        <v>4</v>
      </c>
    </row>
    <row r="79" spans="1:12" ht="15" thickBot="1" x14ac:dyDescent="0.4">
      <c r="A79" s="5">
        <v>1081</v>
      </c>
      <c r="B79" s="5" t="s">
        <v>47</v>
      </c>
      <c r="C79" s="5" t="s">
        <v>12</v>
      </c>
      <c r="D79" s="5" t="s">
        <v>34</v>
      </c>
      <c r="E79" s="5" t="s">
        <v>35</v>
      </c>
      <c r="F79" s="5">
        <v>15</v>
      </c>
      <c r="G79" s="5">
        <v>59912</v>
      </c>
      <c r="H79" s="5">
        <v>7</v>
      </c>
      <c r="I79" s="6">
        <v>46058</v>
      </c>
      <c r="J79" s="6">
        <v>46060</v>
      </c>
      <c r="K79" s="10" t="s">
        <v>51</v>
      </c>
      <c r="L79" s="16">
        <f t="shared" si="1"/>
        <v>2</v>
      </c>
    </row>
    <row r="80" spans="1:12" ht="15" thickBot="1" x14ac:dyDescent="0.4">
      <c r="A80" s="5">
        <v>1067</v>
      </c>
      <c r="B80" s="5" t="s">
        <v>32</v>
      </c>
      <c r="C80" s="5" t="s">
        <v>43</v>
      </c>
      <c r="D80" s="5" t="s">
        <v>18</v>
      </c>
      <c r="E80" s="5" t="s">
        <v>56</v>
      </c>
      <c r="F80" s="5">
        <v>14</v>
      </c>
      <c r="G80" s="5">
        <v>10869</v>
      </c>
      <c r="H80" s="5">
        <v>0</v>
      </c>
      <c r="I80" s="6">
        <v>46058</v>
      </c>
      <c r="J80" s="6">
        <v>46062</v>
      </c>
      <c r="K80" s="10" t="s">
        <v>29</v>
      </c>
      <c r="L80" s="16">
        <f t="shared" si="1"/>
        <v>4</v>
      </c>
    </row>
    <row r="81" spans="1:12" ht="15" thickBot="1" x14ac:dyDescent="0.4">
      <c r="A81" s="5">
        <v>1099</v>
      </c>
      <c r="B81" s="5" t="s">
        <v>26</v>
      </c>
      <c r="C81" s="5" t="s">
        <v>31</v>
      </c>
      <c r="D81" s="5" t="s">
        <v>18</v>
      </c>
      <c r="E81" s="5" t="s">
        <v>19</v>
      </c>
      <c r="F81" s="5">
        <v>1</v>
      </c>
      <c r="G81" s="5">
        <v>5165</v>
      </c>
      <c r="H81" s="5">
        <v>2</v>
      </c>
      <c r="I81" s="6">
        <v>46058</v>
      </c>
      <c r="J81" s="6">
        <v>46060</v>
      </c>
      <c r="K81" s="10" t="s">
        <v>15</v>
      </c>
      <c r="L81" s="16">
        <f t="shared" si="1"/>
        <v>2</v>
      </c>
    </row>
    <row r="82" spans="1:12" ht="15" thickBot="1" x14ac:dyDescent="0.4">
      <c r="A82" s="5">
        <v>1061</v>
      </c>
      <c r="B82" s="5" t="s">
        <v>57</v>
      </c>
      <c r="C82" s="5" t="s">
        <v>12</v>
      </c>
      <c r="D82" s="5" t="s">
        <v>34</v>
      </c>
      <c r="E82" s="5" t="s">
        <v>41</v>
      </c>
      <c r="F82" s="5">
        <v>16</v>
      </c>
      <c r="G82" s="5">
        <v>59084</v>
      </c>
      <c r="H82" s="5">
        <v>0</v>
      </c>
      <c r="I82" s="6">
        <v>46060</v>
      </c>
      <c r="J82" s="6">
        <v>46069</v>
      </c>
      <c r="K82" s="10" t="s">
        <v>20</v>
      </c>
      <c r="L82" s="16">
        <f t="shared" si="1"/>
        <v>9</v>
      </c>
    </row>
    <row r="83" spans="1:12" ht="15" thickBot="1" x14ac:dyDescent="0.4">
      <c r="A83" s="5">
        <v>1232</v>
      </c>
      <c r="B83" s="5" t="s">
        <v>21</v>
      </c>
      <c r="C83" s="5" t="s">
        <v>12</v>
      </c>
      <c r="D83" s="5" t="s">
        <v>34</v>
      </c>
      <c r="E83" s="5" t="s">
        <v>60</v>
      </c>
      <c r="F83" s="5">
        <v>3</v>
      </c>
      <c r="G83" s="5">
        <v>13272</v>
      </c>
      <c r="H83" s="5">
        <v>2</v>
      </c>
      <c r="I83" s="6">
        <v>46060</v>
      </c>
      <c r="J83" s="6">
        <v>46065</v>
      </c>
      <c r="K83" s="10" t="s">
        <v>15</v>
      </c>
      <c r="L83" s="16">
        <f t="shared" si="1"/>
        <v>5</v>
      </c>
    </row>
    <row r="84" spans="1:12" ht="15" thickBot="1" x14ac:dyDescent="0.4">
      <c r="A84" s="5">
        <v>1104</v>
      </c>
      <c r="B84" s="5" t="s">
        <v>16</v>
      </c>
      <c r="C84" s="5" t="s">
        <v>43</v>
      </c>
      <c r="D84" s="5" t="s">
        <v>18</v>
      </c>
      <c r="E84" s="5" t="s">
        <v>19</v>
      </c>
      <c r="F84" s="5">
        <v>10</v>
      </c>
      <c r="G84" s="5">
        <v>12848</v>
      </c>
      <c r="H84" s="5">
        <v>15</v>
      </c>
      <c r="I84" s="6">
        <v>46060</v>
      </c>
      <c r="J84" s="6">
        <v>46064</v>
      </c>
      <c r="K84" s="10" t="s">
        <v>29</v>
      </c>
      <c r="L84" s="16">
        <f t="shared" si="1"/>
        <v>4</v>
      </c>
    </row>
    <row r="85" spans="1:12" ht="15" thickBot="1" x14ac:dyDescent="0.4">
      <c r="A85" s="5">
        <v>1140</v>
      </c>
      <c r="B85" s="5" t="s">
        <v>57</v>
      </c>
      <c r="C85" s="5" t="s">
        <v>38</v>
      </c>
      <c r="D85" s="5" t="s">
        <v>34</v>
      </c>
      <c r="E85" s="5" t="s">
        <v>41</v>
      </c>
      <c r="F85" s="5">
        <v>5</v>
      </c>
      <c r="G85" s="5">
        <v>68012</v>
      </c>
      <c r="H85" s="5">
        <v>5</v>
      </c>
      <c r="I85" s="6">
        <v>46061</v>
      </c>
      <c r="J85" s="6">
        <v>46065</v>
      </c>
      <c r="K85" s="10" t="s">
        <v>15</v>
      </c>
      <c r="L85" s="16">
        <f t="shared" si="1"/>
        <v>4</v>
      </c>
    </row>
    <row r="86" spans="1:12" ht="15" thickBot="1" x14ac:dyDescent="0.4">
      <c r="A86" s="5">
        <v>1120</v>
      </c>
      <c r="B86" s="5" t="s">
        <v>32</v>
      </c>
      <c r="C86" s="5" t="s">
        <v>38</v>
      </c>
      <c r="D86" s="5" t="s">
        <v>13</v>
      </c>
      <c r="E86" s="5" t="s">
        <v>36</v>
      </c>
      <c r="F86" s="5">
        <v>10</v>
      </c>
      <c r="G86" s="5">
        <v>438</v>
      </c>
      <c r="H86" s="5">
        <v>10</v>
      </c>
      <c r="I86" s="6">
        <v>46061</v>
      </c>
      <c r="J86" s="6">
        <v>46065</v>
      </c>
      <c r="K86" s="10" t="s">
        <v>51</v>
      </c>
      <c r="L86" s="16">
        <f t="shared" si="1"/>
        <v>4</v>
      </c>
    </row>
    <row r="87" spans="1:12" ht="15" thickBot="1" x14ac:dyDescent="0.4">
      <c r="A87" s="5">
        <v>1395</v>
      </c>
      <c r="B87" s="5" t="s">
        <v>54</v>
      </c>
      <c r="C87" s="5" t="s">
        <v>33</v>
      </c>
      <c r="D87" s="5" t="s">
        <v>18</v>
      </c>
      <c r="E87" s="5" t="s">
        <v>44</v>
      </c>
      <c r="F87" s="5">
        <v>18</v>
      </c>
      <c r="G87" s="5">
        <v>10402</v>
      </c>
      <c r="H87" s="5">
        <v>15</v>
      </c>
      <c r="I87" s="6">
        <v>46062</v>
      </c>
      <c r="J87" s="6">
        <v>46067</v>
      </c>
      <c r="K87" s="10" t="s">
        <v>29</v>
      </c>
      <c r="L87" s="16">
        <f t="shared" si="1"/>
        <v>5</v>
      </c>
    </row>
    <row r="88" spans="1:12" ht="15" thickBot="1" x14ac:dyDescent="0.4">
      <c r="A88" s="5">
        <v>1152</v>
      </c>
      <c r="B88" s="5" t="s">
        <v>27</v>
      </c>
      <c r="C88" s="5" t="s">
        <v>31</v>
      </c>
      <c r="D88" s="5" t="s">
        <v>34</v>
      </c>
      <c r="E88" s="5" t="s">
        <v>61</v>
      </c>
      <c r="F88" s="5">
        <v>14</v>
      </c>
      <c r="G88" s="5">
        <v>8150</v>
      </c>
      <c r="H88" s="5">
        <v>10</v>
      </c>
      <c r="I88" s="6">
        <v>46062</v>
      </c>
      <c r="J88" s="6">
        <v>46070</v>
      </c>
      <c r="K88" s="10" t="s">
        <v>15</v>
      </c>
      <c r="L88" s="16">
        <f t="shared" si="1"/>
        <v>8</v>
      </c>
    </row>
    <row r="89" spans="1:12" ht="15" thickBot="1" x14ac:dyDescent="0.4">
      <c r="A89" s="5">
        <v>1369</v>
      </c>
      <c r="B89" s="5" t="s">
        <v>57</v>
      </c>
      <c r="C89" s="5" t="s">
        <v>25</v>
      </c>
      <c r="D89" s="5" t="s">
        <v>18</v>
      </c>
      <c r="E89" s="5" t="s">
        <v>19</v>
      </c>
      <c r="F89" s="5">
        <v>19</v>
      </c>
      <c r="G89" s="5">
        <v>5840</v>
      </c>
      <c r="H89" s="5">
        <v>5</v>
      </c>
      <c r="I89" s="6">
        <v>46062</v>
      </c>
      <c r="J89" s="6">
        <v>46067</v>
      </c>
      <c r="K89" s="10" t="s">
        <v>15</v>
      </c>
      <c r="L89" s="16">
        <f t="shared" si="1"/>
        <v>5</v>
      </c>
    </row>
    <row r="90" spans="1:12" ht="15" thickBot="1" x14ac:dyDescent="0.4">
      <c r="A90" s="5">
        <v>1010</v>
      </c>
      <c r="B90" s="5" t="s">
        <v>11</v>
      </c>
      <c r="C90" s="5" t="s">
        <v>17</v>
      </c>
      <c r="D90" s="5" t="s">
        <v>13</v>
      </c>
      <c r="E90" s="5" t="s">
        <v>36</v>
      </c>
      <c r="F90" s="5">
        <v>14</v>
      </c>
      <c r="G90" s="5">
        <v>470</v>
      </c>
      <c r="H90" s="5">
        <v>5</v>
      </c>
      <c r="I90" s="6">
        <v>46062</v>
      </c>
      <c r="J90" s="6">
        <v>46068</v>
      </c>
      <c r="K90" s="10" t="s">
        <v>15</v>
      </c>
      <c r="L90" s="16">
        <f t="shared" si="1"/>
        <v>6</v>
      </c>
    </row>
    <row r="91" spans="1:12" ht="15" thickBot="1" x14ac:dyDescent="0.4">
      <c r="A91" s="5">
        <v>1374</v>
      </c>
      <c r="B91" s="5" t="s">
        <v>57</v>
      </c>
      <c r="C91" s="5" t="s">
        <v>33</v>
      </c>
      <c r="D91" s="5" t="s">
        <v>34</v>
      </c>
      <c r="E91" s="5" t="s">
        <v>35</v>
      </c>
      <c r="F91" s="5">
        <v>12</v>
      </c>
      <c r="G91" s="5">
        <v>66052</v>
      </c>
      <c r="H91" s="5">
        <v>2</v>
      </c>
      <c r="I91" s="6">
        <v>46063</v>
      </c>
      <c r="J91" s="6">
        <v>46066</v>
      </c>
      <c r="K91" s="10" t="s">
        <v>51</v>
      </c>
      <c r="L91" s="16">
        <f t="shared" si="1"/>
        <v>3</v>
      </c>
    </row>
    <row r="92" spans="1:12" ht="15" thickBot="1" x14ac:dyDescent="0.4">
      <c r="A92" s="5">
        <v>1296</v>
      </c>
      <c r="B92" s="5" t="s">
        <v>26</v>
      </c>
      <c r="C92" s="5" t="s">
        <v>38</v>
      </c>
      <c r="D92" s="5" t="s">
        <v>13</v>
      </c>
      <c r="E92" s="5" t="s">
        <v>50</v>
      </c>
      <c r="F92" s="5">
        <v>6</v>
      </c>
      <c r="G92" s="5">
        <v>201</v>
      </c>
      <c r="H92" s="5">
        <v>0</v>
      </c>
      <c r="I92" s="6">
        <v>46063</v>
      </c>
      <c r="J92" s="6">
        <v>46072</v>
      </c>
      <c r="K92" s="10" t="s">
        <v>51</v>
      </c>
      <c r="L92" s="16">
        <f t="shared" si="1"/>
        <v>9</v>
      </c>
    </row>
    <row r="93" spans="1:12" ht="15" thickBot="1" x14ac:dyDescent="0.4">
      <c r="A93" s="5">
        <v>1142</v>
      </c>
      <c r="B93" s="5" t="s">
        <v>40</v>
      </c>
      <c r="C93" s="5" t="s">
        <v>25</v>
      </c>
      <c r="D93" s="5" t="s">
        <v>34</v>
      </c>
      <c r="E93" s="5" t="s">
        <v>60</v>
      </c>
      <c r="F93" s="5">
        <v>9</v>
      </c>
      <c r="G93" s="5">
        <v>59788</v>
      </c>
      <c r="H93" s="5">
        <v>7</v>
      </c>
      <c r="I93" s="6">
        <v>46064</v>
      </c>
      <c r="J93" s="6">
        <v>46071</v>
      </c>
      <c r="K93" s="10" t="s">
        <v>29</v>
      </c>
      <c r="L93" s="16">
        <f t="shared" si="1"/>
        <v>7</v>
      </c>
    </row>
    <row r="94" spans="1:12" ht="15" thickBot="1" x14ac:dyDescent="0.4">
      <c r="A94" s="5">
        <v>1053</v>
      </c>
      <c r="B94" s="5" t="s">
        <v>16</v>
      </c>
      <c r="C94" s="5" t="s">
        <v>33</v>
      </c>
      <c r="D94" s="5" t="s">
        <v>18</v>
      </c>
      <c r="E94" s="5" t="s">
        <v>28</v>
      </c>
      <c r="F94" s="5">
        <v>1</v>
      </c>
      <c r="G94" s="5">
        <v>9749</v>
      </c>
      <c r="H94" s="5">
        <v>15</v>
      </c>
      <c r="I94" s="6">
        <v>46064</v>
      </c>
      <c r="J94" s="6">
        <v>46070</v>
      </c>
      <c r="K94" s="10" t="s">
        <v>24</v>
      </c>
      <c r="L94" s="16">
        <f t="shared" si="1"/>
        <v>6</v>
      </c>
    </row>
    <row r="95" spans="1:12" ht="15" thickBot="1" x14ac:dyDescent="0.4">
      <c r="A95" s="5">
        <v>1089</v>
      </c>
      <c r="B95" s="5" t="s">
        <v>46</v>
      </c>
      <c r="C95" s="5" t="s">
        <v>12</v>
      </c>
      <c r="D95" s="5" t="s">
        <v>34</v>
      </c>
      <c r="E95" s="5" t="s">
        <v>35</v>
      </c>
      <c r="F95" s="5">
        <v>10</v>
      </c>
      <c r="G95" s="5">
        <v>17041</v>
      </c>
      <c r="H95" s="5">
        <v>2</v>
      </c>
      <c r="I95" s="6">
        <v>46066</v>
      </c>
      <c r="J95" s="6">
        <v>46071</v>
      </c>
      <c r="K95" s="10" t="s">
        <v>24</v>
      </c>
      <c r="L95" s="16">
        <f t="shared" si="1"/>
        <v>5</v>
      </c>
    </row>
    <row r="96" spans="1:12" ht="15" thickBot="1" x14ac:dyDescent="0.4">
      <c r="A96" s="5">
        <v>1174</v>
      </c>
      <c r="B96" s="5" t="s">
        <v>58</v>
      </c>
      <c r="C96" s="5" t="s">
        <v>38</v>
      </c>
      <c r="D96" s="5" t="s">
        <v>13</v>
      </c>
      <c r="E96" s="5" t="s">
        <v>14</v>
      </c>
      <c r="F96" s="5">
        <v>13</v>
      </c>
      <c r="G96" s="5">
        <v>155</v>
      </c>
      <c r="H96" s="5">
        <v>2</v>
      </c>
      <c r="I96" s="6">
        <v>46066</v>
      </c>
      <c r="J96" s="6">
        <v>46069</v>
      </c>
      <c r="K96" s="10" t="s">
        <v>24</v>
      </c>
      <c r="L96" s="16">
        <f t="shared" si="1"/>
        <v>3</v>
      </c>
    </row>
    <row r="97" spans="1:12" ht="15" thickBot="1" x14ac:dyDescent="0.4">
      <c r="A97" s="5">
        <v>1114</v>
      </c>
      <c r="B97" s="5" t="s">
        <v>16</v>
      </c>
      <c r="C97" s="5" t="s">
        <v>25</v>
      </c>
      <c r="D97" s="5" t="s">
        <v>13</v>
      </c>
      <c r="E97" s="5" t="s">
        <v>50</v>
      </c>
      <c r="F97" s="5">
        <v>13</v>
      </c>
      <c r="G97" s="5">
        <v>32</v>
      </c>
      <c r="H97" s="5">
        <v>15</v>
      </c>
      <c r="I97" s="6">
        <v>46066</v>
      </c>
      <c r="J97" s="6">
        <v>46069</v>
      </c>
      <c r="K97" s="10" t="s">
        <v>15</v>
      </c>
      <c r="L97" s="16">
        <f t="shared" si="1"/>
        <v>3</v>
      </c>
    </row>
    <row r="98" spans="1:12" ht="15" thickBot="1" x14ac:dyDescent="0.4">
      <c r="A98" s="5">
        <v>1057</v>
      </c>
      <c r="B98" s="5" t="s">
        <v>59</v>
      </c>
      <c r="C98" s="5" t="s">
        <v>22</v>
      </c>
      <c r="D98" s="5" t="s">
        <v>18</v>
      </c>
      <c r="E98" s="5" t="s">
        <v>28</v>
      </c>
      <c r="F98" s="5">
        <v>2</v>
      </c>
      <c r="G98" s="5">
        <v>9531</v>
      </c>
      <c r="H98" s="5">
        <v>15</v>
      </c>
      <c r="I98" s="6">
        <v>46067</v>
      </c>
      <c r="J98" s="6">
        <v>46076</v>
      </c>
      <c r="K98" s="10" t="s">
        <v>51</v>
      </c>
      <c r="L98" s="16">
        <f t="shared" si="1"/>
        <v>9</v>
      </c>
    </row>
    <row r="99" spans="1:12" ht="15" thickBot="1" x14ac:dyDescent="0.4">
      <c r="A99" s="5">
        <v>1088</v>
      </c>
      <c r="B99" s="5" t="s">
        <v>40</v>
      </c>
      <c r="C99" s="5" t="s">
        <v>33</v>
      </c>
      <c r="D99" s="5" t="s">
        <v>34</v>
      </c>
      <c r="E99" s="5" t="s">
        <v>41</v>
      </c>
      <c r="F99" s="5">
        <v>20</v>
      </c>
      <c r="G99" s="5">
        <v>41165</v>
      </c>
      <c r="H99" s="5">
        <v>0</v>
      </c>
      <c r="I99" s="6">
        <v>46068</v>
      </c>
      <c r="J99" s="6">
        <v>46069</v>
      </c>
      <c r="K99" s="10" t="s">
        <v>20</v>
      </c>
      <c r="L99" s="16">
        <f t="shared" si="1"/>
        <v>1</v>
      </c>
    </row>
    <row r="100" spans="1:12" ht="15" thickBot="1" x14ac:dyDescent="0.4">
      <c r="A100" s="5">
        <v>1243</v>
      </c>
      <c r="B100" s="5" t="s">
        <v>30</v>
      </c>
      <c r="C100" s="5" t="s">
        <v>31</v>
      </c>
      <c r="D100" s="5" t="s">
        <v>34</v>
      </c>
      <c r="E100" s="5" t="s">
        <v>41</v>
      </c>
      <c r="F100" s="5">
        <v>5</v>
      </c>
      <c r="G100" s="5">
        <v>11570</v>
      </c>
      <c r="H100" s="5">
        <v>15</v>
      </c>
      <c r="I100" s="6">
        <v>46069</v>
      </c>
      <c r="J100" s="6">
        <v>46077</v>
      </c>
      <c r="K100" s="10" t="s">
        <v>24</v>
      </c>
      <c r="L100" s="16">
        <f t="shared" si="1"/>
        <v>8</v>
      </c>
    </row>
    <row r="101" spans="1:12" ht="15" thickBot="1" x14ac:dyDescent="0.4">
      <c r="A101" s="5">
        <v>1153</v>
      </c>
      <c r="B101" s="5" t="s">
        <v>42</v>
      </c>
      <c r="C101" s="5" t="s">
        <v>25</v>
      </c>
      <c r="D101" s="5" t="s">
        <v>18</v>
      </c>
      <c r="E101" s="5" t="s">
        <v>23</v>
      </c>
      <c r="F101" s="5">
        <v>19</v>
      </c>
      <c r="G101" s="5">
        <v>10273</v>
      </c>
      <c r="H101" s="5">
        <v>12</v>
      </c>
      <c r="I101" s="6">
        <v>46069</v>
      </c>
      <c r="J101" s="6">
        <v>46072</v>
      </c>
      <c r="K101" s="10" t="s">
        <v>29</v>
      </c>
      <c r="L101" s="16">
        <f t="shared" si="1"/>
        <v>3</v>
      </c>
    </row>
    <row r="102" spans="1:12" ht="15" thickBot="1" x14ac:dyDescent="0.4">
      <c r="A102" s="5">
        <v>1365</v>
      </c>
      <c r="B102" s="5" t="s">
        <v>46</v>
      </c>
      <c r="C102" s="5" t="s">
        <v>33</v>
      </c>
      <c r="D102" s="5" t="s">
        <v>13</v>
      </c>
      <c r="E102" s="5" t="s">
        <v>50</v>
      </c>
      <c r="F102" s="5">
        <v>17</v>
      </c>
      <c r="G102" s="5">
        <v>119</v>
      </c>
      <c r="H102" s="5">
        <v>7</v>
      </c>
      <c r="I102" s="6">
        <v>46070</v>
      </c>
      <c r="J102" s="6">
        <v>46072</v>
      </c>
      <c r="K102" s="10" t="s">
        <v>20</v>
      </c>
      <c r="L102" s="16">
        <f t="shared" si="1"/>
        <v>2</v>
      </c>
    </row>
    <row r="103" spans="1:12" ht="15" thickBot="1" x14ac:dyDescent="0.4">
      <c r="A103" s="5">
        <v>1036</v>
      </c>
      <c r="B103" s="5" t="s">
        <v>11</v>
      </c>
      <c r="C103" s="5" t="s">
        <v>25</v>
      </c>
      <c r="D103" s="5" t="s">
        <v>13</v>
      </c>
      <c r="E103" s="5" t="s">
        <v>36</v>
      </c>
      <c r="F103" s="5">
        <v>20</v>
      </c>
      <c r="G103" s="5">
        <v>161</v>
      </c>
      <c r="H103" s="5">
        <v>7</v>
      </c>
      <c r="I103" s="6">
        <v>46071</v>
      </c>
      <c r="J103" s="6">
        <v>46077</v>
      </c>
      <c r="K103" s="10" t="s">
        <v>24</v>
      </c>
      <c r="L103" s="16">
        <f t="shared" si="1"/>
        <v>6</v>
      </c>
    </row>
    <row r="104" spans="1:12" ht="15" thickBot="1" x14ac:dyDescent="0.4">
      <c r="A104" s="5">
        <v>1371</v>
      </c>
      <c r="B104" s="5" t="s">
        <v>48</v>
      </c>
      <c r="C104" s="5" t="s">
        <v>38</v>
      </c>
      <c r="D104" s="5" t="s">
        <v>18</v>
      </c>
      <c r="E104" s="5" t="s">
        <v>19</v>
      </c>
      <c r="F104" s="5">
        <v>19</v>
      </c>
      <c r="G104" s="5">
        <v>1087</v>
      </c>
      <c r="H104" s="5">
        <v>15</v>
      </c>
      <c r="I104" s="6">
        <v>46072</v>
      </c>
      <c r="J104" s="6">
        <v>46082</v>
      </c>
      <c r="K104" s="10" t="s">
        <v>20</v>
      </c>
      <c r="L104" s="16">
        <f t="shared" si="1"/>
        <v>10</v>
      </c>
    </row>
    <row r="105" spans="1:12" ht="15" thickBot="1" x14ac:dyDescent="0.4">
      <c r="A105" s="5">
        <v>1323</v>
      </c>
      <c r="B105" s="5" t="s">
        <v>57</v>
      </c>
      <c r="C105" s="5" t="s">
        <v>38</v>
      </c>
      <c r="D105" s="5" t="s">
        <v>34</v>
      </c>
      <c r="E105" s="5" t="s">
        <v>61</v>
      </c>
      <c r="F105" s="5">
        <v>2</v>
      </c>
      <c r="G105" s="5">
        <v>32074</v>
      </c>
      <c r="H105" s="5">
        <v>10</v>
      </c>
      <c r="I105" s="6">
        <v>46073</v>
      </c>
      <c r="J105" s="6">
        <v>46078</v>
      </c>
      <c r="K105" s="10" t="s">
        <v>15</v>
      </c>
      <c r="L105" s="16">
        <f t="shared" si="1"/>
        <v>5</v>
      </c>
    </row>
    <row r="106" spans="1:12" ht="15" thickBot="1" x14ac:dyDescent="0.4">
      <c r="A106" s="5">
        <v>1253</v>
      </c>
      <c r="B106" s="5" t="s">
        <v>21</v>
      </c>
      <c r="C106" s="5" t="s">
        <v>31</v>
      </c>
      <c r="D106" s="5" t="s">
        <v>34</v>
      </c>
      <c r="E106" s="5" t="s">
        <v>45</v>
      </c>
      <c r="F106" s="5">
        <v>20</v>
      </c>
      <c r="G106" s="5">
        <v>47880</v>
      </c>
      <c r="H106" s="5">
        <v>7</v>
      </c>
      <c r="I106" s="6">
        <v>46074</v>
      </c>
      <c r="J106" s="6">
        <v>46075</v>
      </c>
      <c r="K106" s="10" t="s">
        <v>29</v>
      </c>
      <c r="L106" s="16">
        <f t="shared" si="1"/>
        <v>1</v>
      </c>
    </row>
    <row r="107" spans="1:12" ht="15" thickBot="1" x14ac:dyDescent="0.4">
      <c r="A107" s="5">
        <v>1384</v>
      </c>
      <c r="B107" s="5" t="s">
        <v>59</v>
      </c>
      <c r="C107" s="5" t="s">
        <v>12</v>
      </c>
      <c r="D107" s="5" t="s">
        <v>34</v>
      </c>
      <c r="E107" s="5" t="s">
        <v>39</v>
      </c>
      <c r="F107" s="5">
        <v>15</v>
      </c>
      <c r="G107" s="5">
        <v>38116</v>
      </c>
      <c r="H107" s="5">
        <v>0</v>
      </c>
      <c r="I107" s="6">
        <v>46074</v>
      </c>
      <c r="J107" s="6">
        <v>46078</v>
      </c>
      <c r="K107" s="10" t="s">
        <v>29</v>
      </c>
      <c r="L107" s="16">
        <f t="shared" si="1"/>
        <v>4</v>
      </c>
    </row>
    <row r="108" spans="1:12" ht="15" thickBot="1" x14ac:dyDescent="0.4">
      <c r="A108" s="5">
        <v>1378</v>
      </c>
      <c r="B108" s="5" t="s">
        <v>55</v>
      </c>
      <c r="C108" s="5" t="s">
        <v>22</v>
      </c>
      <c r="D108" s="5" t="s">
        <v>34</v>
      </c>
      <c r="E108" s="5" t="s">
        <v>45</v>
      </c>
      <c r="F108" s="5">
        <v>15</v>
      </c>
      <c r="G108" s="5">
        <v>22693</v>
      </c>
      <c r="H108" s="5">
        <v>12</v>
      </c>
      <c r="I108" s="6">
        <v>46074</v>
      </c>
      <c r="J108" s="6">
        <v>46080</v>
      </c>
      <c r="K108" s="10" t="s">
        <v>51</v>
      </c>
      <c r="L108" s="16">
        <f t="shared" si="1"/>
        <v>6</v>
      </c>
    </row>
    <row r="109" spans="1:12" ht="15" thickBot="1" x14ac:dyDescent="0.4">
      <c r="A109" s="5">
        <v>1058</v>
      </c>
      <c r="B109" s="5" t="s">
        <v>52</v>
      </c>
      <c r="C109" s="5" t="s">
        <v>38</v>
      </c>
      <c r="D109" s="5" t="s">
        <v>18</v>
      </c>
      <c r="E109" s="5" t="s">
        <v>28</v>
      </c>
      <c r="F109" s="5">
        <v>10</v>
      </c>
      <c r="G109" s="5">
        <v>5532</v>
      </c>
      <c r="H109" s="5">
        <v>7</v>
      </c>
      <c r="I109" s="6">
        <v>46074</v>
      </c>
      <c r="J109" s="6">
        <v>46084</v>
      </c>
      <c r="K109" s="10" t="s">
        <v>24</v>
      </c>
      <c r="L109" s="16">
        <f t="shared" si="1"/>
        <v>10</v>
      </c>
    </row>
    <row r="110" spans="1:12" ht="15" thickBot="1" x14ac:dyDescent="0.4">
      <c r="A110" s="5">
        <v>1337</v>
      </c>
      <c r="B110" s="5" t="s">
        <v>16</v>
      </c>
      <c r="C110" s="5" t="s">
        <v>12</v>
      </c>
      <c r="D110" s="5" t="s">
        <v>13</v>
      </c>
      <c r="E110" s="5" t="s">
        <v>53</v>
      </c>
      <c r="F110" s="5">
        <v>14</v>
      </c>
      <c r="G110" s="5">
        <v>373</v>
      </c>
      <c r="H110" s="5">
        <v>10</v>
      </c>
      <c r="I110" s="6">
        <v>46074</v>
      </c>
      <c r="J110" s="6">
        <v>46080</v>
      </c>
      <c r="K110" s="10" t="s">
        <v>29</v>
      </c>
      <c r="L110" s="16">
        <f t="shared" si="1"/>
        <v>6</v>
      </c>
    </row>
    <row r="111" spans="1:12" ht="15" thickBot="1" x14ac:dyDescent="0.4">
      <c r="A111" s="5">
        <v>1201</v>
      </c>
      <c r="B111" s="5" t="s">
        <v>54</v>
      </c>
      <c r="C111" s="5" t="s">
        <v>31</v>
      </c>
      <c r="D111" s="5" t="s">
        <v>13</v>
      </c>
      <c r="E111" s="5" t="s">
        <v>53</v>
      </c>
      <c r="F111" s="5">
        <v>18</v>
      </c>
      <c r="G111" s="5">
        <v>139</v>
      </c>
      <c r="H111" s="5">
        <v>12</v>
      </c>
      <c r="I111" s="6">
        <v>46075</v>
      </c>
      <c r="J111" s="6">
        <v>46076</v>
      </c>
      <c r="K111" s="10" t="s">
        <v>20</v>
      </c>
      <c r="L111" s="16">
        <f t="shared" si="1"/>
        <v>1</v>
      </c>
    </row>
    <row r="112" spans="1:12" ht="15" thickBot="1" x14ac:dyDescent="0.4">
      <c r="A112" s="5">
        <v>1082</v>
      </c>
      <c r="B112" s="5" t="s">
        <v>21</v>
      </c>
      <c r="C112" s="5" t="s">
        <v>12</v>
      </c>
      <c r="D112" s="5" t="s">
        <v>13</v>
      </c>
      <c r="E112" s="5" t="s">
        <v>14</v>
      </c>
      <c r="F112" s="5">
        <v>7</v>
      </c>
      <c r="G112" s="5">
        <v>133</v>
      </c>
      <c r="H112" s="5">
        <v>10</v>
      </c>
      <c r="I112" s="6">
        <v>46075</v>
      </c>
      <c r="J112" s="6">
        <v>46085</v>
      </c>
      <c r="K112" s="10" t="s">
        <v>51</v>
      </c>
      <c r="L112" s="16">
        <f t="shared" si="1"/>
        <v>10</v>
      </c>
    </row>
    <row r="113" spans="1:12" ht="15" thickBot="1" x14ac:dyDescent="0.4">
      <c r="A113" s="5">
        <v>1325</v>
      </c>
      <c r="B113" s="5" t="s">
        <v>48</v>
      </c>
      <c r="C113" s="5" t="s">
        <v>43</v>
      </c>
      <c r="D113" s="5" t="s">
        <v>34</v>
      </c>
      <c r="E113" s="5" t="s">
        <v>39</v>
      </c>
      <c r="F113" s="5">
        <v>9</v>
      </c>
      <c r="G113" s="5">
        <v>58442</v>
      </c>
      <c r="H113" s="5">
        <v>12</v>
      </c>
      <c r="I113" s="6">
        <v>46076</v>
      </c>
      <c r="J113" s="6">
        <v>46085</v>
      </c>
      <c r="K113" s="10" t="s">
        <v>20</v>
      </c>
      <c r="L113" s="16">
        <f t="shared" si="1"/>
        <v>9</v>
      </c>
    </row>
    <row r="114" spans="1:12" ht="15" thickBot="1" x14ac:dyDescent="0.4">
      <c r="A114" s="5">
        <v>1107</v>
      </c>
      <c r="B114" s="5" t="s">
        <v>52</v>
      </c>
      <c r="C114" s="5" t="s">
        <v>17</v>
      </c>
      <c r="D114" s="5" t="s">
        <v>34</v>
      </c>
      <c r="E114" s="5" t="s">
        <v>60</v>
      </c>
      <c r="F114" s="5">
        <v>4</v>
      </c>
      <c r="G114" s="5">
        <v>14291</v>
      </c>
      <c r="H114" s="5">
        <v>2</v>
      </c>
      <c r="I114" s="6">
        <v>46076</v>
      </c>
      <c r="J114" s="6">
        <v>46078</v>
      </c>
      <c r="K114" s="10" t="s">
        <v>15</v>
      </c>
      <c r="L114" s="16">
        <f t="shared" si="1"/>
        <v>2</v>
      </c>
    </row>
    <row r="115" spans="1:12" ht="15" thickBot="1" x14ac:dyDescent="0.4">
      <c r="A115" s="5">
        <v>1390</v>
      </c>
      <c r="B115" s="5" t="s">
        <v>58</v>
      </c>
      <c r="C115" s="5" t="s">
        <v>43</v>
      </c>
      <c r="D115" s="5" t="s">
        <v>18</v>
      </c>
      <c r="E115" s="5" t="s">
        <v>19</v>
      </c>
      <c r="F115" s="5">
        <v>9</v>
      </c>
      <c r="G115" s="5">
        <v>7670</v>
      </c>
      <c r="H115" s="5">
        <v>0</v>
      </c>
      <c r="I115" s="6">
        <v>46076</v>
      </c>
      <c r="J115" s="6">
        <v>46081</v>
      </c>
      <c r="K115" s="10" t="s">
        <v>51</v>
      </c>
      <c r="L115" s="16">
        <f t="shared" si="1"/>
        <v>5</v>
      </c>
    </row>
    <row r="116" spans="1:12" ht="15" thickBot="1" x14ac:dyDescent="0.4">
      <c r="A116" s="5">
        <v>1113</v>
      </c>
      <c r="B116" s="5" t="s">
        <v>26</v>
      </c>
      <c r="C116" s="5" t="s">
        <v>43</v>
      </c>
      <c r="D116" s="5" t="s">
        <v>18</v>
      </c>
      <c r="E116" s="5" t="s">
        <v>56</v>
      </c>
      <c r="F116" s="5">
        <v>13</v>
      </c>
      <c r="G116" s="5">
        <v>6719</v>
      </c>
      <c r="H116" s="5">
        <v>15</v>
      </c>
      <c r="I116" s="6">
        <v>46076</v>
      </c>
      <c r="J116" s="6">
        <v>46081</v>
      </c>
      <c r="K116" s="10" t="s">
        <v>24</v>
      </c>
      <c r="L116" s="16">
        <f t="shared" si="1"/>
        <v>5</v>
      </c>
    </row>
    <row r="117" spans="1:12" ht="15" thickBot="1" x14ac:dyDescent="0.4">
      <c r="A117" s="5">
        <v>1070</v>
      </c>
      <c r="B117" s="5" t="s">
        <v>52</v>
      </c>
      <c r="C117" s="5" t="s">
        <v>43</v>
      </c>
      <c r="D117" s="5" t="s">
        <v>13</v>
      </c>
      <c r="E117" s="5" t="s">
        <v>36</v>
      </c>
      <c r="F117" s="5">
        <v>10</v>
      </c>
      <c r="G117" s="5">
        <v>233</v>
      </c>
      <c r="H117" s="5">
        <v>7</v>
      </c>
      <c r="I117" s="6">
        <v>46076</v>
      </c>
      <c r="J117" s="6">
        <v>46077</v>
      </c>
      <c r="K117" s="10" t="s">
        <v>29</v>
      </c>
      <c r="L117" s="16">
        <f t="shared" si="1"/>
        <v>1</v>
      </c>
    </row>
    <row r="118" spans="1:12" ht="15" thickBot="1" x14ac:dyDescent="0.4">
      <c r="A118" s="5">
        <v>1157</v>
      </c>
      <c r="B118" s="5" t="s">
        <v>52</v>
      </c>
      <c r="C118" s="5" t="s">
        <v>33</v>
      </c>
      <c r="D118" s="5" t="s">
        <v>13</v>
      </c>
      <c r="E118" s="5" t="s">
        <v>50</v>
      </c>
      <c r="F118" s="5">
        <v>3</v>
      </c>
      <c r="G118" s="5">
        <v>203</v>
      </c>
      <c r="H118" s="5">
        <v>15</v>
      </c>
      <c r="I118" s="6">
        <v>46076</v>
      </c>
      <c r="J118" s="6">
        <v>46080</v>
      </c>
      <c r="K118" s="10" t="s">
        <v>29</v>
      </c>
      <c r="L118" s="16">
        <f t="shared" si="1"/>
        <v>4</v>
      </c>
    </row>
    <row r="119" spans="1:12" ht="15" thickBot="1" x14ac:dyDescent="0.4">
      <c r="A119" s="5">
        <v>1110</v>
      </c>
      <c r="B119" s="5" t="s">
        <v>49</v>
      </c>
      <c r="C119" s="5" t="s">
        <v>38</v>
      </c>
      <c r="D119" s="5" t="s">
        <v>18</v>
      </c>
      <c r="E119" s="5" t="s">
        <v>23</v>
      </c>
      <c r="F119" s="5">
        <v>14</v>
      </c>
      <c r="G119" s="5">
        <v>6793</v>
      </c>
      <c r="H119" s="5">
        <v>7</v>
      </c>
      <c r="I119" s="6">
        <v>46077</v>
      </c>
      <c r="J119" s="6">
        <v>46082</v>
      </c>
      <c r="K119" s="10" t="s">
        <v>29</v>
      </c>
      <c r="L119" s="16">
        <f t="shared" si="1"/>
        <v>5</v>
      </c>
    </row>
    <row r="120" spans="1:12" ht="15" thickBot="1" x14ac:dyDescent="0.4">
      <c r="A120" s="5">
        <v>1223</v>
      </c>
      <c r="B120" s="5" t="s">
        <v>59</v>
      </c>
      <c r="C120" s="5" t="s">
        <v>17</v>
      </c>
      <c r="D120" s="5" t="s">
        <v>18</v>
      </c>
      <c r="E120" s="5" t="s">
        <v>23</v>
      </c>
      <c r="F120" s="5">
        <v>4</v>
      </c>
      <c r="G120" s="5">
        <v>2249</v>
      </c>
      <c r="H120" s="5">
        <v>7</v>
      </c>
      <c r="I120" s="6">
        <v>46077</v>
      </c>
      <c r="J120" s="6">
        <v>46084</v>
      </c>
      <c r="K120" s="10" t="s">
        <v>15</v>
      </c>
      <c r="L120" s="16">
        <f t="shared" si="1"/>
        <v>7</v>
      </c>
    </row>
    <row r="121" spans="1:12" ht="15" thickBot="1" x14ac:dyDescent="0.4">
      <c r="A121" s="5">
        <v>1055</v>
      </c>
      <c r="B121" s="5" t="s">
        <v>48</v>
      </c>
      <c r="C121" s="5" t="s">
        <v>12</v>
      </c>
      <c r="D121" s="5" t="s">
        <v>13</v>
      </c>
      <c r="E121" s="5" t="s">
        <v>37</v>
      </c>
      <c r="F121" s="5">
        <v>18</v>
      </c>
      <c r="G121" s="5">
        <v>185</v>
      </c>
      <c r="H121" s="5">
        <v>15</v>
      </c>
      <c r="I121" s="6">
        <v>46077</v>
      </c>
      <c r="J121" s="6">
        <v>46078</v>
      </c>
      <c r="K121" s="10" t="s">
        <v>15</v>
      </c>
      <c r="L121" s="16">
        <f t="shared" si="1"/>
        <v>1</v>
      </c>
    </row>
    <row r="122" spans="1:12" ht="15" thickBot="1" x14ac:dyDescent="0.4">
      <c r="A122" s="5">
        <v>1272</v>
      </c>
      <c r="B122" s="5" t="s">
        <v>52</v>
      </c>
      <c r="C122" s="5" t="s">
        <v>38</v>
      </c>
      <c r="D122" s="5" t="s">
        <v>34</v>
      </c>
      <c r="E122" s="5" t="s">
        <v>41</v>
      </c>
      <c r="F122" s="5">
        <v>13</v>
      </c>
      <c r="G122" s="5">
        <v>42179</v>
      </c>
      <c r="H122" s="5">
        <v>0</v>
      </c>
      <c r="I122" s="6">
        <v>46078</v>
      </c>
      <c r="J122" s="6">
        <v>46084</v>
      </c>
      <c r="K122" s="10" t="s">
        <v>20</v>
      </c>
      <c r="L122" s="16">
        <f t="shared" si="1"/>
        <v>6</v>
      </c>
    </row>
    <row r="123" spans="1:12" ht="15" thickBot="1" x14ac:dyDescent="0.4">
      <c r="A123" s="5">
        <v>1316</v>
      </c>
      <c r="B123" s="5" t="s">
        <v>46</v>
      </c>
      <c r="C123" s="5" t="s">
        <v>12</v>
      </c>
      <c r="D123" s="5" t="s">
        <v>18</v>
      </c>
      <c r="E123" s="5" t="s">
        <v>28</v>
      </c>
      <c r="F123" s="5">
        <v>7</v>
      </c>
      <c r="G123" s="5">
        <v>9838</v>
      </c>
      <c r="H123" s="5">
        <v>7</v>
      </c>
      <c r="I123" s="6">
        <v>46078</v>
      </c>
      <c r="J123" s="6">
        <v>46085</v>
      </c>
      <c r="K123" s="10" t="s">
        <v>20</v>
      </c>
      <c r="L123" s="16">
        <f t="shared" si="1"/>
        <v>7</v>
      </c>
    </row>
    <row r="124" spans="1:12" ht="15" thickBot="1" x14ac:dyDescent="0.4">
      <c r="A124" s="5">
        <v>1020</v>
      </c>
      <c r="B124" s="5" t="s">
        <v>46</v>
      </c>
      <c r="C124" s="5" t="s">
        <v>12</v>
      </c>
      <c r="D124" s="5" t="s">
        <v>18</v>
      </c>
      <c r="E124" s="5" t="s">
        <v>19</v>
      </c>
      <c r="F124" s="5">
        <v>5</v>
      </c>
      <c r="G124" s="5">
        <v>4582</v>
      </c>
      <c r="H124" s="5">
        <v>5</v>
      </c>
      <c r="I124" s="6">
        <v>46078</v>
      </c>
      <c r="J124" s="6">
        <v>46083</v>
      </c>
      <c r="K124" s="10" t="s">
        <v>15</v>
      </c>
      <c r="L124" s="16">
        <f t="shared" si="1"/>
        <v>5</v>
      </c>
    </row>
    <row r="125" spans="1:12" ht="15" thickBot="1" x14ac:dyDescent="0.4">
      <c r="A125" s="5">
        <v>1349</v>
      </c>
      <c r="B125" s="5" t="s">
        <v>40</v>
      </c>
      <c r="C125" s="5" t="s">
        <v>33</v>
      </c>
      <c r="D125" s="5" t="s">
        <v>34</v>
      </c>
      <c r="E125" s="5" t="s">
        <v>35</v>
      </c>
      <c r="F125" s="5">
        <v>20</v>
      </c>
      <c r="G125" s="5">
        <v>62721</v>
      </c>
      <c r="H125" s="5">
        <v>7</v>
      </c>
      <c r="I125" s="6">
        <v>46079</v>
      </c>
      <c r="J125" s="6">
        <v>46083</v>
      </c>
      <c r="K125" s="10" t="s">
        <v>20</v>
      </c>
      <c r="L125" s="16">
        <f t="shared" si="1"/>
        <v>4</v>
      </c>
    </row>
    <row r="126" spans="1:12" ht="15" thickBot="1" x14ac:dyDescent="0.4">
      <c r="A126" s="5">
        <v>1158</v>
      </c>
      <c r="B126" s="5" t="s">
        <v>26</v>
      </c>
      <c r="C126" s="5" t="s">
        <v>38</v>
      </c>
      <c r="D126" s="5" t="s">
        <v>34</v>
      </c>
      <c r="E126" s="5" t="s">
        <v>41</v>
      </c>
      <c r="F126" s="5">
        <v>13</v>
      </c>
      <c r="G126" s="5">
        <v>12518</v>
      </c>
      <c r="H126" s="5">
        <v>2</v>
      </c>
      <c r="I126" s="6">
        <v>46079</v>
      </c>
      <c r="J126" s="6">
        <v>46082</v>
      </c>
      <c r="K126" s="10" t="s">
        <v>51</v>
      </c>
      <c r="L126" s="16">
        <f t="shared" si="1"/>
        <v>3</v>
      </c>
    </row>
    <row r="127" spans="1:12" ht="15" thickBot="1" x14ac:dyDescent="0.4">
      <c r="A127" s="5">
        <v>1163</v>
      </c>
      <c r="B127" s="5" t="s">
        <v>29</v>
      </c>
      <c r="C127" s="5" t="s">
        <v>38</v>
      </c>
      <c r="D127" s="5" t="s">
        <v>34</v>
      </c>
      <c r="E127" s="5" t="s">
        <v>39</v>
      </c>
      <c r="F127" s="5">
        <v>9</v>
      </c>
      <c r="G127" s="5">
        <v>62440</v>
      </c>
      <c r="H127" s="5">
        <v>2</v>
      </c>
      <c r="I127" s="6">
        <v>46081</v>
      </c>
      <c r="J127" s="6">
        <v>46086</v>
      </c>
      <c r="K127" s="10" t="s">
        <v>29</v>
      </c>
      <c r="L127" s="16">
        <f t="shared" si="1"/>
        <v>5</v>
      </c>
    </row>
    <row r="128" spans="1:12" ht="15" thickBot="1" x14ac:dyDescent="0.4">
      <c r="A128" s="5">
        <v>1042</v>
      </c>
      <c r="B128" s="5" t="s">
        <v>46</v>
      </c>
      <c r="C128" s="5" t="s">
        <v>33</v>
      </c>
      <c r="D128" s="5" t="s">
        <v>13</v>
      </c>
      <c r="E128" s="5" t="s">
        <v>53</v>
      </c>
      <c r="F128" s="5">
        <v>16</v>
      </c>
      <c r="G128" s="5">
        <v>232</v>
      </c>
      <c r="H128" s="5">
        <v>0</v>
      </c>
      <c r="I128" s="6">
        <v>46081</v>
      </c>
      <c r="J128" s="6">
        <v>46088</v>
      </c>
      <c r="K128" s="10" t="s">
        <v>29</v>
      </c>
      <c r="L128" s="16">
        <f t="shared" si="1"/>
        <v>7</v>
      </c>
    </row>
    <row r="129" spans="1:12" ht="15" thickBot="1" x14ac:dyDescent="0.4">
      <c r="A129" s="5">
        <v>1001</v>
      </c>
      <c r="B129" s="5" t="s">
        <v>11</v>
      </c>
      <c r="C129" s="5" t="s">
        <v>12</v>
      </c>
      <c r="D129" s="5" t="s">
        <v>13</v>
      </c>
      <c r="E129" s="5" t="s">
        <v>14</v>
      </c>
      <c r="F129" s="5">
        <v>3</v>
      </c>
      <c r="G129" s="5">
        <v>222</v>
      </c>
      <c r="H129" s="5">
        <v>15</v>
      </c>
      <c r="I129" s="6">
        <v>46081</v>
      </c>
      <c r="J129" s="6">
        <v>46083</v>
      </c>
      <c r="K129" s="10" t="s">
        <v>15</v>
      </c>
      <c r="L129" s="16">
        <f t="shared" si="1"/>
        <v>2</v>
      </c>
    </row>
    <row r="130" spans="1:12" ht="15" thickBot="1" x14ac:dyDescent="0.4">
      <c r="A130" s="5">
        <v>1202</v>
      </c>
      <c r="B130" s="5" t="s">
        <v>57</v>
      </c>
      <c r="C130" s="5" t="s">
        <v>22</v>
      </c>
      <c r="D130" s="5" t="s">
        <v>34</v>
      </c>
      <c r="E130" s="5" t="s">
        <v>35</v>
      </c>
      <c r="F130" s="5">
        <v>2</v>
      </c>
      <c r="G130" s="5">
        <v>20312</v>
      </c>
      <c r="H130" s="5">
        <v>12</v>
      </c>
      <c r="I130" s="6">
        <v>46082</v>
      </c>
      <c r="J130" s="6">
        <v>46091</v>
      </c>
      <c r="K130" s="10" t="s">
        <v>15</v>
      </c>
      <c r="L130" s="16">
        <f t="shared" si="1"/>
        <v>9</v>
      </c>
    </row>
    <row r="131" spans="1:12" ht="15" thickBot="1" x14ac:dyDescent="0.4">
      <c r="A131" s="5">
        <v>1066</v>
      </c>
      <c r="B131" s="5" t="s">
        <v>47</v>
      </c>
      <c r="C131" s="5" t="s">
        <v>25</v>
      </c>
      <c r="D131" s="5" t="s">
        <v>18</v>
      </c>
      <c r="E131" s="5" t="s">
        <v>44</v>
      </c>
      <c r="F131" s="5">
        <v>15</v>
      </c>
      <c r="G131" s="5">
        <v>11987</v>
      </c>
      <c r="H131" s="5">
        <v>5</v>
      </c>
      <c r="I131" s="6">
        <v>46082</v>
      </c>
      <c r="J131" s="6">
        <v>46083</v>
      </c>
      <c r="K131" s="10" t="s">
        <v>15</v>
      </c>
      <c r="L131" s="16">
        <f t="shared" ref="L131:L194" si="2">J131-I131</f>
        <v>1</v>
      </c>
    </row>
    <row r="132" spans="1:12" ht="15" thickBot="1" x14ac:dyDescent="0.4">
      <c r="A132" s="5">
        <v>1033</v>
      </c>
      <c r="B132" s="5" t="s">
        <v>11</v>
      </c>
      <c r="C132" s="5" t="s">
        <v>43</v>
      </c>
      <c r="D132" s="5" t="s">
        <v>18</v>
      </c>
      <c r="E132" s="5" t="s">
        <v>19</v>
      </c>
      <c r="F132" s="5">
        <v>9</v>
      </c>
      <c r="G132" s="5">
        <v>4895</v>
      </c>
      <c r="H132" s="5">
        <v>2</v>
      </c>
      <c r="I132" s="6">
        <v>46082</v>
      </c>
      <c r="J132" s="6">
        <v>46084</v>
      </c>
      <c r="K132" s="10" t="s">
        <v>29</v>
      </c>
      <c r="L132" s="16">
        <f t="shared" si="2"/>
        <v>2</v>
      </c>
    </row>
    <row r="133" spans="1:12" ht="15" thickBot="1" x14ac:dyDescent="0.4">
      <c r="A133" s="5">
        <v>1284</v>
      </c>
      <c r="B133" s="5" t="s">
        <v>40</v>
      </c>
      <c r="C133" s="5" t="s">
        <v>25</v>
      </c>
      <c r="D133" s="5" t="s">
        <v>13</v>
      </c>
      <c r="E133" s="5" t="s">
        <v>37</v>
      </c>
      <c r="F133" s="5">
        <v>16</v>
      </c>
      <c r="G133" s="5">
        <v>419</v>
      </c>
      <c r="H133" s="5">
        <v>2</v>
      </c>
      <c r="I133" s="6">
        <v>46082</v>
      </c>
      <c r="J133" s="6">
        <v>46090</v>
      </c>
      <c r="K133" s="10" t="s">
        <v>15</v>
      </c>
      <c r="L133" s="16">
        <f t="shared" si="2"/>
        <v>8</v>
      </c>
    </row>
    <row r="134" spans="1:12" ht="15" thickBot="1" x14ac:dyDescent="0.4">
      <c r="A134" s="5">
        <v>1017</v>
      </c>
      <c r="B134" s="5" t="s">
        <v>46</v>
      </c>
      <c r="C134" s="5" t="s">
        <v>38</v>
      </c>
      <c r="D134" s="5" t="s">
        <v>13</v>
      </c>
      <c r="E134" s="5" t="s">
        <v>36</v>
      </c>
      <c r="F134" s="5">
        <v>8</v>
      </c>
      <c r="G134" s="5">
        <v>179</v>
      </c>
      <c r="H134" s="5">
        <v>15</v>
      </c>
      <c r="I134" s="6">
        <v>46082</v>
      </c>
      <c r="J134" s="6">
        <v>46084</v>
      </c>
      <c r="K134" s="10" t="s">
        <v>15</v>
      </c>
      <c r="L134" s="16">
        <f t="shared" si="2"/>
        <v>2</v>
      </c>
    </row>
    <row r="135" spans="1:12" ht="15" thickBot="1" x14ac:dyDescent="0.4">
      <c r="A135" s="5">
        <v>1271</v>
      </c>
      <c r="B135" s="5" t="s">
        <v>40</v>
      </c>
      <c r="C135" s="5" t="s">
        <v>33</v>
      </c>
      <c r="D135" s="5" t="s">
        <v>34</v>
      </c>
      <c r="E135" s="5" t="s">
        <v>60</v>
      </c>
      <c r="F135" s="5">
        <v>20</v>
      </c>
      <c r="G135" s="5">
        <v>36941</v>
      </c>
      <c r="H135" s="5">
        <v>15</v>
      </c>
      <c r="I135" s="6">
        <v>46083</v>
      </c>
      <c r="J135" s="6">
        <v>46085</v>
      </c>
      <c r="K135" s="10" t="s">
        <v>29</v>
      </c>
      <c r="L135" s="16">
        <f t="shared" si="2"/>
        <v>2</v>
      </c>
    </row>
    <row r="136" spans="1:12" ht="15" thickBot="1" x14ac:dyDescent="0.4">
      <c r="A136" s="5">
        <v>1298</v>
      </c>
      <c r="B136" s="5" t="s">
        <v>21</v>
      </c>
      <c r="C136" s="5" t="s">
        <v>12</v>
      </c>
      <c r="D136" s="5" t="s">
        <v>34</v>
      </c>
      <c r="E136" s="5" t="s">
        <v>61</v>
      </c>
      <c r="F136" s="5">
        <v>19</v>
      </c>
      <c r="G136" s="5">
        <v>20745</v>
      </c>
      <c r="H136" s="5">
        <v>2</v>
      </c>
      <c r="I136" s="6">
        <v>46083</v>
      </c>
      <c r="J136" s="6">
        <v>46093</v>
      </c>
      <c r="K136" s="10" t="s">
        <v>24</v>
      </c>
      <c r="L136" s="16">
        <f t="shared" si="2"/>
        <v>10</v>
      </c>
    </row>
    <row r="137" spans="1:12" ht="15" thickBot="1" x14ac:dyDescent="0.4">
      <c r="A137" s="5">
        <v>1078</v>
      </c>
      <c r="B137" s="5" t="s">
        <v>52</v>
      </c>
      <c r="C137" s="5" t="s">
        <v>17</v>
      </c>
      <c r="D137" s="5" t="s">
        <v>34</v>
      </c>
      <c r="E137" s="5" t="s">
        <v>39</v>
      </c>
      <c r="F137" s="5">
        <v>11</v>
      </c>
      <c r="G137" s="5">
        <v>24278</v>
      </c>
      <c r="H137" s="5">
        <v>12</v>
      </c>
      <c r="I137" s="6">
        <v>46084</v>
      </c>
      <c r="J137" s="6">
        <v>46090</v>
      </c>
      <c r="K137" s="10" t="s">
        <v>29</v>
      </c>
      <c r="L137" s="16">
        <f t="shared" si="2"/>
        <v>6</v>
      </c>
    </row>
    <row r="138" spans="1:12" ht="15" thickBot="1" x14ac:dyDescent="0.4">
      <c r="A138" s="5">
        <v>1138</v>
      </c>
      <c r="B138" s="5" t="s">
        <v>55</v>
      </c>
      <c r="C138" s="5" t="s">
        <v>43</v>
      </c>
      <c r="D138" s="5" t="s">
        <v>18</v>
      </c>
      <c r="E138" s="5" t="s">
        <v>19</v>
      </c>
      <c r="F138" s="5">
        <v>5</v>
      </c>
      <c r="G138" s="5">
        <v>14466</v>
      </c>
      <c r="H138" s="5">
        <v>2</v>
      </c>
      <c r="I138" s="6">
        <v>46084</v>
      </c>
      <c r="J138" s="6">
        <v>46092</v>
      </c>
      <c r="K138" s="10" t="s">
        <v>51</v>
      </c>
      <c r="L138" s="16">
        <f t="shared" si="2"/>
        <v>8</v>
      </c>
    </row>
    <row r="139" spans="1:12" ht="15" thickBot="1" x14ac:dyDescent="0.4">
      <c r="A139" s="5">
        <v>1280</v>
      </c>
      <c r="B139" s="5" t="s">
        <v>59</v>
      </c>
      <c r="C139" s="5" t="s">
        <v>38</v>
      </c>
      <c r="D139" s="5" t="s">
        <v>13</v>
      </c>
      <c r="E139" s="5" t="s">
        <v>53</v>
      </c>
      <c r="F139" s="5">
        <v>9</v>
      </c>
      <c r="G139" s="5">
        <v>50</v>
      </c>
      <c r="H139" s="5">
        <v>7</v>
      </c>
      <c r="I139" s="6">
        <v>46085</v>
      </c>
      <c r="J139" s="6">
        <v>46095</v>
      </c>
      <c r="K139" s="10" t="s">
        <v>51</v>
      </c>
      <c r="L139" s="16">
        <f t="shared" si="2"/>
        <v>10</v>
      </c>
    </row>
    <row r="140" spans="1:12" ht="15" thickBot="1" x14ac:dyDescent="0.4">
      <c r="A140" s="5">
        <v>1012</v>
      </c>
      <c r="B140" s="5" t="s">
        <v>26</v>
      </c>
      <c r="C140" s="5" t="s">
        <v>38</v>
      </c>
      <c r="D140" s="5" t="s">
        <v>34</v>
      </c>
      <c r="E140" s="5" t="s">
        <v>39</v>
      </c>
      <c r="F140" s="5">
        <v>3</v>
      </c>
      <c r="G140" s="5">
        <v>64615</v>
      </c>
      <c r="H140" s="5">
        <v>10</v>
      </c>
      <c r="I140" s="6">
        <v>46086</v>
      </c>
      <c r="J140" s="6">
        <v>46095</v>
      </c>
      <c r="K140" s="10" t="s">
        <v>29</v>
      </c>
      <c r="L140" s="16">
        <f t="shared" si="2"/>
        <v>9</v>
      </c>
    </row>
    <row r="141" spans="1:12" ht="15" thickBot="1" x14ac:dyDescent="0.4">
      <c r="A141" s="5">
        <v>1336</v>
      </c>
      <c r="B141" s="5" t="s">
        <v>16</v>
      </c>
      <c r="C141" s="5" t="s">
        <v>25</v>
      </c>
      <c r="D141" s="5" t="s">
        <v>18</v>
      </c>
      <c r="E141" s="5" t="s">
        <v>56</v>
      </c>
      <c r="F141" s="5">
        <v>10</v>
      </c>
      <c r="G141" s="5">
        <v>5624</v>
      </c>
      <c r="H141" s="5">
        <v>0</v>
      </c>
      <c r="I141" s="6">
        <v>46086</v>
      </c>
      <c r="J141" s="6">
        <v>46092</v>
      </c>
      <c r="K141" s="10" t="s">
        <v>29</v>
      </c>
      <c r="L141" s="16">
        <f t="shared" si="2"/>
        <v>6</v>
      </c>
    </row>
    <row r="142" spans="1:12" ht="15" thickBot="1" x14ac:dyDescent="0.4">
      <c r="A142" s="5">
        <v>1277</v>
      </c>
      <c r="B142" s="5" t="s">
        <v>59</v>
      </c>
      <c r="C142" s="5" t="s">
        <v>17</v>
      </c>
      <c r="D142" s="5" t="s">
        <v>13</v>
      </c>
      <c r="E142" s="5" t="s">
        <v>36</v>
      </c>
      <c r="F142" s="5">
        <v>14</v>
      </c>
      <c r="G142" s="5">
        <v>276</v>
      </c>
      <c r="H142" s="5">
        <v>0</v>
      </c>
      <c r="I142" s="6">
        <v>46086</v>
      </c>
      <c r="J142" s="6">
        <v>46089</v>
      </c>
      <c r="K142" s="10" t="s">
        <v>15</v>
      </c>
      <c r="L142" s="16">
        <f t="shared" si="2"/>
        <v>3</v>
      </c>
    </row>
    <row r="143" spans="1:12" ht="15" thickBot="1" x14ac:dyDescent="0.4">
      <c r="A143" s="5">
        <v>1090</v>
      </c>
      <c r="B143" s="5" t="s">
        <v>49</v>
      </c>
      <c r="C143" s="5" t="s">
        <v>31</v>
      </c>
      <c r="D143" s="5" t="s">
        <v>34</v>
      </c>
      <c r="E143" s="5" t="s">
        <v>45</v>
      </c>
      <c r="F143" s="5">
        <v>19</v>
      </c>
      <c r="G143" s="5">
        <v>66139</v>
      </c>
      <c r="H143" s="5">
        <v>5</v>
      </c>
      <c r="I143" s="6">
        <v>46088</v>
      </c>
      <c r="J143" s="6">
        <v>46095</v>
      </c>
      <c r="K143" s="10" t="s">
        <v>24</v>
      </c>
      <c r="L143" s="16">
        <f t="shared" si="2"/>
        <v>7</v>
      </c>
    </row>
    <row r="144" spans="1:12" ht="15" thickBot="1" x14ac:dyDescent="0.4">
      <c r="A144" s="5">
        <v>1175</v>
      </c>
      <c r="B144" s="5" t="s">
        <v>26</v>
      </c>
      <c r="C144" s="5" t="s">
        <v>17</v>
      </c>
      <c r="D144" s="5" t="s">
        <v>34</v>
      </c>
      <c r="E144" s="5" t="s">
        <v>41</v>
      </c>
      <c r="F144" s="5">
        <v>10</v>
      </c>
      <c r="G144" s="5">
        <v>20339</v>
      </c>
      <c r="H144" s="5">
        <v>2</v>
      </c>
      <c r="I144" s="6">
        <v>46088</v>
      </c>
      <c r="J144" s="6">
        <v>46094</v>
      </c>
      <c r="K144" s="10" t="s">
        <v>20</v>
      </c>
      <c r="L144" s="16">
        <f t="shared" si="2"/>
        <v>6</v>
      </c>
    </row>
    <row r="145" spans="1:12" ht="15" thickBot="1" x14ac:dyDescent="0.4">
      <c r="A145" s="5">
        <v>1097</v>
      </c>
      <c r="B145" s="5" t="s">
        <v>52</v>
      </c>
      <c r="C145" s="5" t="s">
        <v>22</v>
      </c>
      <c r="D145" s="5" t="s">
        <v>34</v>
      </c>
      <c r="E145" s="5" t="s">
        <v>61</v>
      </c>
      <c r="F145" s="5">
        <v>10</v>
      </c>
      <c r="G145" s="5">
        <v>28980</v>
      </c>
      <c r="H145" s="5">
        <v>10</v>
      </c>
      <c r="I145" s="6">
        <v>46089</v>
      </c>
      <c r="J145" s="6">
        <v>46094</v>
      </c>
      <c r="K145" s="10" t="s">
        <v>24</v>
      </c>
      <c r="L145" s="16">
        <f t="shared" si="2"/>
        <v>5</v>
      </c>
    </row>
    <row r="146" spans="1:12" ht="15" thickBot="1" x14ac:dyDescent="0.4">
      <c r="A146" s="5">
        <v>1381</v>
      </c>
      <c r="B146" s="5" t="s">
        <v>55</v>
      </c>
      <c r="C146" s="5" t="s">
        <v>33</v>
      </c>
      <c r="D146" s="5" t="s">
        <v>18</v>
      </c>
      <c r="E146" s="5" t="s">
        <v>28</v>
      </c>
      <c r="F146" s="5">
        <v>5</v>
      </c>
      <c r="G146" s="5">
        <v>7484</v>
      </c>
      <c r="H146" s="5">
        <v>2</v>
      </c>
      <c r="I146" s="6">
        <v>46089</v>
      </c>
      <c r="J146" s="6">
        <v>46093</v>
      </c>
      <c r="K146" s="10" t="s">
        <v>20</v>
      </c>
      <c r="L146" s="16">
        <f t="shared" si="2"/>
        <v>4</v>
      </c>
    </row>
    <row r="147" spans="1:12" ht="15" thickBot="1" x14ac:dyDescent="0.4">
      <c r="A147" s="5">
        <v>1018</v>
      </c>
      <c r="B147" s="5" t="s">
        <v>47</v>
      </c>
      <c r="C147" s="5" t="s">
        <v>25</v>
      </c>
      <c r="D147" s="5" t="s">
        <v>13</v>
      </c>
      <c r="E147" s="5" t="s">
        <v>14</v>
      </c>
      <c r="F147" s="5">
        <v>20</v>
      </c>
      <c r="G147" s="5">
        <v>301</v>
      </c>
      <c r="H147" s="5">
        <v>0</v>
      </c>
      <c r="I147" s="6">
        <v>46089</v>
      </c>
      <c r="J147" s="6">
        <v>46094</v>
      </c>
      <c r="K147" s="10" t="s">
        <v>29</v>
      </c>
      <c r="L147" s="16">
        <f t="shared" si="2"/>
        <v>5</v>
      </c>
    </row>
    <row r="148" spans="1:12" ht="15" thickBot="1" x14ac:dyDescent="0.4">
      <c r="A148" s="5">
        <v>1031</v>
      </c>
      <c r="B148" s="5" t="s">
        <v>54</v>
      </c>
      <c r="C148" s="5" t="s">
        <v>31</v>
      </c>
      <c r="D148" s="5" t="s">
        <v>13</v>
      </c>
      <c r="E148" s="5" t="s">
        <v>53</v>
      </c>
      <c r="F148" s="5">
        <v>2</v>
      </c>
      <c r="G148" s="5">
        <v>184</v>
      </c>
      <c r="H148" s="5">
        <v>5</v>
      </c>
      <c r="I148" s="6">
        <v>46089</v>
      </c>
      <c r="J148" s="6">
        <v>46093</v>
      </c>
      <c r="K148" s="10" t="s">
        <v>20</v>
      </c>
      <c r="L148" s="16">
        <f t="shared" si="2"/>
        <v>4</v>
      </c>
    </row>
    <row r="149" spans="1:12" ht="15" thickBot="1" x14ac:dyDescent="0.4">
      <c r="A149" s="5">
        <v>1399</v>
      </c>
      <c r="B149" s="5" t="s">
        <v>48</v>
      </c>
      <c r="C149" s="5" t="s">
        <v>31</v>
      </c>
      <c r="D149" s="5" t="s">
        <v>13</v>
      </c>
      <c r="E149" s="5" t="s">
        <v>14</v>
      </c>
      <c r="F149" s="5">
        <v>15</v>
      </c>
      <c r="G149" s="5">
        <v>87</v>
      </c>
      <c r="H149" s="5">
        <v>15</v>
      </c>
      <c r="I149" s="6">
        <v>46089</v>
      </c>
      <c r="J149" s="6">
        <v>46093</v>
      </c>
      <c r="K149" s="10" t="s">
        <v>20</v>
      </c>
      <c r="L149" s="16">
        <f t="shared" si="2"/>
        <v>4</v>
      </c>
    </row>
    <row r="150" spans="1:12" ht="15" thickBot="1" x14ac:dyDescent="0.4">
      <c r="A150" s="5">
        <v>1192</v>
      </c>
      <c r="B150" s="5" t="s">
        <v>21</v>
      </c>
      <c r="C150" s="5" t="s">
        <v>33</v>
      </c>
      <c r="D150" s="5" t="s">
        <v>13</v>
      </c>
      <c r="E150" s="5" t="s">
        <v>53</v>
      </c>
      <c r="F150" s="5">
        <v>18</v>
      </c>
      <c r="G150" s="5">
        <v>49</v>
      </c>
      <c r="H150" s="5">
        <v>12</v>
      </c>
      <c r="I150" s="6">
        <v>46089</v>
      </c>
      <c r="J150" s="6">
        <v>46095</v>
      </c>
      <c r="K150" s="10" t="s">
        <v>24</v>
      </c>
      <c r="L150" s="16">
        <f t="shared" si="2"/>
        <v>6</v>
      </c>
    </row>
    <row r="151" spans="1:12" ht="15" thickBot="1" x14ac:dyDescent="0.4">
      <c r="A151" s="5">
        <v>1400</v>
      </c>
      <c r="B151" s="5" t="s">
        <v>40</v>
      </c>
      <c r="C151" s="5" t="s">
        <v>22</v>
      </c>
      <c r="D151" s="5" t="s">
        <v>34</v>
      </c>
      <c r="E151" s="5" t="s">
        <v>35</v>
      </c>
      <c r="F151" s="5">
        <v>13</v>
      </c>
      <c r="G151" s="5">
        <v>52411</v>
      </c>
      <c r="H151" s="5">
        <v>15</v>
      </c>
      <c r="I151" s="6">
        <v>46090</v>
      </c>
      <c r="J151" s="6">
        <v>46092</v>
      </c>
      <c r="K151" s="10" t="s">
        <v>20</v>
      </c>
      <c r="L151" s="16">
        <f t="shared" si="2"/>
        <v>2</v>
      </c>
    </row>
    <row r="152" spans="1:12" ht="15" thickBot="1" x14ac:dyDescent="0.4">
      <c r="A152" s="5">
        <v>1112</v>
      </c>
      <c r="B152" s="5" t="s">
        <v>21</v>
      </c>
      <c r="C152" s="5" t="s">
        <v>43</v>
      </c>
      <c r="D152" s="5" t="s">
        <v>18</v>
      </c>
      <c r="E152" s="5" t="s">
        <v>44</v>
      </c>
      <c r="F152" s="5">
        <v>7</v>
      </c>
      <c r="G152" s="5">
        <v>1959</v>
      </c>
      <c r="H152" s="5">
        <v>15</v>
      </c>
      <c r="I152" s="6">
        <v>46090</v>
      </c>
      <c r="J152" s="6">
        <v>46100</v>
      </c>
      <c r="K152" s="10" t="s">
        <v>15</v>
      </c>
      <c r="L152" s="16">
        <f t="shared" si="2"/>
        <v>10</v>
      </c>
    </row>
    <row r="153" spans="1:12" ht="15" thickBot="1" x14ac:dyDescent="0.4">
      <c r="A153" s="5">
        <v>1043</v>
      </c>
      <c r="B153" s="5" t="s">
        <v>49</v>
      </c>
      <c r="C153" s="5" t="s">
        <v>38</v>
      </c>
      <c r="D153" s="5" t="s">
        <v>34</v>
      </c>
      <c r="E153" s="5" t="s">
        <v>35</v>
      </c>
      <c r="F153" s="5">
        <v>20</v>
      </c>
      <c r="G153" s="5">
        <v>46093</v>
      </c>
      <c r="H153" s="5">
        <v>5</v>
      </c>
      <c r="I153" s="6">
        <v>46091</v>
      </c>
      <c r="J153" s="6">
        <v>46098</v>
      </c>
      <c r="K153" s="10" t="s">
        <v>29</v>
      </c>
      <c r="L153" s="16">
        <f t="shared" si="2"/>
        <v>7</v>
      </c>
    </row>
    <row r="154" spans="1:12" ht="15" thickBot="1" x14ac:dyDescent="0.4">
      <c r="A154" s="5">
        <v>1255</v>
      </c>
      <c r="B154" s="5" t="s">
        <v>32</v>
      </c>
      <c r="C154" s="5" t="s">
        <v>17</v>
      </c>
      <c r="D154" s="5" t="s">
        <v>18</v>
      </c>
      <c r="E154" s="5" t="s">
        <v>19</v>
      </c>
      <c r="F154" s="5">
        <v>1</v>
      </c>
      <c r="G154" s="5">
        <v>2240</v>
      </c>
      <c r="H154" s="5">
        <v>5</v>
      </c>
      <c r="I154" s="6">
        <v>46091</v>
      </c>
      <c r="J154" s="6">
        <v>46095</v>
      </c>
      <c r="K154" s="10" t="s">
        <v>20</v>
      </c>
      <c r="L154" s="16">
        <f t="shared" si="2"/>
        <v>4</v>
      </c>
    </row>
    <row r="155" spans="1:12" ht="15" thickBot="1" x14ac:dyDescent="0.4">
      <c r="A155" s="5">
        <v>1106</v>
      </c>
      <c r="B155" s="5" t="s">
        <v>27</v>
      </c>
      <c r="C155" s="5" t="s">
        <v>43</v>
      </c>
      <c r="D155" s="5" t="s">
        <v>18</v>
      </c>
      <c r="E155" s="5" t="s">
        <v>23</v>
      </c>
      <c r="F155" s="5">
        <v>20</v>
      </c>
      <c r="G155" s="5">
        <v>2141</v>
      </c>
      <c r="H155" s="5">
        <v>2</v>
      </c>
      <c r="I155" s="6">
        <v>46091</v>
      </c>
      <c r="J155" s="6">
        <v>46097</v>
      </c>
      <c r="K155" s="10" t="s">
        <v>29</v>
      </c>
      <c r="L155" s="16">
        <f t="shared" si="2"/>
        <v>6</v>
      </c>
    </row>
    <row r="156" spans="1:12" ht="15" thickBot="1" x14ac:dyDescent="0.4">
      <c r="A156" s="5">
        <v>1275</v>
      </c>
      <c r="B156" s="5" t="s">
        <v>16</v>
      </c>
      <c r="C156" s="5" t="s">
        <v>31</v>
      </c>
      <c r="D156" s="5" t="s">
        <v>13</v>
      </c>
      <c r="E156" s="5" t="s">
        <v>50</v>
      </c>
      <c r="F156" s="5">
        <v>20</v>
      </c>
      <c r="G156" s="5">
        <v>451</v>
      </c>
      <c r="H156" s="5">
        <v>15</v>
      </c>
      <c r="I156" s="6">
        <v>46092</v>
      </c>
      <c r="J156" s="6">
        <v>46094</v>
      </c>
      <c r="K156" s="10" t="s">
        <v>20</v>
      </c>
      <c r="L156" s="16">
        <f t="shared" si="2"/>
        <v>2</v>
      </c>
    </row>
    <row r="157" spans="1:12" ht="15" thickBot="1" x14ac:dyDescent="0.4">
      <c r="A157" s="5">
        <v>1166</v>
      </c>
      <c r="B157" s="5" t="s">
        <v>32</v>
      </c>
      <c r="C157" s="5" t="s">
        <v>31</v>
      </c>
      <c r="D157" s="5" t="s">
        <v>13</v>
      </c>
      <c r="E157" s="5" t="s">
        <v>37</v>
      </c>
      <c r="F157" s="5">
        <v>1</v>
      </c>
      <c r="G157" s="5">
        <v>396</v>
      </c>
      <c r="H157" s="5">
        <v>5</v>
      </c>
      <c r="I157" s="6">
        <v>46092</v>
      </c>
      <c r="J157" s="6">
        <v>46093</v>
      </c>
      <c r="K157" s="10" t="s">
        <v>20</v>
      </c>
      <c r="L157" s="16">
        <f t="shared" si="2"/>
        <v>1</v>
      </c>
    </row>
    <row r="158" spans="1:12" ht="15" thickBot="1" x14ac:dyDescent="0.4">
      <c r="A158" s="5">
        <v>1139</v>
      </c>
      <c r="B158" s="5" t="s">
        <v>55</v>
      </c>
      <c r="C158" s="5" t="s">
        <v>33</v>
      </c>
      <c r="D158" s="5" t="s">
        <v>34</v>
      </c>
      <c r="E158" s="5" t="s">
        <v>61</v>
      </c>
      <c r="F158" s="5">
        <v>17</v>
      </c>
      <c r="G158" s="5">
        <v>28839</v>
      </c>
      <c r="H158" s="5">
        <v>10</v>
      </c>
      <c r="I158" s="6">
        <v>46093</v>
      </c>
      <c r="J158" s="6">
        <v>46099</v>
      </c>
      <c r="K158" s="10" t="s">
        <v>15</v>
      </c>
      <c r="L158" s="16">
        <f t="shared" si="2"/>
        <v>6</v>
      </c>
    </row>
    <row r="159" spans="1:12" ht="15" thickBot="1" x14ac:dyDescent="0.4">
      <c r="A159" s="5">
        <v>1155</v>
      </c>
      <c r="B159" s="5" t="s">
        <v>11</v>
      </c>
      <c r="C159" s="5" t="s">
        <v>31</v>
      </c>
      <c r="D159" s="5" t="s">
        <v>18</v>
      </c>
      <c r="E159" s="5" t="s">
        <v>28</v>
      </c>
      <c r="F159" s="5">
        <v>13</v>
      </c>
      <c r="G159" s="5">
        <v>4341</v>
      </c>
      <c r="H159" s="5">
        <v>15</v>
      </c>
      <c r="I159" s="6">
        <v>46093</v>
      </c>
      <c r="J159" s="6">
        <v>46096</v>
      </c>
      <c r="K159" s="10" t="s">
        <v>24</v>
      </c>
      <c r="L159" s="16">
        <f t="shared" si="2"/>
        <v>3</v>
      </c>
    </row>
    <row r="160" spans="1:12" ht="15" thickBot="1" x14ac:dyDescent="0.4">
      <c r="A160" s="5">
        <v>1319</v>
      </c>
      <c r="B160" s="5" t="s">
        <v>21</v>
      </c>
      <c r="C160" s="5" t="s">
        <v>17</v>
      </c>
      <c r="D160" s="5" t="s">
        <v>34</v>
      </c>
      <c r="E160" s="5" t="s">
        <v>61</v>
      </c>
      <c r="F160" s="5">
        <v>17</v>
      </c>
      <c r="G160" s="5">
        <v>58407</v>
      </c>
      <c r="H160" s="5">
        <v>7</v>
      </c>
      <c r="I160" s="6">
        <v>46094</v>
      </c>
      <c r="J160" s="6">
        <v>46102</v>
      </c>
      <c r="K160" s="10" t="s">
        <v>15</v>
      </c>
      <c r="L160" s="16">
        <f t="shared" si="2"/>
        <v>8</v>
      </c>
    </row>
    <row r="161" spans="1:12" ht="15" thickBot="1" x14ac:dyDescent="0.4">
      <c r="A161" s="5">
        <v>1388</v>
      </c>
      <c r="B161" s="5" t="s">
        <v>55</v>
      </c>
      <c r="C161" s="5" t="s">
        <v>31</v>
      </c>
      <c r="D161" s="5" t="s">
        <v>18</v>
      </c>
      <c r="E161" s="5" t="s">
        <v>28</v>
      </c>
      <c r="F161" s="5">
        <v>12</v>
      </c>
      <c r="G161" s="5">
        <v>11662</v>
      </c>
      <c r="H161" s="5">
        <v>12</v>
      </c>
      <c r="I161" s="6">
        <v>46094</v>
      </c>
      <c r="J161" s="6">
        <v>46096</v>
      </c>
      <c r="K161" s="10" t="s">
        <v>20</v>
      </c>
      <c r="L161" s="16">
        <f t="shared" si="2"/>
        <v>2</v>
      </c>
    </row>
    <row r="162" spans="1:12" ht="15" thickBot="1" x14ac:dyDescent="0.4">
      <c r="A162" s="5">
        <v>1362</v>
      </c>
      <c r="B162" s="5" t="s">
        <v>16</v>
      </c>
      <c r="C162" s="5" t="s">
        <v>12</v>
      </c>
      <c r="D162" s="5" t="s">
        <v>18</v>
      </c>
      <c r="E162" s="5" t="s">
        <v>28</v>
      </c>
      <c r="F162" s="5">
        <v>1</v>
      </c>
      <c r="G162" s="5">
        <v>10474</v>
      </c>
      <c r="H162" s="5">
        <v>0</v>
      </c>
      <c r="I162" s="6">
        <v>46094</v>
      </c>
      <c r="J162" s="6">
        <v>46096</v>
      </c>
      <c r="K162" s="10" t="s">
        <v>29</v>
      </c>
      <c r="L162" s="16">
        <f t="shared" si="2"/>
        <v>2</v>
      </c>
    </row>
    <row r="163" spans="1:12" ht="15" thickBot="1" x14ac:dyDescent="0.4">
      <c r="A163" s="5">
        <v>1345</v>
      </c>
      <c r="B163" s="5" t="s">
        <v>32</v>
      </c>
      <c r="C163" s="5" t="s">
        <v>12</v>
      </c>
      <c r="D163" s="5" t="s">
        <v>34</v>
      </c>
      <c r="E163" s="5" t="s">
        <v>45</v>
      </c>
      <c r="F163" s="5">
        <v>12</v>
      </c>
      <c r="G163" s="5">
        <v>50544</v>
      </c>
      <c r="H163" s="5">
        <v>10</v>
      </c>
      <c r="I163" s="6">
        <v>46095</v>
      </c>
      <c r="J163" s="6">
        <v>46097</v>
      </c>
      <c r="K163" s="10" t="s">
        <v>29</v>
      </c>
      <c r="L163" s="16">
        <f t="shared" si="2"/>
        <v>2</v>
      </c>
    </row>
    <row r="164" spans="1:12" ht="15" thickBot="1" x14ac:dyDescent="0.4">
      <c r="A164" s="5">
        <v>1013</v>
      </c>
      <c r="B164" s="5" t="s">
        <v>16</v>
      </c>
      <c r="C164" s="5" t="s">
        <v>31</v>
      </c>
      <c r="D164" s="5" t="s">
        <v>13</v>
      </c>
      <c r="E164" s="5" t="s">
        <v>36</v>
      </c>
      <c r="F164" s="5">
        <v>17</v>
      </c>
      <c r="G164" s="5">
        <v>459</v>
      </c>
      <c r="H164" s="5">
        <v>12</v>
      </c>
      <c r="I164" s="6">
        <v>46095</v>
      </c>
      <c r="J164" s="6">
        <v>46105</v>
      </c>
      <c r="K164" s="10" t="s">
        <v>29</v>
      </c>
      <c r="L164" s="16">
        <f t="shared" si="2"/>
        <v>10</v>
      </c>
    </row>
    <row r="165" spans="1:12" ht="15" thickBot="1" x14ac:dyDescent="0.4">
      <c r="A165" s="5">
        <v>1359</v>
      </c>
      <c r="B165" s="5" t="s">
        <v>54</v>
      </c>
      <c r="C165" s="5" t="s">
        <v>12</v>
      </c>
      <c r="D165" s="5" t="s">
        <v>34</v>
      </c>
      <c r="E165" s="5" t="s">
        <v>61</v>
      </c>
      <c r="F165" s="5">
        <v>9</v>
      </c>
      <c r="G165" s="5">
        <v>38179</v>
      </c>
      <c r="H165" s="5">
        <v>0</v>
      </c>
      <c r="I165" s="6">
        <v>46096</v>
      </c>
      <c r="J165" s="6">
        <v>46099</v>
      </c>
      <c r="K165" s="10" t="s">
        <v>15</v>
      </c>
      <c r="L165" s="16">
        <f t="shared" si="2"/>
        <v>3</v>
      </c>
    </row>
    <row r="166" spans="1:12" ht="15" thickBot="1" x14ac:dyDescent="0.4">
      <c r="A166" s="5">
        <v>1266</v>
      </c>
      <c r="B166" s="5" t="s">
        <v>29</v>
      </c>
      <c r="C166" s="5" t="s">
        <v>33</v>
      </c>
      <c r="D166" s="5" t="s">
        <v>13</v>
      </c>
      <c r="E166" s="5" t="s">
        <v>14</v>
      </c>
      <c r="F166" s="5">
        <v>17</v>
      </c>
      <c r="G166" s="5">
        <v>365</v>
      </c>
      <c r="H166" s="5">
        <v>2</v>
      </c>
      <c r="I166" s="6">
        <v>46096</v>
      </c>
      <c r="J166" s="6">
        <v>46104</v>
      </c>
      <c r="K166" s="10" t="s">
        <v>51</v>
      </c>
      <c r="L166" s="16">
        <f t="shared" si="2"/>
        <v>8</v>
      </c>
    </row>
    <row r="167" spans="1:12" ht="15" thickBot="1" x14ac:dyDescent="0.4">
      <c r="A167" s="5">
        <v>1238</v>
      </c>
      <c r="B167" s="5" t="s">
        <v>30</v>
      </c>
      <c r="C167" s="5" t="s">
        <v>31</v>
      </c>
      <c r="D167" s="5" t="s">
        <v>13</v>
      </c>
      <c r="E167" s="5" t="s">
        <v>14</v>
      </c>
      <c r="F167" s="5">
        <v>6</v>
      </c>
      <c r="G167" s="5">
        <v>180</v>
      </c>
      <c r="H167" s="5">
        <v>12</v>
      </c>
      <c r="I167" s="6">
        <v>46096</v>
      </c>
      <c r="J167" s="6">
        <v>46097</v>
      </c>
      <c r="K167" s="10" t="s">
        <v>51</v>
      </c>
      <c r="L167" s="16">
        <f t="shared" si="2"/>
        <v>1</v>
      </c>
    </row>
    <row r="168" spans="1:12" ht="15" thickBot="1" x14ac:dyDescent="0.4">
      <c r="A168" s="5">
        <v>1276</v>
      </c>
      <c r="B168" s="5" t="s">
        <v>40</v>
      </c>
      <c r="C168" s="5" t="s">
        <v>12</v>
      </c>
      <c r="D168" s="5" t="s">
        <v>18</v>
      </c>
      <c r="E168" s="5" t="s">
        <v>19</v>
      </c>
      <c r="F168" s="5">
        <v>1</v>
      </c>
      <c r="G168" s="5">
        <v>13437</v>
      </c>
      <c r="H168" s="5">
        <v>15</v>
      </c>
      <c r="I168" s="6">
        <v>46097</v>
      </c>
      <c r="J168" s="6">
        <v>46099</v>
      </c>
      <c r="K168" s="10" t="s">
        <v>24</v>
      </c>
      <c r="L168" s="16">
        <f t="shared" si="2"/>
        <v>2</v>
      </c>
    </row>
    <row r="169" spans="1:12" ht="15" thickBot="1" x14ac:dyDescent="0.4">
      <c r="A169" s="5">
        <v>1030</v>
      </c>
      <c r="B169" s="5" t="s">
        <v>52</v>
      </c>
      <c r="C169" s="5" t="s">
        <v>12</v>
      </c>
      <c r="D169" s="5" t="s">
        <v>13</v>
      </c>
      <c r="E169" s="5" t="s">
        <v>53</v>
      </c>
      <c r="F169" s="5">
        <v>13</v>
      </c>
      <c r="G169" s="5">
        <v>336</v>
      </c>
      <c r="H169" s="5">
        <v>10</v>
      </c>
      <c r="I169" s="6">
        <v>46098</v>
      </c>
      <c r="J169" s="6">
        <v>46108</v>
      </c>
      <c r="K169" s="10" t="s">
        <v>15</v>
      </c>
      <c r="L169" s="16">
        <f t="shared" si="2"/>
        <v>10</v>
      </c>
    </row>
    <row r="170" spans="1:12" ht="15" thickBot="1" x14ac:dyDescent="0.4">
      <c r="A170" s="5">
        <v>1391</v>
      </c>
      <c r="B170" s="5" t="s">
        <v>30</v>
      </c>
      <c r="C170" s="5" t="s">
        <v>31</v>
      </c>
      <c r="D170" s="5" t="s">
        <v>34</v>
      </c>
      <c r="E170" s="5" t="s">
        <v>35</v>
      </c>
      <c r="F170" s="5">
        <v>5</v>
      </c>
      <c r="G170" s="5">
        <v>65270</v>
      </c>
      <c r="H170" s="5">
        <v>5</v>
      </c>
      <c r="I170" s="6">
        <v>46100</v>
      </c>
      <c r="J170" s="6">
        <v>46103</v>
      </c>
      <c r="K170" s="10" t="s">
        <v>24</v>
      </c>
      <c r="L170" s="16">
        <f t="shared" si="2"/>
        <v>3</v>
      </c>
    </row>
    <row r="171" spans="1:12" ht="15" thickBot="1" x14ac:dyDescent="0.4">
      <c r="A171" s="5">
        <v>1162</v>
      </c>
      <c r="B171" s="5" t="s">
        <v>57</v>
      </c>
      <c r="C171" s="5" t="s">
        <v>31</v>
      </c>
      <c r="D171" s="5" t="s">
        <v>34</v>
      </c>
      <c r="E171" s="5" t="s">
        <v>45</v>
      </c>
      <c r="F171" s="5">
        <v>2</v>
      </c>
      <c r="G171" s="5">
        <v>28176</v>
      </c>
      <c r="H171" s="5">
        <v>10</v>
      </c>
      <c r="I171" s="6">
        <v>46100</v>
      </c>
      <c r="J171" s="6">
        <v>46101</v>
      </c>
      <c r="K171" s="10" t="s">
        <v>20</v>
      </c>
      <c r="L171" s="16">
        <f t="shared" si="2"/>
        <v>1</v>
      </c>
    </row>
    <row r="172" spans="1:12" ht="15" thickBot="1" x14ac:dyDescent="0.4">
      <c r="A172" s="5">
        <v>1283</v>
      </c>
      <c r="B172" s="5" t="s">
        <v>40</v>
      </c>
      <c r="C172" s="5" t="s">
        <v>12</v>
      </c>
      <c r="D172" s="5" t="s">
        <v>18</v>
      </c>
      <c r="E172" s="5" t="s">
        <v>23</v>
      </c>
      <c r="F172" s="5">
        <v>6</v>
      </c>
      <c r="G172" s="5">
        <v>1167</v>
      </c>
      <c r="H172" s="5">
        <v>2</v>
      </c>
      <c r="I172" s="6">
        <v>46100</v>
      </c>
      <c r="J172" s="6">
        <v>46106</v>
      </c>
      <c r="K172" s="10" t="s">
        <v>15</v>
      </c>
      <c r="L172" s="16">
        <f t="shared" si="2"/>
        <v>6</v>
      </c>
    </row>
    <row r="173" spans="1:12" ht="15" thickBot="1" x14ac:dyDescent="0.4">
      <c r="A173" s="5">
        <v>1094</v>
      </c>
      <c r="B173" s="5" t="s">
        <v>47</v>
      </c>
      <c r="C173" s="5" t="s">
        <v>43</v>
      </c>
      <c r="D173" s="5" t="s">
        <v>34</v>
      </c>
      <c r="E173" s="5" t="s">
        <v>61</v>
      </c>
      <c r="F173" s="5">
        <v>4</v>
      </c>
      <c r="G173" s="5">
        <v>7073</v>
      </c>
      <c r="H173" s="5">
        <v>0</v>
      </c>
      <c r="I173" s="6">
        <v>46101</v>
      </c>
      <c r="J173" s="6">
        <v>46105</v>
      </c>
      <c r="K173" s="10" t="s">
        <v>29</v>
      </c>
      <c r="L173" s="16">
        <f t="shared" si="2"/>
        <v>4</v>
      </c>
    </row>
    <row r="174" spans="1:12" ht="15" thickBot="1" x14ac:dyDescent="0.4">
      <c r="A174" s="5">
        <v>1387</v>
      </c>
      <c r="B174" s="5" t="s">
        <v>54</v>
      </c>
      <c r="C174" s="5" t="s">
        <v>33</v>
      </c>
      <c r="D174" s="5" t="s">
        <v>34</v>
      </c>
      <c r="E174" s="5" t="s">
        <v>35</v>
      </c>
      <c r="F174" s="5">
        <v>11</v>
      </c>
      <c r="G174" s="5">
        <v>56515</v>
      </c>
      <c r="H174" s="5">
        <v>5</v>
      </c>
      <c r="I174" s="6">
        <v>46102</v>
      </c>
      <c r="J174" s="6">
        <v>46112</v>
      </c>
      <c r="K174" s="10" t="s">
        <v>24</v>
      </c>
      <c r="L174" s="16">
        <f t="shared" si="2"/>
        <v>10</v>
      </c>
    </row>
    <row r="175" spans="1:12" ht="15" thickBot="1" x14ac:dyDescent="0.4">
      <c r="A175" s="5">
        <v>1049</v>
      </c>
      <c r="B175" s="5" t="s">
        <v>52</v>
      </c>
      <c r="C175" s="5" t="s">
        <v>25</v>
      </c>
      <c r="D175" s="5" t="s">
        <v>34</v>
      </c>
      <c r="E175" s="5" t="s">
        <v>45</v>
      </c>
      <c r="F175" s="5">
        <v>2</v>
      </c>
      <c r="G175" s="5">
        <v>40789</v>
      </c>
      <c r="H175" s="5">
        <v>0</v>
      </c>
      <c r="I175" s="6">
        <v>46102</v>
      </c>
      <c r="J175" s="6">
        <v>46108</v>
      </c>
      <c r="K175" s="10" t="s">
        <v>24</v>
      </c>
      <c r="L175" s="16">
        <f t="shared" si="2"/>
        <v>6</v>
      </c>
    </row>
    <row r="176" spans="1:12" ht="15" thickBot="1" x14ac:dyDescent="0.4">
      <c r="A176" s="5">
        <v>1145</v>
      </c>
      <c r="B176" s="5" t="s">
        <v>42</v>
      </c>
      <c r="C176" s="5" t="s">
        <v>33</v>
      </c>
      <c r="D176" s="5" t="s">
        <v>34</v>
      </c>
      <c r="E176" s="5" t="s">
        <v>39</v>
      </c>
      <c r="F176" s="5">
        <v>2</v>
      </c>
      <c r="G176" s="5">
        <v>34429</v>
      </c>
      <c r="H176" s="5">
        <v>12</v>
      </c>
      <c r="I176" s="6">
        <v>46102</v>
      </c>
      <c r="J176" s="6">
        <v>46112</v>
      </c>
      <c r="K176" s="10" t="s">
        <v>24</v>
      </c>
      <c r="L176" s="16">
        <f t="shared" si="2"/>
        <v>10</v>
      </c>
    </row>
    <row r="177" spans="1:12" ht="15" thickBot="1" x14ac:dyDescent="0.4">
      <c r="A177" s="5">
        <v>1121</v>
      </c>
      <c r="B177" s="5" t="s">
        <v>29</v>
      </c>
      <c r="C177" s="5" t="s">
        <v>12</v>
      </c>
      <c r="D177" s="5" t="s">
        <v>34</v>
      </c>
      <c r="E177" s="5" t="s">
        <v>39</v>
      </c>
      <c r="F177" s="5">
        <v>4</v>
      </c>
      <c r="G177" s="5">
        <v>55809</v>
      </c>
      <c r="H177" s="5">
        <v>2</v>
      </c>
      <c r="I177" s="6">
        <v>46103</v>
      </c>
      <c r="J177" s="6">
        <v>46108</v>
      </c>
      <c r="K177" s="10" t="s">
        <v>29</v>
      </c>
      <c r="L177" s="16">
        <f t="shared" si="2"/>
        <v>5</v>
      </c>
    </row>
    <row r="178" spans="1:12" ht="15" thickBot="1" x14ac:dyDescent="0.4">
      <c r="A178" s="5">
        <v>1209</v>
      </c>
      <c r="B178" s="5" t="s">
        <v>48</v>
      </c>
      <c r="C178" s="5" t="s">
        <v>38</v>
      </c>
      <c r="D178" s="5" t="s">
        <v>34</v>
      </c>
      <c r="E178" s="5" t="s">
        <v>35</v>
      </c>
      <c r="F178" s="5">
        <v>19</v>
      </c>
      <c r="G178" s="5">
        <v>20284</v>
      </c>
      <c r="H178" s="5">
        <v>10</v>
      </c>
      <c r="I178" s="6">
        <v>46103</v>
      </c>
      <c r="J178" s="6">
        <v>46110</v>
      </c>
      <c r="K178" s="10" t="s">
        <v>20</v>
      </c>
      <c r="L178" s="16">
        <f t="shared" si="2"/>
        <v>7</v>
      </c>
    </row>
    <row r="179" spans="1:12" ht="15" thickBot="1" x14ac:dyDescent="0.4">
      <c r="A179" s="5">
        <v>1161</v>
      </c>
      <c r="B179" s="5" t="s">
        <v>27</v>
      </c>
      <c r="C179" s="5" t="s">
        <v>25</v>
      </c>
      <c r="D179" s="5" t="s">
        <v>34</v>
      </c>
      <c r="E179" s="5" t="s">
        <v>39</v>
      </c>
      <c r="F179" s="5">
        <v>4</v>
      </c>
      <c r="G179" s="5">
        <v>54659</v>
      </c>
      <c r="H179" s="5">
        <v>7</v>
      </c>
      <c r="I179" s="6">
        <v>46105</v>
      </c>
      <c r="J179" s="6">
        <v>46109</v>
      </c>
      <c r="K179" s="10" t="s">
        <v>20</v>
      </c>
      <c r="L179" s="16">
        <f t="shared" si="2"/>
        <v>4</v>
      </c>
    </row>
    <row r="180" spans="1:12" ht="15" thickBot="1" x14ac:dyDescent="0.4">
      <c r="A180" s="5">
        <v>1377</v>
      </c>
      <c r="B180" s="5" t="s">
        <v>32</v>
      </c>
      <c r="C180" s="5" t="s">
        <v>38</v>
      </c>
      <c r="D180" s="5" t="s">
        <v>18</v>
      </c>
      <c r="E180" s="5" t="s">
        <v>19</v>
      </c>
      <c r="F180" s="5">
        <v>3</v>
      </c>
      <c r="G180" s="5">
        <v>5480</v>
      </c>
      <c r="H180" s="5">
        <v>12</v>
      </c>
      <c r="I180" s="6">
        <v>46105</v>
      </c>
      <c r="J180" s="6">
        <v>46111</v>
      </c>
      <c r="K180" s="10" t="s">
        <v>24</v>
      </c>
      <c r="L180" s="16">
        <f t="shared" si="2"/>
        <v>6</v>
      </c>
    </row>
    <row r="181" spans="1:12" ht="15" thickBot="1" x14ac:dyDescent="0.4">
      <c r="A181" s="5">
        <v>1170</v>
      </c>
      <c r="B181" s="5" t="s">
        <v>49</v>
      </c>
      <c r="C181" s="5" t="s">
        <v>38</v>
      </c>
      <c r="D181" s="5" t="s">
        <v>13</v>
      </c>
      <c r="E181" s="5" t="s">
        <v>14</v>
      </c>
      <c r="F181" s="5">
        <v>6</v>
      </c>
      <c r="G181" s="5">
        <v>339</v>
      </c>
      <c r="H181" s="5">
        <v>12</v>
      </c>
      <c r="I181" s="6">
        <v>46105</v>
      </c>
      <c r="J181" s="6">
        <v>46106</v>
      </c>
      <c r="K181" s="10" t="s">
        <v>24</v>
      </c>
      <c r="L181" s="16">
        <f t="shared" si="2"/>
        <v>1</v>
      </c>
    </row>
    <row r="182" spans="1:12" ht="15" thickBot="1" x14ac:dyDescent="0.4">
      <c r="A182" s="5">
        <v>1102</v>
      </c>
      <c r="B182" s="5" t="s">
        <v>54</v>
      </c>
      <c r="C182" s="5" t="s">
        <v>25</v>
      </c>
      <c r="D182" s="5" t="s">
        <v>34</v>
      </c>
      <c r="E182" s="5" t="s">
        <v>45</v>
      </c>
      <c r="F182" s="5">
        <v>12</v>
      </c>
      <c r="G182" s="5">
        <v>63402</v>
      </c>
      <c r="H182" s="5">
        <v>7</v>
      </c>
      <c r="I182" s="6">
        <v>46106</v>
      </c>
      <c r="J182" s="6">
        <v>46113</v>
      </c>
      <c r="K182" s="10" t="s">
        <v>51</v>
      </c>
      <c r="L182" s="16">
        <f t="shared" si="2"/>
        <v>7</v>
      </c>
    </row>
    <row r="183" spans="1:12" ht="15" thickBot="1" x14ac:dyDescent="0.4">
      <c r="A183" s="5">
        <v>1198</v>
      </c>
      <c r="B183" s="5" t="s">
        <v>58</v>
      </c>
      <c r="C183" s="5" t="s">
        <v>12</v>
      </c>
      <c r="D183" s="5" t="s">
        <v>13</v>
      </c>
      <c r="E183" s="5" t="s">
        <v>14</v>
      </c>
      <c r="F183" s="5">
        <v>12</v>
      </c>
      <c r="G183" s="5">
        <v>491</v>
      </c>
      <c r="H183" s="5">
        <v>2</v>
      </c>
      <c r="I183" s="6">
        <v>46106</v>
      </c>
      <c r="J183" s="6">
        <v>46109</v>
      </c>
      <c r="K183" s="10" t="s">
        <v>51</v>
      </c>
      <c r="L183" s="16">
        <f t="shared" si="2"/>
        <v>3</v>
      </c>
    </row>
    <row r="184" spans="1:12" ht="15" thickBot="1" x14ac:dyDescent="0.4">
      <c r="A184" s="5">
        <v>1379</v>
      </c>
      <c r="B184" s="5" t="s">
        <v>47</v>
      </c>
      <c r="C184" s="5" t="s">
        <v>17</v>
      </c>
      <c r="D184" s="5" t="s">
        <v>13</v>
      </c>
      <c r="E184" s="5" t="s">
        <v>14</v>
      </c>
      <c r="F184" s="5">
        <v>11</v>
      </c>
      <c r="G184" s="5">
        <v>136</v>
      </c>
      <c r="H184" s="5">
        <v>15</v>
      </c>
      <c r="I184" s="6">
        <v>46106</v>
      </c>
      <c r="J184" s="6">
        <v>46107</v>
      </c>
      <c r="K184" s="10" t="s">
        <v>20</v>
      </c>
      <c r="L184" s="16">
        <f t="shared" si="2"/>
        <v>1</v>
      </c>
    </row>
    <row r="185" spans="1:12" ht="15" thickBot="1" x14ac:dyDescent="0.4">
      <c r="A185" s="5">
        <v>1039</v>
      </c>
      <c r="B185" s="5" t="s">
        <v>48</v>
      </c>
      <c r="C185" s="5" t="s">
        <v>38</v>
      </c>
      <c r="D185" s="5" t="s">
        <v>34</v>
      </c>
      <c r="E185" s="5" t="s">
        <v>45</v>
      </c>
      <c r="F185" s="5">
        <v>5</v>
      </c>
      <c r="G185" s="5">
        <v>60236</v>
      </c>
      <c r="H185" s="5">
        <v>10</v>
      </c>
      <c r="I185" s="6">
        <v>46107</v>
      </c>
      <c r="J185" s="6">
        <v>46110</v>
      </c>
      <c r="K185" s="10" t="s">
        <v>20</v>
      </c>
      <c r="L185" s="16">
        <f t="shared" si="2"/>
        <v>3</v>
      </c>
    </row>
    <row r="186" spans="1:12" ht="15" thickBot="1" x14ac:dyDescent="0.4">
      <c r="A186" s="5">
        <v>1321</v>
      </c>
      <c r="B186" s="5" t="s">
        <v>32</v>
      </c>
      <c r="C186" s="5" t="s">
        <v>22</v>
      </c>
      <c r="D186" s="5" t="s">
        <v>18</v>
      </c>
      <c r="E186" s="5" t="s">
        <v>19</v>
      </c>
      <c r="F186" s="5">
        <v>8</v>
      </c>
      <c r="G186" s="5">
        <v>5619</v>
      </c>
      <c r="H186" s="5">
        <v>7</v>
      </c>
      <c r="I186" s="6">
        <v>46107</v>
      </c>
      <c r="J186" s="6">
        <v>46109</v>
      </c>
      <c r="K186" s="10" t="s">
        <v>51</v>
      </c>
      <c r="L186" s="16">
        <f t="shared" si="2"/>
        <v>2</v>
      </c>
    </row>
    <row r="187" spans="1:12" ht="15" thickBot="1" x14ac:dyDescent="0.4">
      <c r="A187" s="5">
        <v>1123</v>
      </c>
      <c r="B187" s="5" t="s">
        <v>32</v>
      </c>
      <c r="C187" s="5" t="s">
        <v>31</v>
      </c>
      <c r="D187" s="5" t="s">
        <v>34</v>
      </c>
      <c r="E187" s="5" t="s">
        <v>45</v>
      </c>
      <c r="F187" s="5">
        <v>16</v>
      </c>
      <c r="G187" s="5">
        <v>1332</v>
      </c>
      <c r="H187" s="5">
        <v>7</v>
      </c>
      <c r="I187" s="6">
        <v>46107</v>
      </c>
      <c r="J187" s="6">
        <v>46109</v>
      </c>
      <c r="K187" s="10" t="s">
        <v>29</v>
      </c>
      <c r="L187" s="16">
        <f t="shared" si="2"/>
        <v>2</v>
      </c>
    </row>
    <row r="188" spans="1:12" ht="15" thickBot="1" x14ac:dyDescent="0.4">
      <c r="A188" s="5">
        <v>1182</v>
      </c>
      <c r="B188" s="5" t="s">
        <v>42</v>
      </c>
      <c r="C188" s="5" t="s">
        <v>12</v>
      </c>
      <c r="D188" s="5" t="s">
        <v>34</v>
      </c>
      <c r="E188" s="5" t="s">
        <v>39</v>
      </c>
      <c r="F188" s="5">
        <v>8</v>
      </c>
      <c r="G188" s="5">
        <v>66022</v>
      </c>
      <c r="H188" s="5">
        <v>12</v>
      </c>
      <c r="I188" s="6">
        <v>46108</v>
      </c>
      <c r="J188" s="6">
        <v>46114</v>
      </c>
      <c r="K188" s="10" t="s">
        <v>24</v>
      </c>
      <c r="L188" s="16">
        <f t="shared" si="2"/>
        <v>6</v>
      </c>
    </row>
    <row r="189" spans="1:12" ht="15" thickBot="1" x14ac:dyDescent="0.4">
      <c r="A189" s="5">
        <v>1183</v>
      </c>
      <c r="B189" s="5" t="s">
        <v>52</v>
      </c>
      <c r="C189" s="5" t="s">
        <v>43</v>
      </c>
      <c r="D189" s="5" t="s">
        <v>13</v>
      </c>
      <c r="E189" s="5" t="s">
        <v>14</v>
      </c>
      <c r="F189" s="5">
        <v>2</v>
      </c>
      <c r="G189" s="5">
        <v>309</v>
      </c>
      <c r="H189" s="5">
        <v>2</v>
      </c>
      <c r="I189" s="6">
        <v>46109</v>
      </c>
      <c r="J189" s="6">
        <v>46111</v>
      </c>
      <c r="K189" s="10" t="s">
        <v>20</v>
      </c>
      <c r="L189" s="16">
        <f t="shared" si="2"/>
        <v>2</v>
      </c>
    </row>
    <row r="190" spans="1:12" ht="15" thickBot="1" x14ac:dyDescent="0.4">
      <c r="A190" s="5">
        <v>1328</v>
      </c>
      <c r="B190" s="5" t="s">
        <v>16</v>
      </c>
      <c r="C190" s="5" t="s">
        <v>38</v>
      </c>
      <c r="D190" s="5" t="s">
        <v>13</v>
      </c>
      <c r="E190" s="5" t="s">
        <v>36</v>
      </c>
      <c r="F190" s="5">
        <v>4</v>
      </c>
      <c r="G190" s="5">
        <v>132</v>
      </c>
      <c r="H190" s="5">
        <v>0</v>
      </c>
      <c r="I190" s="6">
        <v>46109</v>
      </c>
      <c r="J190" s="6">
        <v>46114</v>
      </c>
      <c r="K190" s="10" t="s">
        <v>29</v>
      </c>
      <c r="L190" s="16">
        <f t="shared" si="2"/>
        <v>5</v>
      </c>
    </row>
    <row r="191" spans="1:12" ht="15" thickBot="1" x14ac:dyDescent="0.4">
      <c r="A191" s="5">
        <v>1290</v>
      </c>
      <c r="B191" s="5" t="s">
        <v>26</v>
      </c>
      <c r="C191" s="5" t="s">
        <v>22</v>
      </c>
      <c r="D191" s="5" t="s">
        <v>34</v>
      </c>
      <c r="E191" s="5" t="s">
        <v>35</v>
      </c>
      <c r="F191" s="5">
        <v>3</v>
      </c>
      <c r="G191" s="5">
        <v>69793</v>
      </c>
      <c r="H191" s="5">
        <v>15</v>
      </c>
      <c r="I191" s="6">
        <v>46110</v>
      </c>
      <c r="J191" s="6">
        <v>46111</v>
      </c>
      <c r="K191" s="10" t="s">
        <v>29</v>
      </c>
      <c r="L191" s="16">
        <f t="shared" si="2"/>
        <v>1</v>
      </c>
    </row>
    <row r="192" spans="1:12" ht="15" thickBot="1" x14ac:dyDescent="0.4">
      <c r="A192" s="5">
        <v>1193</v>
      </c>
      <c r="B192" s="5" t="s">
        <v>57</v>
      </c>
      <c r="C192" s="5" t="s">
        <v>12</v>
      </c>
      <c r="D192" s="5" t="s">
        <v>18</v>
      </c>
      <c r="E192" s="5" t="s">
        <v>23</v>
      </c>
      <c r="F192" s="5">
        <v>19</v>
      </c>
      <c r="G192" s="5">
        <v>2699</v>
      </c>
      <c r="H192" s="5">
        <v>7</v>
      </c>
      <c r="I192" s="6">
        <v>46110</v>
      </c>
      <c r="J192" s="6">
        <v>46112</v>
      </c>
      <c r="K192" s="10" t="s">
        <v>29</v>
      </c>
      <c r="L192" s="16">
        <f t="shared" si="2"/>
        <v>2</v>
      </c>
    </row>
    <row r="193" spans="1:12" ht="15" thickBot="1" x14ac:dyDescent="0.4">
      <c r="A193" s="5">
        <v>1300</v>
      </c>
      <c r="B193" s="5" t="s">
        <v>47</v>
      </c>
      <c r="C193" s="5" t="s">
        <v>33</v>
      </c>
      <c r="D193" s="5" t="s">
        <v>34</v>
      </c>
      <c r="E193" s="5" t="s">
        <v>45</v>
      </c>
      <c r="F193" s="5">
        <v>20</v>
      </c>
      <c r="G193" s="5">
        <v>1392</v>
      </c>
      <c r="H193" s="5">
        <v>2</v>
      </c>
      <c r="I193" s="6">
        <v>46110</v>
      </c>
      <c r="J193" s="6">
        <v>46117</v>
      </c>
      <c r="K193" s="10" t="s">
        <v>24</v>
      </c>
      <c r="L193" s="16">
        <f t="shared" si="2"/>
        <v>7</v>
      </c>
    </row>
    <row r="194" spans="1:12" ht="15" thickBot="1" x14ac:dyDescent="0.4">
      <c r="A194" s="5">
        <v>1180</v>
      </c>
      <c r="B194" s="5" t="s">
        <v>40</v>
      </c>
      <c r="C194" s="5" t="s">
        <v>31</v>
      </c>
      <c r="D194" s="5" t="s">
        <v>18</v>
      </c>
      <c r="E194" s="5" t="s">
        <v>28</v>
      </c>
      <c r="F194" s="5">
        <v>2</v>
      </c>
      <c r="G194" s="5">
        <v>2076</v>
      </c>
      <c r="H194" s="5">
        <v>2</v>
      </c>
      <c r="I194" s="6">
        <v>46111</v>
      </c>
      <c r="J194" s="6">
        <v>46121</v>
      </c>
      <c r="K194" s="10" t="s">
        <v>29</v>
      </c>
      <c r="L194" s="16">
        <f t="shared" si="2"/>
        <v>10</v>
      </c>
    </row>
    <row r="195" spans="1:12" ht="15" thickBot="1" x14ac:dyDescent="0.4">
      <c r="A195" s="5">
        <v>1178</v>
      </c>
      <c r="B195" s="5" t="s">
        <v>57</v>
      </c>
      <c r="C195" s="5" t="s">
        <v>17</v>
      </c>
      <c r="D195" s="5" t="s">
        <v>13</v>
      </c>
      <c r="E195" s="5" t="s">
        <v>50</v>
      </c>
      <c r="F195" s="5">
        <v>5</v>
      </c>
      <c r="G195" s="5">
        <v>50</v>
      </c>
      <c r="H195" s="5">
        <v>0</v>
      </c>
      <c r="I195" s="6">
        <v>46111</v>
      </c>
      <c r="J195" s="6">
        <v>46117</v>
      </c>
      <c r="K195" s="10" t="s">
        <v>20</v>
      </c>
      <c r="L195" s="16">
        <f t="shared" ref="L195:L258" si="3">J195-I195</f>
        <v>6</v>
      </c>
    </row>
    <row r="196" spans="1:12" ht="15" thickBot="1" x14ac:dyDescent="0.4">
      <c r="A196" s="5">
        <v>1251</v>
      </c>
      <c r="B196" s="5" t="s">
        <v>55</v>
      </c>
      <c r="C196" s="5" t="s">
        <v>38</v>
      </c>
      <c r="D196" s="5" t="s">
        <v>34</v>
      </c>
      <c r="E196" s="5" t="s">
        <v>61</v>
      </c>
      <c r="F196" s="5">
        <v>19</v>
      </c>
      <c r="G196" s="5">
        <v>48548</v>
      </c>
      <c r="H196" s="5">
        <v>0</v>
      </c>
      <c r="I196" s="6">
        <v>46112</v>
      </c>
      <c r="J196" s="6">
        <v>46121</v>
      </c>
      <c r="K196" s="10" t="s">
        <v>51</v>
      </c>
      <c r="L196" s="16">
        <f t="shared" si="3"/>
        <v>9</v>
      </c>
    </row>
    <row r="197" spans="1:12" ht="15" thickBot="1" x14ac:dyDescent="0.4">
      <c r="A197" s="5">
        <v>1133</v>
      </c>
      <c r="B197" s="5" t="s">
        <v>11</v>
      </c>
      <c r="C197" s="5" t="s">
        <v>12</v>
      </c>
      <c r="D197" s="5" t="s">
        <v>18</v>
      </c>
      <c r="E197" s="5" t="s">
        <v>56</v>
      </c>
      <c r="F197" s="5">
        <v>6</v>
      </c>
      <c r="G197" s="5">
        <v>9037</v>
      </c>
      <c r="H197" s="5">
        <v>2</v>
      </c>
      <c r="I197" s="6">
        <v>46112</v>
      </c>
      <c r="J197" s="6">
        <v>46121</v>
      </c>
      <c r="K197" s="10" t="s">
        <v>51</v>
      </c>
      <c r="L197" s="16">
        <f t="shared" si="3"/>
        <v>9</v>
      </c>
    </row>
    <row r="198" spans="1:12" ht="15" thickBot="1" x14ac:dyDescent="0.4">
      <c r="A198" s="5">
        <v>1227</v>
      </c>
      <c r="B198" s="5" t="s">
        <v>58</v>
      </c>
      <c r="C198" s="5" t="s">
        <v>22</v>
      </c>
      <c r="D198" s="5" t="s">
        <v>34</v>
      </c>
      <c r="E198" s="5" t="s">
        <v>45</v>
      </c>
      <c r="F198" s="5">
        <v>16</v>
      </c>
      <c r="G198" s="5">
        <v>1321</v>
      </c>
      <c r="H198" s="5">
        <v>12</v>
      </c>
      <c r="I198" s="6">
        <v>46113</v>
      </c>
      <c r="J198" s="6">
        <v>46116</v>
      </c>
      <c r="K198" s="10" t="s">
        <v>15</v>
      </c>
      <c r="L198" s="16">
        <f t="shared" si="3"/>
        <v>3</v>
      </c>
    </row>
    <row r="199" spans="1:12" ht="15" thickBot="1" x14ac:dyDescent="0.4">
      <c r="A199" s="5">
        <v>1077</v>
      </c>
      <c r="B199" s="5" t="s">
        <v>55</v>
      </c>
      <c r="C199" s="5" t="s">
        <v>25</v>
      </c>
      <c r="D199" s="5" t="s">
        <v>13</v>
      </c>
      <c r="E199" s="5" t="s">
        <v>14</v>
      </c>
      <c r="F199" s="5">
        <v>1</v>
      </c>
      <c r="G199" s="5">
        <v>123</v>
      </c>
      <c r="H199" s="5">
        <v>10</v>
      </c>
      <c r="I199" s="6">
        <v>46113</v>
      </c>
      <c r="J199" s="6">
        <v>46121</v>
      </c>
      <c r="K199" s="10" t="s">
        <v>51</v>
      </c>
      <c r="L199" s="16">
        <f t="shared" si="3"/>
        <v>8</v>
      </c>
    </row>
    <row r="200" spans="1:12" ht="15" thickBot="1" x14ac:dyDescent="0.4">
      <c r="A200" s="5">
        <v>1059</v>
      </c>
      <c r="B200" s="5" t="s">
        <v>54</v>
      </c>
      <c r="C200" s="5" t="s">
        <v>25</v>
      </c>
      <c r="D200" s="5" t="s">
        <v>13</v>
      </c>
      <c r="E200" s="5" t="s">
        <v>50</v>
      </c>
      <c r="F200" s="5">
        <v>20</v>
      </c>
      <c r="G200" s="5">
        <v>112</v>
      </c>
      <c r="H200" s="5">
        <v>10</v>
      </c>
      <c r="I200" s="6">
        <v>46113</v>
      </c>
      <c r="J200" s="6">
        <v>46122</v>
      </c>
      <c r="K200" s="10" t="s">
        <v>51</v>
      </c>
      <c r="L200" s="16">
        <f t="shared" si="3"/>
        <v>9</v>
      </c>
    </row>
    <row r="201" spans="1:12" ht="15" thickBot="1" x14ac:dyDescent="0.4">
      <c r="A201" s="5">
        <v>1234</v>
      </c>
      <c r="B201" s="5" t="s">
        <v>11</v>
      </c>
      <c r="C201" s="5" t="s">
        <v>25</v>
      </c>
      <c r="D201" s="5" t="s">
        <v>18</v>
      </c>
      <c r="E201" s="5" t="s">
        <v>28</v>
      </c>
      <c r="F201" s="5">
        <v>1</v>
      </c>
      <c r="G201" s="5">
        <v>14320</v>
      </c>
      <c r="H201" s="5">
        <v>12</v>
      </c>
      <c r="I201" s="6">
        <v>46114</v>
      </c>
      <c r="J201" s="6">
        <v>46121</v>
      </c>
      <c r="K201" s="10" t="s">
        <v>51</v>
      </c>
      <c r="L201" s="16">
        <f t="shared" si="3"/>
        <v>7</v>
      </c>
    </row>
    <row r="202" spans="1:12" ht="15" thickBot="1" x14ac:dyDescent="0.4">
      <c r="A202" s="5">
        <v>1074</v>
      </c>
      <c r="B202" s="5" t="s">
        <v>26</v>
      </c>
      <c r="C202" s="5" t="s">
        <v>31</v>
      </c>
      <c r="D202" s="5" t="s">
        <v>13</v>
      </c>
      <c r="E202" s="5" t="s">
        <v>50</v>
      </c>
      <c r="F202" s="5">
        <v>11</v>
      </c>
      <c r="G202" s="5">
        <v>390</v>
      </c>
      <c r="H202" s="5">
        <v>15</v>
      </c>
      <c r="I202" s="6">
        <v>46114</v>
      </c>
      <c r="J202" s="6">
        <v>46123</v>
      </c>
      <c r="K202" s="10" t="s">
        <v>29</v>
      </c>
      <c r="L202" s="16">
        <f t="shared" si="3"/>
        <v>9</v>
      </c>
    </row>
    <row r="203" spans="1:12" ht="15" thickBot="1" x14ac:dyDescent="0.4">
      <c r="A203" s="5">
        <v>1213</v>
      </c>
      <c r="B203" s="5" t="s">
        <v>32</v>
      </c>
      <c r="C203" s="5" t="s">
        <v>38</v>
      </c>
      <c r="D203" s="5" t="s">
        <v>34</v>
      </c>
      <c r="E203" s="5" t="s">
        <v>45</v>
      </c>
      <c r="F203" s="5">
        <v>16</v>
      </c>
      <c r="G203" s="5">
        <v>27741</v>
      </c>
      <c r="H203" s="5">
        <v>12</v>
      </c>
      <c r="I203" s="6">
        <v>46116</v>
      </c>
      <c r="J203" s="6">
        <v>46119</v>
      </c>
      <c r="K203" s="10" t="s">
        <v>15</v>
      </c>
      <c r="L203" s="16">
        <f t="shared" si="3"/>
        <v>3</v>
      </c>
    </row>
    <row r="204" spans="1:12" ht="15" thickBot="1" x14ac:dyDescent="0.4">
      <c r="A204" s="5">
        <v>1028</v>
      </c>
      <c r="B204" s="5" t="s">
        <v>47</v>
      </c>
      <c r="C204" s="5" t="s">
        <v>22</v>
      </c>
      <c r="D204" s="5" t="s">
        <v>13</v>
      </c>
      <c r="E204" s="5" t="s">
        <v>36</v>
      </c>
      <c r="F204" s="5">
        <v>13</v>
      </c>
      <c r="G204" s="5">
        <v>433</v>
      </c>
      <c r="H204" s="5">
        <v>2</v>
      </c>
      <c r="I204" s="6">
        <v>46116</v>
      </c>
      <c r="J204" s="6">
        <v>46121</v>
      </c>
      <c r="K204" s="10" t="s">
        <v>24</v>
      </c>
      <c r="L204" s="16">
        <f t="shared" si="3"/>
        <v>5</v>
      </c>
    </row>
    <row r="205" spans="1:12" ht="15" thickBot="1" x14ac:dyDescent="0.4">
      <c r="A205" s="5">
        <v>1287</v>
      </c>
      <c r="B205" s="5" t="s">
        <v>59</v>
      </c>
      <c r="C205" s="5" t="s">
        <v>31</v>
      </c>
      <c r="D205" s="5" t="s">
        <v>13</v>
      </c>
      <c r="E205" s="5" t="s">
        <v>14</v>
      </c>
      <c r="F205" s="5">
        <v>15</v>
      </c>
      <c r="G205" s="5">
        <v>251</v>
      </c>
      <c r="H205" s="5">
        <v>2</v>
      </c>
      <c r="I205" s="6">
        <v>46116</v>
      </c>
      <c r="J205" s="6">
        <v>46122</v>
      </c>
      <c r="K205" s="10" t="s">
        <v>51</v>
      </c>
      <c r="L205" s="16">
        <f t="shared" si="3"/>
        <v>6</v>
      </c>
    </row>
    <row r="206" spans="1:12" ht="15" thickBot="1" x14ac:dyDescent="0.4">
      <c r="A206" s="5">
        <v>1022</v>
      </c>
      <c r="B206" s="5" t="s">
        <v>26</v>
      </c>
      <c r="C206" s="5" t="s">
        <v>17</v>
      </c>
      <c r="D206" s="5" t="s">
        <v>34</v>
      </c>
      <c r="E206" s="5" t="s">
        <v>45</v>
      </c>
      <c r="F206" s="5">
        <v>15</v>
      </c>
      <c r="G206" s="5">
        <v>11596</v>
      </c>
      <c r="H206" s="5">
        <v>0</v>
      </c>
      <c r="I206" s="6">
        <v>46117</v>
      </c>
      <c r="J206" s="6">
        <v>46121</v>
      </c>
      <c r="K206" s="10" t="s">
        <v>29</v>
      </c>
      <c r="L206" s="16">
        <f t="shared" si="3"/>
        <v>4</v>
      </c>
    </row>
    <row r="207" spans="1:12" ht="15" thickBot="1" x14ac:dyDescent="0.4">
      <c r="A207" s="5">
        <v>1265</v>
      </c>
      <c r="B207" s="5" t="s">
        <v>58</v>
      </c>
      <c r="C207" s="5" t="s">
        <v>22</v>
      </c>
      <c r="D207" s="5" t="s">
        <v>18</v>
      </c>
      <c r="E207" s="5" t="s">
        <v>19</v>
      </c>
      <c r="F207" s="5">
        <v>1</v>
      </c>
      <c r="G207" s="5">
        <v>1052</v>
      </c>
      <c r="H207" s="5">
        <v>7</v>
      </c>
      <c r="I207" s="6">
        <v>46117</v>
      </c>
      <c r="J207" s="6">
        <v>46127</v>
      </c>
      <c r="K207" s="10" t="s">
        <v>51</v>
      </c>
      <c r="L207" s="16">
        <f t="shared" si="3"/>
        <v>10</v>
      </c>
    </row>
    <row r="208" spans="1:12" ht="15" thickBot="1" x14ac:dyDescent="0.4">
      <c r="A208" s="5">
        <v>1354</v>
      </c>
      <c r="B208" s="5" t="s">
        <v>47</v>
      </c>
      <c r="C208" s="5" t="s">
        <v>43</v>
      </c>
      <c r="D208" s="5" t="s">
        <v>34</v>
      </c>
      <c r="E208" s="5" t="s">
        <v>35</v>
      </c>
      <c r="F208" s="5">
        <v>15</v>
      </c>
      <c r="G208" s="5">
        <v>14927</v>
      </c>
      <c r="H208" s="5">
        <v>15</v>
      </c>
      <c r="I208" s="6">
        <v>46118</v>
      </c>
      <c r="J208" s="6">
        <v>46120</v>
      </c>
      <c r="K208" s="10" t="s">
        <v>51</v>
      </c>
      <c r="L208" s="16">
        <f t="shared" si="3"/>
        <v>2</v>
      </c>
    </row>
    <row r="209" spans="1:12" ht="15" thickBot="1" x14ac:dyDescent="0.4">
      <c r="A209" s="5">
        <v>1108</v>
      </c>
      <c r="B209" s="5" t="s">
        <v>42</v>
      </c>
      <c r="C209" s="5" t="s">
        <v>33</v>
      </c>
      <c r="D209" s="5" t="s">
        <v>18</v>
      </c>
      <c r="E209" s="5" t="s">
        <v>28</v>
      </c>
      <c r="F209" s="5">
        <v>15</v>
      </c>
      <c r="G209" s="5">
        <v>13843</v>
      </c>
      <c r="H209" s="5">
        <v>7</v>
      </c>
      <c r="I209" s="6">
        <v>46119</v>
      </c>
      <c r="J209" s="6">
        <v>46127</v>
      </c>
      <c r="K209" s="10" t="s">
        <v>20</v>
      </c>
      <c r="L209" s="16">
        <f t="shared" si="3"/>
        <v>8</v>
      </c>
    </row>
    <row r="210" spans="1:12" ht="15" thickBot="1" x14ac:dyDescent="0.4">
      <c r="A210" s="5">
        <v>1241</v>
      </c>
      <c r="B210" s="5" t="s">
        <v>46</v>
      </c>
      <c r="C210" s="5" t="s">
        <v>31</v>
      </c>
      <c r="D210" s="5" t="s">
        <v>18</v>
      </c>
      <c r="E210" s="5" t="s">
        <v>44</v>
      </c>
      <c r="F210" s="5">
        <v>1</v>
      </c>
      <c r="G210" s="5">
        <v>12537</v>
      </c>
      <c r="H210" s="5">
        <v>0</v>
      </c>
      <c r="I210" s="6">
        <v>46119</v>
      </c>
      <c r="J210" s="6">
        <v>46122</v>
      </c>
      <c r="K210" s="10" t="s">
        <v>15</v>
      </c>
      <c r="L210" s="16">
        <f t="shared" si="3"/>
        <v>3</v>
      </c>
    </row>
    <row r="211" spans="1:12" ht="15" thickBot="1" x14ac:dyDescent="0.4">
      <c r="A211" s="5">
        <v>1203</v>
      </c>
      <c r="B211" s="5" t="s">
        <v>40</v>
      </c>
      <c r="C211" s="5" t="s">
        <v>22</v>
      </c>
      <c r="D211" s="5" t="s">
        <v>18</v>
      </c>
      <c r="E211" s="5" t="s">
        <v>23</v>
      </c>
      <c r="F211" s="5">
        <v>17</v>
      </c>
      <c r="G211" s="5">
        <v>6695</v>
      </c>
      <c r="H211" s="5">
        <v>2</v>
      </c>
      <c r="I211" s="6">
        <v>46119</v>
      </c>
      <c r="J211" s="6">
        <v>46122</v>
      </c>
      <c r="K211" s="10" t="s">
        <v>51</v>
      </c>
      <c r="L211" s="16">
        <f t="shared" si="3"/>
        <v>3</v>
      </c>
    </row>
    <row r="212" spans="1:12" ht="15" thickBot="1" x14ac:dyDescent="0.4">
      <c r="A212" s="5">
        <v>1261</v>
      </c>
      <c r="B212" s="5" t="s">
        <v>40</v>
      </c>
      <c r="C212" s="5" t="s">
        <v>17</v>
      </c>
      <c r="D212" s="5" t="s">
        <v>13</v>
      </c>
      <c r="E212" s="5" t="s">
        <v>50</v>
      </c>
      <c r="F212" s="5">
        <v>20</v>
      </c>
      <c r="G212" s="5">
        <v>162</v>
      </c>
      <c r="H212" s="5">
        <v>7</v>
      </c>
      <c r="I212" s="6">
        <v>46119</v>
      </c>
      <c r="J212" s="6">
        <v>46120</v>
      </c>
      <c r="K212" s="10" t="s">
        <v>51</v>
      </c>
      <c r="L212" s="16">
        <f t="shared" si="3"/>
        <v>1</v>
      </c>
    </row>
    <row r="213" spans="1:12" ht="15" thickBot="1" x14ac:dyDescent="0.4">
      <c r="A213" s="5">
        <v>1172</v>
      </c>
      <c r="B213" s="5" t="s">
        <v>16</v>
      </c>
      <c r="C213" s="5" t="s">
        <v>12</v>
      </c>
      <c r="D213" s="5" t="s">
        <v>34</v>
      </c>
      <c r="E213" s="5" t="s">
        <v>45</v>
      </c>
      <c r="F213" s="5">
        <v>13</v>
      </c>
      <c r="G213" s="5">
        <v>43163</v>
      </c>
      <c r="H213" s="5">
        <v>12</v>
      </c>
      <c r="I213" s="6">
        <v>46120</v>
      </c>
      <c r="J213" s="6">
        <v>46129</v>
      </c>
      <c r="K213" s="10" t="s">
        <v>24</v>
      </c>
      <c r="L213" s="16">
        <f t="shared" si="3"/>
        <v>9</v>
      </c>
    </row>
    <row r="214" spans="1:12" ht="15" thickBot="1" x14ac:dyDescent="0.4">
      <c r="A214" s="5">
        <v>1169</v>
      </c>
      <c r="B214" s="5" t="s">
        <v>47</v>
      </c>
      <c r="C214" s="5" t="s">
        <v>12</v>
      </c>
      <c r="D214" s="5" t="s">
        <v>18</v>
      </c>
      <c r="E214" s="5" t="s">
        <v>56</v>
      </c>
      <c r="F214" s="5">
        <v>12</v>
      </c>
      <c r="G214" s="5">
        <v>12104</v>
      </c>
      <c r="H214" s="5">
        <v>7</v>
      </c>
      <c r="I214" s="6">
        <v>46121</v>
      </c>
      <c r="J214" s="6">
        <v>46130</v>
      </c>
      <c r="K214" s="10" t="s">
        <v>24</v>
      </c>
      <c r="L214" s="16">
        <f t="shared" si="3"/>
        <v>9</v>
      </c>
    </row>
    <row r="215" spans="1:12" ht="15" thickBot="1" x14ac:dyDescent="0.4">
      <c r="A215" s="5">
        <v>1363</v>
      </c>
      <c r="B215" s="5" t="s">
        <v>27</v>
      </c>
      <c r="C215" s="5" t="s">
        <v>25</v>
      </c>
      <c r="D215" s="5" t="s">
        <v>34</v>
      </c>
      <c r="E215" s="5" t="s">
        <v>35</v>
      </c>
      <c r="F215" s="5">
        <v>7</v>
      </c>
      <c r="G215" s="5">
        <v>45381</v>
      </c>
      <c r="H215" s="5">
        <v>0</v>
      </c>
      <c r="I215" s="6">
        <v>46122</v>
      </c>
      <c r="J215" s="6">
        <v>46128</v>
      </c>
      <c r="K215" s="10" t="s">
        <v>15</v>
      </c>
      <c r="L215" s="16">
        <f t="shared" si="3"/>
        <v>6</v>
      </c>
    </row>
    <row r="216" spans="1:12" ht="15" thickBot="1" x14ac:dyDescent="0.4">
      <c r="A216" s="5">
        <v>1289</v>
      </c>
      <c r="B216" s="5" t="s">
        <v>26</v>
      </c>
      <c r="C216" s="5" t="s">
        <v>22</v>
      </c>
      <c r="D216" s="5" t="s">
        <v>34</v>
      </c>
      <c r="E216" s="5" t="s">
        <v>45</v>
      </c>
      <c r="F216" s="5">
        <v>19</v>
      </c>
      <c r="G216" s="5">
        <v>25336</v>
      </c>
      <c r="H216" s="5">
        <v>2</v>
      </c>
      <c r="I216" s="6">
        <v>46122</v>
      </c>
      <c r="J216" s="6">
        <v>46130</v>
      </c>
      <c r="K216" s="10" t="s">
        <v>24</v>
      </c>
      <c r="L216" s="16">
        <f t="shared" si="3"/>
        <v>8</v>
      </c>
    </row>
    <row r="217" spans="1:12" ht="15" thickBot="1" x14ac:dyDescent="0.4">
      <c r="A217" s="5">
        <v>1239</v>
      </c>
      <c r="B217" s="5" t="s">
        <v>48</v>
      </c>
      <c r="C217" s="5" t="s">
        <v>17</v>
      </c>
      <c r="D217" s="5" t="s">
        <v>18</v>
      </c>
      <c r="E217" s="5" t="s">
        <v>56</v>
      </c>
      <c r="F217" s="5">
        <v>2</v>
      </c>
      <c r="G217" s="5">
        <v>12330</v>
      </c>
      <c r="H217" s="5">
        <v>12</v>
      </c>
      <c r="I217" s="6">
        <v>46122</v>
      </c>
      <c r="J217" s="6">
        <v>46125</v>
      </c>
      <c r="K217" s="10" t="s">
        <v>15</v>
      </c>
      <c r="L217" s="16">
        <f t="shared" si="3"/>
        <v>3</v>
      </c>
    </row>
    <row r="218" spans="1:12" ht="15" thickBot="1" x14ac:dyDescent="0.4">
      <c r="A218" s="5">
        <v>1221</v>
      </c>
      <c r="B218" s="5" t="s">
        <v>11</v>
      </c>
      <c r="C218" s="5" t="s">
        <v>31</v>
      </c>
      <c r="D218" s="5" t="s">
        <v>18</v>
      </c>
      <c r="E218" s="5" t="s">
        <v>56</v>
      </c>
      <c r="F218" s="5">
        <v>18</v>
      </c>
      <c r="G218" s="5">
        <v>2681</v>
      </c>
      <c r="H218" s="5">
        <v>10</v>
      </c>
      <c r="I218" s="6">
        <v>46122</v>
      </c>
      <c r="J218" s="6">
        <v>46125</v>
      </c>
      <c r="K218" s="10" t="s">
        <v>51</v>
      </c>
      <c r="L218" s="16">
        <f t="shared" si="3"/>
        <v>3</v>
      </c>
    </row>
    <row r="219" spans="1:12" ht="15" thickBot="1" x14ac:dyDescent="0.4">
      <c r="A219" s="5">
        <v>1299</v>
      </c>
      <c r="B219" s="5" t="s">
        <v>26</v>
      </c>
      <c r="C219" s="5" t="s">
        <v>17</v>
      </c>
      <c r="D219" s="5" t="s">
        <v>18</v>
      </c>
      <c r="E219" s="5" t="s">
        <v>56</v>
      </c>
      <c r="F219" s="5">
        <v>8</v>
      </c>
      <c r="G219" s="5">
        <v>8783</v>
      </c>
      <c r="H219" s="5">
        <v>2</v>
      </c>
      <c r="I219" s="6">
        <v>46123</v>
      </c>
      <c r="J219" s="6">
        <v>46132</v>
      </c>
      <c r="K219" s="10" t="s">
        <v>15</v>
      </c>
      <c r="L219" s="16">
        <f t="shared" si="3"/>
        <v>9</v>
      </c>
    </row>
    <row r="220" spans="1:12" ht="15" thickBot="1" x14ac:dyDescent="0.4">
      <c r="A220" s="5">
        <v>1204</v>
      </c>
      <c r="B220" s="5" t="s">
        <v>16</v>
      </c>
      <c r="C220" s="5" t="s">
        <v>31</v>
      </c>
      <c r="D220" s="5" t="s">
        <v>13</v>
      </c>
      <c r="E220" s="5" t="s">
        <v>37</v>
      </c>
      <c r="F220" s="5">
        <v>13</v>
      </c>
      <c r="G220" s="5">
        <v>416</v>
      </c>
      <c r="H220" s="5">
        <v>10</v>
      </c>
      <c r="I220" s="6">
        <v>46123</v>
      </c>
      <c r="J220" s="6">
        <v>46132</v>
      </c>
      <c r="K220" s="10" t="s">
        <v>20</v>
      </c>
      <c r="L220" s="16">
        <f t="shared" si="3"/>
        <v>9</v>
      </c>
    </row>
    <row r="221" spans="1:12" ht="15" thickBot="1" x14ac:dyDescent="0.4">
      <c r="A221" s="5">
        <v>1279</v>
      </c>
      <c r="B221" s="5" t="s">
        <v>55</v>
      </c>
      <c r="C221" s="5" t="s">
        <v>33</v>
      </c>
      <c r="D221" s="5" t="s">
        <v>34</v>
      </c>
      <c r="E221" s="5" t="s">
        <v>45</v>
      </c>
      <c r="F221" s="5">
        <v>20</v>
      </c>
      <c r="G221" s="5">
        <v>49042</v>
      </c>
      <c r="H221" s="5">
        <v>2</v>
      </c>
      <c r="I221" s="6">
        <v>46124</v>
      </c>
      <c r="J221" s="6">
        <v>46126</v>
      </c>
      <c r="K221" s="10" t="s">
        <v>15</v>
      </c>
      <c r="L221" s="16">
        <f t="shared" si="3"/>
        <v>2</v>
      </c>
    </row>
    <row r="222" spans="1:12" ht="15" thickBot="1" x14ac:dyDescent="0.4">
      <c r="A222" s="5">
        <v>1392</v>
      </c>
      <c r="B222" s="5" t="s">
        <v>29</v>
      </c>
      <c r="C222" s="5" t="s">
        <v>43</v>
      </c>
      <c r="D222" s="5" t="s">
        <v>34</v>
      </c>
      <c r="E222" s="5" t="s">
        <v>35</v>
      </c>
      <c r="F222" s="5">
        <v>13</v>
      </c>
      <c r="G222" s="5">
        <v>23903</v>
      </c>
      <c r="H222" s="5">
        <v>5</v>
      </c>
      <c r="I222" s="6">
        <v>46124</v>
      </c>
      <c r="J222" s="6">
        <v>46125</v>
      </c>
      <c r="K222" s="10" t="s">
        <v>29</v>
      </c>
      <c r="L222" s="16">
        <f t="shared" si="3"/>
        <v>1</v>
      </c>
    </row>
    <row r="223" spans="1:12" ht="15" thickBot="1" x14ac:dyDescent="0.4">
      <c r="A223" s="5">
        <v>1303</v>
      </c>
      <c r="B223" s="5" t="s">
        <v>57</v>
      </c>
      <c r="C223" s="5" t="s">
        <v>38</v>
      </c>
      <c r="D223" s="5" t="s">
        <v>34</v>
      </c>
      <c r="E223" s="5" t="s">
        <v>35</v>
      </c>
      <c r="F223" s="5">
        <v>13</v>
      </c>
      <c r="G223" s="5">
        <v>5170</v>
      </c>
      <c r="H223" s="5">
        <v>2</v>
      </c>
      <c r="I223" s="6">
        <v>46124</v>
      </c>
      <c r="J223" s="6">
        <v>46127</v>
      </c>
      <c r="K223" s="10" t="s">
        <v>15</v>
      </c>
      <c r="L223" s="16">
        <f t="shared" si="3"/>
        <v>3</v>
      </c>
    </row>
    <row r="224" spans="1:12" ht="15" thickBot="1" x14ac:dyDescent="0.4">
      <c r="A224" s="5">
        <v>1225</v>
      </c>
      <c r="B224" s="5" t="s">
        <v>42</v>
      </c>
      <c r="C224" s="5" t="s">
        <v>31</v>
      </c>
      <c r="D224" s="5" t="s">
        <v>34</v>
      </c>
      <c r="E224" s="5" t="s">
        <v>35</v>
      </c>
      <c r="F224" s="5">
        <v>16</v>
      </c>
      <c r="G224" s="5">
        <v>32262</v>
      </c>
      <c r="H224" s="5">
        <v>12</v>
      </c>
      <c r="I224" s="6">
        <v>46125</v>
      </c>
      <c r="J224" s="6">
        <v>46126</v>
      </c>
      <c r="K224" s="10" t="s">
        <v>20</v>
      </c>
      <c r="L224" s="16">
        <f t="shared" si="3"/>
        <v>1</v>
      </c>
    </row>
    <row r="225" spans="1:12" ht="15" thickBot="1" x14ac:dyDescent="0.4">
      <c r="A225" s="5">
        <v>1130</v>
      </c>
      <c r="B225" s="5" t="s">
        <v>48</v>
      </c>
      <c r="C225" s="5" t="s">
        <v>33</v>
      </c>
      <c r="D225" s="5" t="s">
        <v>13</v>
      </c>
      <c r="E225" s="5" t="s">
        <v>14</v>
      </c>
      <c r="F225" s="5">
        <v>12</v>
      </c>
      <c r="G225" s="5">
        <v>50</v>
      </c>
      <c r="H225" s="5">
        <v>2</v>
      </c>
      <c r="I225" s="6">
        <v>46125</v>
      </c>
      <c r="J225" s="6">
        <v>46131</v>
      </c>
      <c r="K225" s="10" t="s">
        <v>24</v>
      </c>
      <c r="L225" s="16">
        <f t="shared" si="3"/>
        <v>6</v>
      </c>
    </row>
    <row r="226" spans="1:12" ht="15" thickBot="1" x14ac:dyDescent="0.4">
      <c r="A226" s="5">
        <v>1073</v>
      </c>
      <c r="B226" s="5" t="s">
        <v>58</v>
      </c>
      <c r="C226" s="5" t="s">
        <v>17</v>
      </c>
      <c r="D226" s="5" t="s">
        <v>18</v>
      </c>
      <c r="E226" s="5" t="s">
        <v>56</v>
      </c>
      <c r="F226" s="5">
        <v>4</v>
      </c>
      <c r="G226" s="5">
        <v>2453</v>
      </c>
      <c r="H226" s="5">
        <v>7</v>
      </c>
      <c r="I226" s="6">
        <v>46126</v>
      </c>
      <c r="J226" s="6">
        <v>46129</v>
      </c>
      <c r="K226" s="10" t="s">
        <v>51</v>
      </c>
      <c r="L226" s="16">
        <f t="shared" si="3"/>
        <v>3</v>
      </c>
    </row>
    <row r="227" spans="1:12" ht="15" thickBot="1" x14ac:dyDescent="0.4">
      <c r="A227" s="5">
        <v>1098</v>
      </c>
      <c r="B227" s="5" t="s">
        <v>26</v>
      </c>
      <c r="C227" s="5" t="s">
        <v>25</v>
      </c>
      <c r="D227" s="5" t="s">
        <v>13</v>
      </c>
      <c r="E227" s="5" t="s">
        <v>53</v>
      </c>
      <c r="F227" s="5">
        <v>17</v>
      </c>
      <c r="G227" s="5">
        <v>345</v>
      </c>
      <c r="H227" s="5">
        <v>2</v>
      </c>
      <c r="I227" s="6">
        <v>46126</v>
      </c>
      <c r="J227" s="6">
        <v>46127</v>
      </c>
      <c r="K227" s="10" t="s">
        <v>51</v>
      </c>
      <c r="L227" s="16">
        <f t="shared" si="3"/>
        <v>1</v>
      </c>
    </row>
    <row r="228" spans="1:12" ht="15" thickBot="1" x14ac:dyDescent="0.4">
      <c r="A228" s="5">
        <v>1329</v>
      </c>
      <c r="B228" s="5" t="s">
        <v>30</v>
      </c>
      <c r="C228" s="5" t="s">
        <v>43</v>
      </c>
      <c r="D228" s="5" t="s">
        <v>13</v>
      </c>
      <c r="E228" s="5" t="s">
        <v>53</v>
      </c>
      <c r="F228" s="5">
        <v>18</v>
      </c>
      <c r="G228" s="5">
        <v>227</v>
      </c>
      <c r="H228" s="5">
        <v>5</v>
      </c>
      <c r="I228" s="6">
        <v>46126</v>
      </c>
      <c r="J228" s="6">
        <v>46136</v>
      </c>
      <c r="K228" s="10" t="s">
        <v>29</v>
      </c>
      <c r="L228" s="16">
        <f t="shared" si="3"/>
        <v>10</v>
      </c>
    </row>
    <row r="229" spans="1:12" ht="15" thickBot="1" x14ac:dyDescent="0.4">
      <c r="A229" s="5">
        <v>1358</v>
      </c>
      <c r="B229" s="5" t="s">
        <v>40</v>
      </c>
      <c r="C229" s="5" t="s">
        <v>38</v>
      </c>
      <c r="D229" s="5" t="s">
        <v>18</v>
      </c>
      <c r="E229" s="5" t="s">
        <v>19</v>
      </c>
      <c r="F229" s="5">
        <v>7</v>
      </c>
      <c r="G229" s="5">
        <v>6618</v>
      </c>
      <c r="H229" s="5">
        <v>0</v>
      </c>
      <c r="I229" s="6">
        <v>46127</v>
      </c>
      <c r="J229" s="6">
        <v>46129</v>
      </c>
      <c r="K229" s="10" t="s">
        <v>20</v>
      </c>
      <c r="L229" s="16">
        <f t="shared" si="3"/>
        <v>2</v>
      </c>
    </row>
    <row r="230" spans="1:12" ht="15" thickBot="1" x14ac:dyDescent="0.4">
      <c r="A230" s="5">
        <v>1050</v>
      </c>
      <c r="B230" s="5" t="s">
        <v>32</v>
      </c>
      <c r="C230" s="5" t="s">
        <v>25</v>
      </c>
      <c r="D230" s="5" t="s">
        <v>13</v>
      </c>
      <c r="E230" s="5" t="s">
        <v>53</v>
      </c>
      <c r="F230" s="5">
        <v>12</v>
      </c>
      <c r="G230" s="5">
        <v>360</v>
      </c>
      <c r="H230" s="5">
        <v>5</v>
      </c>
      <c r="I230" s="6">
        <v>46127</v>
      </c>
      <c r="J230" s="6">
        <v>46137</v>
      </c>
      <c r="K230" s="10" t="s">
        <v>29</v>
      </c>
      <c r="L230" s="16">
        <f t="shared" si="3"/>
        <v>10</v>
      </c>
    </row>
    <row r="231" spans="1:12" ht="15" thickBot="1" x14ac:dyDescent="0.4">
      <c r="A231" s="5">
        <v>1380</v>
      </c>
      <c r="B231" s="5" t="s">
        <v>52</v>
      </c>
      <c r="C231" s="5" t="s">
        <v>43</v>
      </c>
      <c r="D231" s="5" t="s">
        <v>13</v>
      </c>
      <c r="E231" s="5" t="s">
        <v>53</v>
      </c>
      <c r="F231" s="5">
        <v>3</v>
      </c>
      <c r="G231" s="5">
        <v>412</v>
      </c>
      <c r="H231" s="5">
        <v>7</v>
      </c>
      <c r="I231" s="6">
        <v>46128</v>
      </c>
      <c r="J231" s="6">
        <v>46138</v>
      </c>
      <c r="K231" s="10" t="s">
        <v>24</v>
      </c>
      <c r="L231" s="16">
        <f t="shared" si="3"/>
        <v>10</v>
      </c>
    </row>
    <row r="232" spans="1:12" ht="15" thickBot="1" x14ac:dyDescent="0.4">
      <c r="A232" s="5">
        <v>1308</v>
      </c>
      <c r="B232" s="5" t="s">
        <v>30</v>
      </c>
      <c r="C232" s="5" t="s">
        <v>22</v>
      </c>
      <c r="D232" s="5" t="s">
        <v>34</v>
      </c>
      <c r="E232" s="5" t="s">
        <v>41</v>
      </c>
      <c r="F232" s="5">
        <v>12</v>
      </c>
      <c r="G232" s="5">
        <v>66075</v>
      </c>
      <c r="H232" s="5">
        <v>5</v>
      </c>
      <c r="I232" s="6">
        <v>46129</v>
      </c>
      <c r="J232" s="6">
        <v>46135</v>
      </c>
      <c r="K232" s="10" t="s">
        <v>20</v>
      </c>
      <c r="L232" s="16">
        <f t="shared" si="3"/>
        <v>6</v>
      </c>
    </row>
    <row r="233" spans="1:12" ht="15" thickBot="1" x14ac:dyDescent="0.4">
      <c r="A233" s="5">
        <v>1014</v>
      </c>
      <c r="B233" s="5" t="s">
        <v>40</v>
      </c>
      <c r="C233" s="5" t="s">
        <v>17</v>
      </c>
      <c r="D233" s="5" t="s">
        <v>34</v>
      </c>
      <c r="E233" s="5" t="s">
        <v>41</v>
      </c>
      <c r="F233" s="5">
        <v>19</v>
      </c>
      <c r="G233" s="5">
        <v>53683</v>
      </c>
      <c r="H233" s="5">
        <v>12</v>
      </c>
      <c r="I233" s="6">
        <v>46129</v>
      </c>
      <c r="J233" s="6">
        <v>46134</v>
      </c>
      <c r="K233" s="10" t="s">
        <v>29</v>
      </c>
      <c r="L233" s="16">
        <f t="shared" si="3"/>
        <v>5</v>
      </c>
    </row>
    <row r="234" spans="1:12" ht="15" thickBot="1" x14ac:dyDescent="0.4">
      <c r="A234" s="5">
        <v>1071</v>
      </c>
      <c r="B234" s="5" t="s">
        <v>59</v>
      </c>
      <c r="C234" s="5" t="s">
        <v>22</v>
      </c>
      <c r="D234" s="5" t="s">
        <v>34</v>
      </c>
      <c r="E234" s="5" t="s">
        <v>61</v>
      </c>
      <c r="F234" s="5">
        <v>18</v>
      </c>
      <c r="G234" s="5">
        <v>32197</v>
      </c>
      <c r="H234" s="5">
        <v>5</v>
      </c>
      <c r="I234" s="6">
        <v>46129</v>
      </c>
      <c r="J234" s="6">
        <v>46137</v>
      </c>
      <c r="K234" s="10" t="s">
        <v>20</v>
      </c>
      <c r="L234" s="16">
        <f t="shared" si="3"/>
        <v>8</v>
      </c>
    </row>
    <row r="235" spans="1:12" ht="15" thickBot="1" x14ac:dyDescent="0.4">
      <c r="A235" s="5">
        <v>1194</v>
      </c>
      <c r="B235" s="5" t="s">
        <v>57</v>
      </c>
      <c r="C235" s="5" t="s">
        <v>43</v>
      </c>
      <c r="D235" s="5" t="s">
        <v>18</v>
      </c>
      <c r="E235" s="5" t="s">
        <v>28</v>
      </c>
      <c r="F235" s="5">
        <v>13</v>
      </c>
      <c r="G235" s="5">
        <v>12856</v>
      </c>
      <c r="H235" s="5">
        <v>15</v>
      </c>
      <c r="I235" s="6">
        <v>46129</v>
      </c>
      <c r="J235" s="6">
        <v>46133</v>
      </c>
      <c r="K235" s="10" t="s">
        <v>51</v>
      </c>
      <c r="L235" s="16">
        <f t="shared" si="3"/>
        <v>4</v>
      </c>
    </row>
    <row r="236" spans="1:12" ht="15" thickBot="1" x14ac:dyDescent="0.4">
      <c r="A236" s="5">
        <v>1269</v>
      </c>
      <c r="B236" s="5" t="s">
        <v>52</v>
      </c>
      <c r="C236" s="5" t="s">
        <v>43</v>
      </c>
      <c r="D236" s="5" t="s">
        <v>18</v>
      </c>
      <c r="E236" s="5" t="s">
        <v>19</v>
      </c>
      <c r="F236" s="5">
        <v>14</v>
      </c>
      <c r="G236" s="5">
        <v>5704</v>
      </c>
      <c r="H236" s="5">
        <v>2</v>
      </c>
      <c r="I236" s="6">
        <v>46129</v>
      </c>
      <c r="J236" s="6">
        <v>46131</v>
      </c>
      <c r="K236" s="10" t="s">
        <v>15</v>
      </c>
      <c r="L236" s="16">
        <f t="shared" si="3"/>
        <v>2</v>
      </c>
    </row>
    <row r="237" spans="1:12" ht="15" thickBot="1" x14ac:dyDescent="0.4">
      <c r="A237" s="5">
        <v>1267</v>
      </c>
      <c r="B237" s="5" t="s">
        <v>27</v>
      </c>
      <c r="C237" s="5" t="s">
        <v>38</v>
      </c>
      <c r="D237" s="5" t="s">
        <v>13</v>
      </c>
      <c r="E237" s="5" t="s">
        <v>50</v>
      </c>
      <c r="F237" s="5">
        <v>1</v>
      </c>
      <c r="G237" s="5">
        <v>50</v>
      </c>
      <c r="H237" s="5">
        <v>0</v>
      </c>
      <c r="I237" s="6">
        <v>46129</v>
      </c>
      <c r="J237" s="6">
        <v>46138</v>
      </c>
      <c r="K237" s="10" t="s">
        <v>20</v>
      </c>
      <c r="L237" s="16">
        <f t="shared" si="3"/>
        <v>9</v>
      </c>
    </row>
    <row r="238" spans="1:12" ht="15" thickBot="1" x14ac:dyDescent="0.4">
      <c r="A238" s="5">
        <v>1382</v>
      </c>
      <c r="B238" s="5" t="s">
        <v>49</v>
      </c>
      <c r="C238" s="5" t="s">
        <v>33</v>
      </c>
      <c r="D238" s="5" t="s">
        <v>34</v>
      </c>
      <c r="E238" s="5" t="s">
        <v>60</v>
      </c>
      <c r="F238" s="5">
        <v>11</v>
      </c>
      <c r="G238" s="5">
        <v>36198</v>
      </c>
      <c r="H238" s="5">
        <v>0</v>
      </c>
      <c r="I238" s="6">
        <v>46130</v>
      </c>
      <c r="J238" s="6">
        <v>46134</v>
      </c>
      <c r="K238" s="10" t="s">
        <v>15</v>
      </c>
      <c r="L238" s="16">
        <f t="shared" si="3"/>
        <v>4</v>
      </c>
    </row>
    <row r="239" spans="1:12" ht="15" thickBot="1" x14ac:dyDescent="0.4">
      <c r="A239" s="5">
        <v>1263</v>
      </c>
      <c r="B239" s="5" t="s">
        <v>29</v>
      </c>
      <c r="C239" s="5" t="s">
        <v>38</v>
      </c>
      <c r="D239" s="5" t="s">
        <v>18</v>
      </c>
      <c r="E239" s="5" t="s">
        <v>28</v>
      </c>
      <c r="F239" s="5">
        <v>10</v>
      </c>
      <c r="G239" s="5">
        <v>1505</v>
      </c>
      <c r="H239" s="5">
        <v>0</v>
      </c>
      <c r="I239" s="6">
        <v>46130</v>
      </c>
      <c r="J239" s="6">
        <v>46138</v>
      </c>
      <c r="K239" s="10" t="s">
        <v>51</v>
      </c>
      <c r="L239" s="16">
        <f t="shared" si="3"/>
        <v>8</v>
      </c>
    </row>
    <row r="240" spans="1:12" ht="15" thickBot="1" x14ac:dyDescent="0.4">
      <c r="A240" s="5">
        <v>1168</v>
      </c>
      <c r="B240" s="5" t="s">
        <v>54</v>
      </c>
      <c r="C240" s="5" t="s">
        <v>12</v>
      </c>
      <c r="D240" s="5" t="s">
        <v>13</v>
      </c>
      <c r="E240" s="5" t="s">
        <v>37</v>
      </c>
      <c r="F240" s="5">
        <v>18</v>
      </c>
      <c r="G240" s="5">
        <v>335</v>
      </c>
      <c r="H240" s="5">
        <v>15</v>
      </c>
      <c r="I240" s="6">
        <v>46130</v>
      </c>
      <c r="J240" s="6">
        <v>46140</v>
      </c>
      <c r="K240" s="10" t="s">
        <v>29</v>
      </c>
      <c r="L240" s="16">
        <f t="shared" si="3"/>
        <v>10</v>
      </c>
    </row>
    <row r="241" spans="1:12" ht="15" thickBot="1" x14ac:dyDescent="0.4">
      <c r="A241" s="5">
        <v>1215</v>
      </c>
      <c r="B241" s="5" t="s">
        <v>27</v>
      </c>
      <c r="C241" s="5" t="s">
        <v>12</v>
      </c>
      <c r="D241" s="5" t="s">
        <v>18</v>
      </c>
      <c r="E241" s="5" t="s">
        <v>28</v>
      </c>
      <c r="F241" s="5">
        <v>6</v>
      </c>
      <c r="G241" s="5">
        <v>1254</v>
      </c>
      <c r="H241" s="5">
        <v>0</v>
      </c>
      <c r="I241" s="6">
        <v>46131</v>
      </c>
      <c r="J241" s="6">
        <v>46136</v>
      </c>
      <c r="K241" s="10" t="s">
        <v>29</v>
      </c>
      <c r="L241" s="16">
        <f t="shared" si="3"/>
        <v>5</v>
      </c>
    </row>
    <row r="242" spans="1:12" ht="15" thickBot="1" x14ac:dyDescent="0.4">
      <c r="A242" s="5">
        <v>1122</v>
      </c>
      <c r="B242" s="5" t="s">
        <v>40</v>
      </c>
      <c r="C242" s="5" t="s">
        <v>22</v>
      </c>
      <c r="D242" s="5" t="s">
        <v>34</v>
      </c>
      <c r="E242" s="5" t="s">
        <v>39</v>
      </c>
      <c r="F242" s="5">
        <v>14</v>
      </c>
      <c r="G242" s="5">
        <v>49990</v>
      </c>
      <c r="H242" s="5">
        <v>10</v>
      </c>
      <c r="I242" s="6">
        <v>46132</v>
      </c>
      <c r="J242" s="6">
        <v>46135</v>
      </c>
      <c r="K242" s="10" t="s">
        <v>29</v>
      </c>
      <c r="L242" s="16">
        <f t="shared" si="3"/>
        <v>3</v>
      </c>
    </row>
    <row r="243" spans="1:12" ht="15" thickBot="1" x14ac:dyDescent="0.4">
      <c r="A243" s="5">
        <v>1342</v>
      </c>
      <c r="B243" s="5" t="s">
        <v>59</v>
      </c>
      <c r="C243" s="5" t="s">
        <v>31</v>
      </c>
      <c r="D243" s="5" t="s">
        <v>34</v>
      </c>
      <c r="E243" s="5" t="s">
        <v>35</v>
      </c>
      <c r="F243" s="5">
        <v>13</v>
      </c>
      <c r="G243" s="5">
        <v>47881</v>
      </c>
      <c r="H243" s="5">
        <v>15</v>
      </c>
      <c r="I243" s="6">
        <v>46132</v>
      </c>
      <c r="J243" s="6">
        <v>46139</v>
      </c>
      <c r="K243" s="10" t="s">
        <v>29</v>
      </c>
      <c r="L243" s="16">
        <f t="shared" si="3"/>
        <v>7</v>
      </c>
    </row>
    <row r="244" spans="1:12" ht="15" thickBot="1" x14ac:dyDescent="0.4">
      <c r="A244" s="5">
        <v>1080</v>
      </c>
      <c r="B244" s="5" t="s">
        <v>21</v>
      </c>
      <c r="C244" s="5" t="s">
        <v>22</v>
      </c>
      <c r="D244" s="5" t="s">
        <v>34</v>
      </c>
      <c r="E244" s="5" t="s">
        <v>41</v>
      </c>
      <c r="F244" s="5">
        <v>12</v>
      </c>
      <c r="G244" s="5">
        <v>54161</v>
      </c>
      <c r="H244" s="5">
        <v>15</v>
      </c>
      <c r="I244" s="6">
        <v>46133</v>
      </c>
      <c r="J244" s="6">
        <v>46143</v>
      </c>
      <c r="K244" s="10" t="s">
        <v>24</v>
      </c>
      <c r="L244" s="16">
        <f t="shared" si="3"/>
        <v>10</v>
      </c>
    </row>
    <row r="245" spans="1:12" ht="15" thickBot="1" x14ac:dyDescent="0.4">
      <c r="A245" s="5">
        <v>1111</v>
      </c>
      <c r="B245" s="5" t="s">
        <v>47</v>
      </c>
      <c r="C245" s="5" t="s">
        <v>17</v>
      </c>
      <c r="D245" s="5" t="s">
        <v>34</v>
      </c>
      <c r="E245" s="5" t="s">
        <v>35</v>
      </c>
      <c r="F245" s="5">
        <v>5</v>
      </c>
      <c r="G245" s="5">
        <v>49945</v>
      </c>
      <c r="H245" s="5">
        <v>12</v>
      </c>
      <c r="I245" s="6">
        <v>46133</v>
      </c>
      <c r="J245" s="6">
        <v>46141</v>
      </c>
      <c r="K245" s="10" t="s">
        <v>29</v>
      </c>
      <c r="L245" s="16">
        <f t="shared" si="3"/>
        <v>8</v>
      </c>
    </row>
    <row r="246" spans="1:12" ht="15" thickBot="1" x14ac:dyDescent="0.4">
      <c r="A246" s="5">
        <v>1056</v>
      </c>
      <c r="B246" s="5" t="s">
        <v>11</v>
      </c>
      <c r="C246" s="5" t="s">
        <v>22</v>
      </c>
      <c r="D246" s="5" t="s">
        <v>18</v>
      </c>
      <c r="E246" s="5" t="s">
        <v>19</v>
      </c>
      <c r="F246" s="5">
        <v>3</v>
      </c>
      <c r="G246" s="5">
        <v>9771</v>
      </c>
      <c r="H246" s="5">
        <v>5</v>
      </c>
      <c r="I246" s="6">
        <v>46133</v>
      </c>
      <c r="J246" s="6">
        <v>46139</v>
      </c>
      <c r="K246" s="10" t="s">
        <v>24</v>
      </c>
      <c r="L246" s="16">
        <f t="shared" si="3"/>
        <v>6</v>
      </c>
    </row>
    <row r="247" spans="1:12" ht="15" thickBot="1" x14ac:dyDescent="0.4">
      <c r="A247" s="5">
        <v>1357</v>
      </c>
      <c r="B247" s="5" t="s">
        <v>59</v>
      </c>
      <c r="C247" s="5" t="s">
        <v>25</v>
      </c>
      <c r="D247" s="5" t="s">
        <v>13</v>
      </c>
      <c r="E247" s="5" t="s">
        <v>37</v>
      </c>
      <c r="F247" s="5">
        <v>6</v>
      </c>
      <c r="G247" s="5">
        <v>365</v>
      </c>
      <c r="H247" s="5">
        <v>7</v>
      </c>
      <c r="I247" s="6">
        <v>46133</v>
      </c>
      <c r="J247" s="6">
        <v>46140</v>
      </c>
      <c r="K247" s="10" t="s">
        <v>51</v>
      </c>
      <c r="L247" s="16">
        <f t="shared" si="3"/>
        <v>7</v>
      </c>
    </row>
    <row r="248" spans="1:12" ht="15" thickBot="1" x14ac:dyDescent="0.4">
      <c r="A248" s="5">
        <v>1125</v>
      </c>
      <c r="B248" s="5" t="s">
        <v>49</v>
      </c>
      <c r="C248" s="5" t="s">
        <v>33</v>
      </c>
      <c r="D248" s="5" t="s">
        <v>13</v>
      </c>
      <c r="E248" s="5" t="s">
        <v>14</v>
      </c>
      <c r="F248" s="5">
        <v>6</v>
      </c>
      <c r="G248" s="5">
        <v>30</v>
      </c>
      <c r="H248" s="5">
        <v>2</v>
      </c>
      <c r="I248" s="6">
        <v>46133</v>
      </c>
      <c r="J248" s="6">
        <v>46138</v>
      </c>
      <c r="K248" s="10" t="s">
        <v>24</v>
      </c>
      <c r="L248" s="16">
        <f t="shared" si="3"/>
        <v>5</v>
      </c>
    </row>
    <row r="249" spans="1:12" ht="15" thickBot="1" x14ac:dyDescent="0.4">
      <c r="A249" s="5">
        <v>1200</v>
      </c>
      <c r="B249" s="5" t="s">
        <v>29</v>
      </c>
      <c r="C249" s="5" t="s">
        <v>31</v>
      </c>
      <c r="D249" s="5" t="s">
        <v>34</v>
      </c>
      <c r="E249" s="5" t="s">
        <v>45</v>
      </c>
      <c r="F249" s="5">
        <v>13</v>
      </c>
      <c r="G249" s="5">
        <v>69422</v>
      </c>
      <c r="H249" s="5">
        <v>0</v>
      </c>
      <c r="I249" s="6">
        <v>46134</v>
      </c>
      <c r="J249" s="6">
        <v>46143</v>
      </c>
      <c r="K249" s="10" t="s">
        <v>29</v>
      </c>
      <c r="L249" s="16">
        <f t="shared" si="3"/>
        <v>9</v>
      </c>
    </row>
    <row r="250" spans="1:12" ht="15" thickBot="1" x14ac:dyDescent="0.4">
      <c r="A250" s="5">
        <v>1270</v>
      </c>
      <c r="B250" s="5" t="s">
        <v>49</v>
      </c>
      <c r="C250" s="5" t="s">
        <v>43</v>
      </c>
      <c r="D250" s="5" t="s">
        <v>34</v>
      </c>
      <c r="E250" s="5" t="s">
        <v>35</v>
      </c>
      <c r="F250" s="5">
        <v>16</v>
      </c>
      <c r="G250" s="5">
        <v>62941</v>
      </c>
      <c r="H250" s="5">
        <v>7</v>
      </c>
      <c r="I250" s="6">
        <v>46135</v>
      </c>
      <c r="J250" s="6">
        <v>46141</v>
      </c>
      <c r="K250" s="10" t="s">
        <v>51</v>
      </c>
      <c r="L250" s="16">
        <f t="shared" si="3"/>
        <v>6</v>
      </c>
    </row>
    <row r="251" spans="1:12" ht="15" thickBot="1" x14ac:dyDescent="0.4">
      <c r="A251" s="5">
        <v>1216</v>
      </c>
      <c r="B251" s="5" t="s">
        <v>40</v>
      </c>
      <c r="C251" s="5" t="s">
        <v>22</v>
      </c>
      <c r="D251" s="5" t="s">
        <v>34</v>
      </c>
      <c r="E251" s="5" t="s">
        <v>45</v>
      </c>
      <c r="F251" s="5">
        <v>10</v>
      </c>
      <c r="G251" s="5">
        <v>56709</v>
      </c>
      <c r="H251" s="5">
        <v>15</v>
      </c>
      <c r="I251" s="6">
        <v>46135</v>
      </c>
      <c r="J251" s="6">
        <v>46139</v>
      </c>
      <c r="K251" s="10" t="s">
        <v>29</v>
      </c>
      <c r="L251" s="16">
        <f t="shared" si="3"/>
        <v>4</v>
      </c>
    </row>
    <row r="252" spans="1:12" ht="15" thickBot="1" x14ac:dyDescent="0.4">
      <c r="A252" s="5">
        <v>1091</v>
      </c>
      <c r="B252" s="5" t="s">
        <v>55</v>
      </c>
      <c r="C252" s="5" t="s">
        <v>17</v>
      </c>
      <c r="D252" s="5" t="s">
        <v>13</v>
      </c>
      <c r="E252" s="5" t="s">
        <v>53</v>
      </c>
      <c r="F252" s="5">
        <v>2</v>
      </c>
      <c r="G252" s="5">
        <v>305</v>
      </c>
      <c r="H252" s="5">
        <v>0</v>
      </c>
      <c r="I252" s="6">
        <v>46136</v>
      </c>
      <c r="J252" s="6">
        <v>46144</v>
      </c>
      <c r="K252" s="10" t="s">
        <v>15</v>
      </c>
      <c r="L252" s="16">
        <f t="shared" si="3"/>
        <v>8</v>
      </c>
    </row>
    <row r="253" spans="1:12" ht="15" thickBot="1" x14ac:dyDescent="0.4">
      <c r="A253" s="5">
        <v>1016</v>
      </c>
      <c r="B253" s="5" t="s">
        <v>32</v>
      </c>
      <c r="C253" s="5" t="s">
        <v>33</v>
      </c>
      <c r="D253" s="5" t="s">
        <v>34</v>
      </c>
      <c r="E253" s="5" t="s">
        <v>45</v>
      </c>
      <c r="F253" s="5">
        <v>16</v>
      </c>
      <c r="G253" s="5">
        <v>30234</v>
      </c>
      <c r="H253" s="5">
        <v>15</v>
      </c>
      <c r="I253" s="6">
        <v>46137</v>
      </c>
      <c r="J253" s="6">
        <v>46140</v>
      </c>
      <c r="K253" s="10" t="s">
        <v>24</v>
      </c>
      <c r="L253" s="16">
        <f t="shared" si="3"/>
        <v>3</v>
      </c>
    </row>
    <row r="254" spans="1:12" ht="15" thickBot="1" x14ac:dyDescent="0.4">
      <c r="A254" s="5">
        <v>1237</v>
      </c>
      <c r="B254" s="5" t="s">
        <v>46</v>
      </c>
      <c r="C254" s="5" t="s">
        <v>38</v>
      </c>
      <c r="D254" s="5" t="s">
        <v>18</v>
      </c>
      <c r="E254" s="5" t="s">
        <v>56</v>
      </c>
      <c r="F254" s="5">
        <v>8</v>
      </c>
      <c r="G254" s="5">
        <v>12123</v>
      </c>
      <c r="H254" s="5">
        <v>2</v>
      </c>
      <c r="I254" s="6">
        <v>46137</v>
      </c>
      <c r="J254" s="6">
        <v>46145</v>
      </c>
      <c r="K254" s="10" t="s">
        <v>15</v>
      </c>
      <c r="L254" s="16">
        <f t="shared" si="3"/>
        <v>8</v>
      </c>
    </row>
    <row r="255" spans="1:12" ht="15" thickBot="1" x14ac:dyDescent="0.4">
      <c r="A255" s="5">
        <v>1258</v>
      </c>
      <c r="B255" s="5" t="s">
        <v>32</v>
      </c>
      <c r="C255" s="5" t="s">
        <v>31</v>
      </c>
      <c r="D255" s="5" t="s">
        <v>34</v>
      </c>
      <c r="E255" s="5" t="s">
        <v>60</v>
      </c>
      <c r="F255" s="5">
        <v>1</v>
      </c>
      <c r="G255" s="5">
        <v>10600</v>
      </c>
      <c r="H255" s="5">
        <v>5</v>
      </c>
      <c r="I255" s="6">
        <v>46137</v>
      </c>
      <c r="J255" s="6">
        <v>46138</v>
      </c>
      <c r="K255" s="10" t="s">
        <v>29</v>
      </c>
      <c r="L255" s="16">
        <f t="shared" si="3"/>
        <v>1</v>
      </c>
    </row>
    <row r="256" spans="1:12" ht="15" thickBot="1" x14ac:dyDescent="0.4">
      <c r="A256" s="5">
        <v>1188</v>
      </c>
      <c r="B256" s="5" t="s">
        <v>29</v>
      </c>
      <c r="C256" s="5" t="s">
        <v>22</v>
      </c>
      <c r="D256" s="5" t="s">
        <v>18</v>
      </c>
      <c r="E256" s="5" t="s">
        <v>56</v>
      </c>
      <c r="F256" s="5">
        <v>6</v>
      </c>
      <c r="G256" s="5">
        <v>10368</v>
      </c>
      <c r="H256" s="5">
        <v>7</v>
      </c>
      <c r="I256" s="6">
        <v>46137</v>
      </c>
      <c r="J256" s="6">
        <v>46142</v>
      </c>
      <c r="K256" s="10" t="s">
        <v>15</v>
      </c>
      <c r="L256" s="16">
        <f t="shared" si="3"/>
        <v>5</v>
      </c>
    </row>
    <row r="257" spans="1:12" ht="15" thickBot="1" x14ac:dyDescent="0.4">
      <c r="A257" s="5">
        <v>1291</v>
      </c>
      <c r="B257" s="5" t="s">
        <v>21</v>
      </c>
      <c r="C257" s="5" t="s">
        <v>17</v>
      </c>
      <c r="D257" s="5" t="s">
        <v>13</v>
      </c>
      <c r="E257" s="5" t="s">
        <v>36</v>
      </c>
      <c r="F257" s="5">
        <v>17</v>
      </c>
      <c r="G257" s="5">
        <v>415</v>
      </c>
      <c r="H257" s="5">
        <v>5</v>
      </c>
      <c r="I257" s="6">
        <v>46137</v>
      </c>
      <c r="J257" s="6">
        <v>46141</v>
      </c>
      <c r="K257" s="10" t="s">
        <v>20</v>
      </c>
      <c r="L257" s="16">
        <f t="shared" si="3"/>
        <v>4</v>
      </c>
    </row>
    <row r="258" spans="1:12" ht="15" thickBot="1" x14ac:dyDescent="0.4">
      <c r="A258" s="5">
        <v>1144</v>
      </c>
      <c r="B258" s="5" t="s">
        <v>42</v>
      </c>
      <c r="C258" s="5" t="s">
        <v>25</v>
      </c>
      <c r="D258" s="5" t="s">
        <v>13</v>
      </c>
      <c r="E258" s="5" t="s">
        <v>14</v>
      </c>
      <c r="F258" s="5">
        <v>16</v>
      </c>
      <c r="G258" s="5">
        <v>219</v>
      </c>
      <c r="H258" s="5">
        <v>7</v>
      </c>
      <c r="I258" s="6">
        <v>46138</v>
      </c>
      <c r="J258" s="6">
        <v>46140</v>
      </c>
      <c r="K258" s="10" t="s">
        <v>20</v>
      </c>
      <c r="L258" s="16">
        <f t="shared" si="3"/>
        <v>2</v>
      </c>
    </row>
    <row r="259" spans="1:12" ht="15" thickBot="1" x14ac:dyDescent="0.4">
      <c r="A259" s="5">
        <v>1214</v>
      </c>
      <c r="B259" s="5" t="s">
        <v>42</v>
      </c>
      <c r="C259" s="5" t="s">
        <v>25</v>
      </c>
      <c r="D259" s="5" t="s">
        <v>18</v>
      </c>
      <c r="E259" s="5" t="s">
        <v>28</v>
      </c>
      <c r="F259" s="5">
        <v>19</v>
      </c>
      <c r="G259" s="5">
        <v>13832</v>
      </c>
      <c r="H259" s="5">
        <v>0</v>
      </c>
      <c r="I259" s="6">
        <v>46140</v>
      </c>
      <c r="J259" s="6">
        <v>46145</v>
      </c>
      <c r="K259" s="10" t="s">
        <v>51</v>
      </c>
      <c r="L259" s="16">
        <f t="shared" ref="L259:L322" si="4">J259-I259</f>
        <v>5</v>
      </c>
    </row>
    <row r="260" spans="1:12" ht="15" thickBot="1" x14ac:dyDescent="0.4">
      <c r="A260" s="5">
        <v>1346</v>
      </c>
      <c r="B260" s="5" t="s">
        <v>32</v>
      </c>
      <c r="C260" s="5" t="s">
        <v>22</v>
      </c>
      <c r="D260" s="5" t="s">
        <v>18</v>
      </c>
      <c r="E260" s="5" t="s">
        <v>19</v>
      </c>
      <c r="F260" s="5">
        <v>16</v>
      </c>
      <c r="G260" s="5">
        <v>6910</v>
      </c>
      <c r="H260" s="5">
        <v>15</v>
      </c>
      <c r="I260" s="6">
        <v>46140</v>
      </c>
      <c r="J260" s="6">
        <v>46142</v>
      </c>
      <c r="K260" s="10" t="s">
        <v>29</v>
      </c>
      <c r="L260" s="16">
        <f t="shared" si="4"/>
        <v>2</v>
      </c>
    </row>
    <row r="261" spans="1:12" ht="15" thickBot="1" x14ac:dyDescent="0.4">
      <c r="A261" s="5">
        <v>1101</v>
      </c>
      <c r="B261" s="5" t="s">
        <v>27</v>
      </c>
      <c r="C261" s="5" t="s">
        <v>22</v>
      </c>
      <c r="D261" s="5" t="s">
        <v>34</v>
      </c>
      <c r="E261" s="5" t="s">
        <v>61</v>
      </c>
      <c r="F261" s="5">
        <v>9</v>
      </c>
      <c r="G261" s="5">
        <v>37361</v>
      </c>
      <c r="H261" s="5">
        <v>10</v>
      </c>
      <c r="I261" s="6">
        <v>46141</v>
      </c>
      <c r="J261" s="6">
        <v>46142</v>
      </c>
      <c r="K261" s="10" t="s">
        <v>24</v>
      </c>
      <c r="L261" s="16">
        <f t="shared" si="4"/>
        <v>1</v>
      </c>
    </row>
    <row r="262" spans="1:12" ht="15" thickBot="1" x14ac:dyDescent="0.4">
      <c r="A262" s="5">
        <v>1322</v>
      </c>
      <c r="B262" s="5" t="s">
        <v>27</v>
      </c>
      <c r="C262" s="5" t="s">
        <v>12</v>
      </c>
      <c r="D262" s="5" t="s">
        <v>18</v>
      </c>
      <c r="E262" s="5" t="s">
        <v>23</v>
      </c>
      <c r="F262" s="5">
        <v>14</v>
      </c>
      <c r="G262" s="5">
        <v>9081</v>
      </c>
      <c r="H262" s="5">
        <v>15</v>
      </c>
      <c r="I262" s="6">
        <v>46141</v>
      </c>
      <c r="J262" s="6">
        <v>46146</v>
      </c>
      <c r="K262" s="10" t="s">
        <v>15</v>
      </c>
      <c r="L262" s="16">
        <f t="shared" si="4"/>
        <v>5</v>
      </c>
    </row>
    <row r="263" spans="1:12" ht="15" thickBot="1" x14ac:dyDescent="0.4">
      <c r="A263" s="5">
        <v>1361</v>
      </c>
      <c r="B263" s="5" t="s">
        <v>42</v>
      </c>
      <c r="C263" s="5" t="s">
        <v>17</v>
      </c>
      <c r="D263" s="5" t="s">
        <v>18</v>
      </c>
      <c r="E263" s="5" t="s">
        <v>23</v>
      </c>
      <c r="F263" s="5">
        <v>2</v>
      </c>
      <c r="G263" s="5">
        <v>1822</v>
      </c>
      <c r="H263" s="5">
        <v>5</v>
      </c>
      <c r="I263" s="6">
        <v>46141</v>
      </c>
      <c r="J263" s="6">
        <v>46145</v>
      </c>
      <c r="K263" s="10" t="s">
        <v>20</v>
      </c>
      <c r="L263" s="16">
        <f t="shared" si="4"/>
        <v>4</v>
      </c>
    </row>
    <row r="264" spans="1:12" ht="15" thickBot="1" x14ac:dyDescent="0.4">
      <c r="A264" s="5">
        <v>1254</v>
      </c>
      <c r="B264" s="5" t="s">
        <v>52</v>
      </c>
      <c r="C264" s="5" t="s">
        <v>22</v>
      </c>
      <c r="D264" s="5" t="s">
        <v>13</v>
      </c>
      <c r="E264" s="5" t="s">
        <v>50</v>
      </c>
      <c r="F264" s="5">
        <v>18</v>
      </c>
      <c r="G264" s="5">
        <v>447</v>
      </c>
      <c r="H264" s="5">
        <v>15</v>
      </c>
      <c r="I264" s="6">
        <v>46141</v>
      </c>
      <c r="J264" s="6">
        <v>46149</v>
      </c>
      <c r="K264" s="10" t="s">
        <v>24</v>
      </c>
      <c r="L264" s="16">
        <f t="shared" si="4"/>
        <v>8</v>
      </c>
    </row>
    <row r="265" spans="1:12" ht="15" thickBot="1" x14ac:dyDescent="0.4">
      <c r="A265" s="5">
        <v>1160</v>
      </c>
      <c r="B265" s="5" t="s">
        <v>59</v>
      </c>
      <c r="C265" s="5" t="s">
        <v>22</v>
      </c>
      <c r="D265" s="5" t="s">
        <v>34</v>
      </c>
      <c r="E265" s="5" t="s">
        <v>39</v>
      </c>
      <c r="F265" s="5">
        <v>7</v>
      </c>
      <c r="G265" s="5">
        <v>53986</v>
      </c>
      <c r="H265" s="5">
        <v>10</v>
      </c>
      <c r="I265" s="6">
        <v>46142</v>
      </c>
      <c r="J265" s="6">
        <v>46147</v>
      </c>
      <c r="K265" s="10" t="s">
        <v>51</v>
      </c>
      <c r="L265" s="16">
        <f t="shared" si="4"/>
        <v>5</v>
      </c>
    </row>
    <row r="266" spans="1:12" ht="15" thickBot="1" x14ac:dyDescent="0.4">
      <c r="A266" s="5">
        <v>1240</v>
      </c>
      <c r="B266" s="5" t="s">
        <v>55</v>
      </c>
      <c r="C266" s="5" t="s">
        <v>33</v>
      </c>
      <c r="D266" s="5" t="s">
        <v>18</v>
      </c>
      <c r="E266" s="5" t="s">
        <v>23</v>
      </c>
      <c r="F266" s="5">
        <v>2</v>
      </c>
      <c r="G266" s="5">
        <v>5475</v>
      </c>
      <c r="H266" s="5">
        <v>2</v>
      </c>
      <c r="I266" s="6">
        <v>46142</v>
      </c>
      <c r="J266" s="6">
        <v>46146</v>
      </c>
      <c r="K266" s="10" t="s">
        <v>29</v>
      </c>
      <c r="L266" s="16">
        <f t="shared" si="4"/>
        <v>4</v>
      </c>
    </row>
    <row r="267" spans="1:12" ht="15" thickBot="1" x14ac:dyDescent="0.4">
      <c r="A267" s="5">
        <v>1339</v>
      </c>
      <c r="B267" s="5" t="s">
        <v>32</v>
      </c>
      <c r="C267" s="5" t="s">
        <v>25</v>
      </c>
      <c r="D267" s="5" t="s">
        <v>13</v>
      </c>
      <c r="E267" s="5" t="s">
        <v>14</v>
      </c>
      <c r="F267" s="5">
        <v>6</v>
      </c>
      <c r="G267" s="5">
        <v>302</v>
      </c>
      <c r="H267" s="5">
        <v>5</v>
      </c>
      <c r="I267" s="6">
        <v>46142</v>
      </c>
      <c r="J267" s="6">
        <v>46148</v>
      </c>
      <c r="K267" s="10" t="s">
        <v>20</v>
      </c>
      <c r="L267" s="16">
        <f t="shared" si="4"/>
        <v>6</v>
      </c>
    </row>
    <row r="268" spans="1:12" ht="15" thickBot="1" x14ac:dyDescent="0.4">
      <c r="A268" s="5">
        <v>1150</v>
      </c>
      <c r="B268" s="5" t="s">
        <v>42</v>
      </c>
      <c r="C268" s="5" t="s">
        <v>12</v>
      </c>
      <c r="D268" s="5" t="s">
        <v>18</v>
      </c>
      <c r="E268" s="5" t="s">
        <v>56</v>
      </c>
      <c r="F268" s="5">
        <v>10</v>
      </c>
      <c r="G268" s="5">
        <v>5323</v>
      </c>
      <c r="H268" s="5">
        <v>7</v>
      </c>
      <c r="I268" s="6">
        <v>46143</v>
      </c>
      <c r="J268" s="6">
        <v>46153</v>
      </c>
      <c r="K268" s="10" t="s">
        <v>24</v>
      </c>
      <c r="L268" s="16">
        <f t="shared" si="4"/>
        <v>10</v>
      </c>
    </row>
    <row r="269" spans="1:12" ht="15" thickBot="1" x14ac:dyDescent="0.4">
      <c r="A269" s="5">
        <v>1218</v>
      </c>
      <c r="B269" s="5" t="s">
        <v>55</v>
      </c>
      <c r="C269" s="5" t="s">
        <v>38</v>
      </c>
      <c r="D269" s="5" t="s">
        <v>13</v>
      </c>
      <c r="E269" s="5" t="s">
        <v>14</v>
      </c>
      <c r="F269" s="5">
        <v>1</v>
      </c>
      <c r="G269" s="5">
        <v>134</v>
      </c>
      <c r="H269" s="5">
        <v>10</v>
      </c>
      <c r="I269" s="6">
        <v>46143</v>
      </c>
      <c r="J269" s="6">
        <v>46151</v>
      </c>
      <c r="K269" s="10" t="s">
        <v>51</v>
      </c>
      <c r="L269" s="16">
        <f t="shared" si="4"/>
        <v>8</v>
      </c>
    </row>
    <row r="270" spans="1:12" ht="15" thickBot="1" x14ac:dyDescent="0.4">
      <c r="A270" s="5">
        <v>1021</v>
      </c>
      <c r="B270" s="5" t="s">
        <v>48</v>
      </c>
      <c r="C270" s="5" t="s">
        <v>43</v>
      </c>
      <c r="D270" s="5" t="s">
        <v>13</v>
      </c>
      <c r="E270" s="5" t="s">
        <v>14</v>
      </c>
      <c r="F270" s="5">
        <v>3</v>
      </c>
      <c r="G270" s="5">
        <v>484</v>
      </c>
      <c r="H270" s="5">
        <v>2</v>
      </c>
      <c r="I270" s="6">
        <v>46144</v>
      </c>
      <c r="J270" s="6">
        <v>46148</v>
      </c>
      <c r="K270" s="10" t="s">
        <v>24</v>
      </c>
      <c r="L270" s="16">
        <f t="shared" si="4"/>
        <v>4</v>
      </c>
    </row>
    <row r="271" spans="1:12" ht="15" thickBot="1" x14ac:dyDescent="0.4">
      <c r="A271" s="5">
        <v>1184</v>
      </c>
      <c r="B271" s="5" t="s">
        <v>40</v>
      </c>
      <c r="C271" s="5" t="s">
        <v>31</v>
      </c>
      <c r="D271" s="5" t="s">
        <v>34</v>
      </c>
      <c r="E271" s="5" t="s">
        <v>39</v>
      </c>
      <c r="F271" s="5">
        <v>12</v>
      </c>
      <c r="G271" s="5">
        <v>50517</v>
      </c>
      <c r="H271" s="5">
        <v>15</v>
      </c>
      <c r="I271" s="6">
        <v>46145</v>
      </c>
      <c r="J271" s="6">
        <v>46153</v>
      </c>
      <c r="K271" s="10" t="s">
        <v>29</v>
      </c>
      <c r="L271" s="16">
        <f t="shared" si="4"/>
        <v>8</v>
      </c>
    </row>
    <row r="272" spans="1:12" ht="15" thickBot="1" x14ac:dyDescent="0.4">
      <c r="A272" s="5">
        <v>1333</v>
      </c>
      <c r="B272" s="5" t="s">
        <v>29</v>
      </c>
      <c r="C272" s="5" t="s">
        <v>38</v>
      </c>
      <c r="D272" s="5" t="s">
        <v>13</v>
      </c>
      <c r="E272" s="5" t="s">
        <v>53</v>
      </c>
      <c r="F272" s="5">
        <v>20</v>
      </c>
      <c r="G272" s="5">
        <v>416</v>
      </c>
      <c r="H272" s="5">
        <v>12</v>
      </c>
      <c r="I272" s="6">
        <v>46145</v>
      </c>
      <c r="J272" s="6">
        <v>46146</v>
      </c>
      <c r="K272" s="10" t="s">
        <v>51</v>
      </c>
      <c r="L272" s="16">
        <f t="shared" si="4"/>
        <v>1</v>
      </c>
    </row>
    <row r="273" spans="1:12" ht="15" thickBot="1" x14ac:dyDescent="0.4">
      <c r="A273" s="5">
        <v>1085</v>
      </c>
      <c r="B273" s="5" t="s">
        <v>32</v>
      </c>
      <c r="C273" s="5" t="s">
        <v>38</v>
      </c>
      <c r="D273" s="5" t="s">
        <v>34</v>
      </c>
      <c r="E273" s="5" t="s">
        <v>60</v>
      </c>
      <c r="F273" s="5">
        <v>19</v>
      </c>
      <c r="G273" s="5">
        <v>45307</v>
      </c>
      <c r="H273" s="5">
        <v>12</v>
      </c>
      <c r="I273" s="6">
        <v>46146</v>
      </c>
      <c r="J273" s="6">
        <v>46150</v>
      </c>
      <c r="K273" s="10" t="s">
        <v>24</v>
      </c>
      <c r="L273" s="16">
        <f t="shared" si="4"/>
        <v>4</v>
      </c>
    </row>
    <row r="274" spans="1:12" ht="15" thickBot="1" x14ac:dyDescent="0.4">
      <c r="A274" s="5">
        <v>1305</v>
      </c>
      <c r="B274" s="5" t="s">
        <v>58</v>
      </c>
      <c r="C274" s="5" t="s">
        <v>31</v>
      </c>
      <c r="D274" s="5" t="s">
        <v>34</v>
      </c>
      <c r="E274" s="5" t="s">
        <v>60</v>
      </c>
      <c r="F274" s="5">
        <v>20</v>
      </c>
      <c r="G274" s="5">
        <v>31406</v>
      </c>
      <c r="H274" s="5">
        <v>15</v>
      </c>
      <c r="I274" s="6">
        <v>46146</v>
      </c>
      <c r="J274" s="6">
        <v>46154</v>
      </c>
      <c r="K274" s="10" t="s">
        <v>51</v>
      </c>
      <c r="L274" s="16">
        <f t="shared" si="4"/>
        <v>8</v>
      </c>
    </row>
    <row r="275" spans="1:12" ht="15" thickBot="1" x14ac:dyDescent="0.4">
      <c r="A275" s="5">
        <v>1360</v>
      </c>
      <c r="B275" s="5" t="s">
        <v>11</v>
      </c>
      <c r="C275" s="5" t="s">
        <v>43</v>
      </c>
      <c r="D275" s="5" t="s">
        <v>18</v>
      </c>
      <c r="E275" s="5" t="s">
        <v>23</v>
      </c>
      <c r="F275" s="5">
        <v>19</v>
      </c>
      <c r="G275" s="5">
        <v>6681</v>
      </c>
      <c r="H275" s="5">
        <v>2</v>
      </c>
      <c r="I275" s="6">
        <v>46146</v>
      </c>
      <c r="J275" s="6">
        <v>46150</v>
      </c>
      <c r="K275" s="10" t="s">
        <v>15</v>
      </c>
      <c r="L275" s="16">
        <f t="shared" si="4"/>
        <v>4</v>
      </c>
    </row>
    <row r="276" spans="1:12" ht="15" thickBot="1" x14ac:dyDescent="0.4">
      <c r="A276" s="5">
        <v>1117</v>
      </c>
      <c r="B276" s="5" t="s">
        <v>55</v>
      </c>
      <c r="C276" s="5" t="s">
        <v>43</v>
      </c>
      <c r="D276" s="5" t="s">
        <v>34</v>
      </c>
      <c r="E276" s="5" t="s">
        <v>39</v>
      </c>
      <c r="F276" s="5">
        <v>16</v>
      </c>
      <c r="G276" s="5">
        <v>33162</v>
      </c>
      <c r="H276" s="5">
        <v>7</v>
      </c>
      <c r="I276" s="6">
        <v>46147</v>
      </c>
      <c r="J276" s="6">
        <v>46155</v>
      </c>
      <c r="K276" s="10" t="s">
        <v>29</v>
      </c>
      <c r="L276" s="16">
        <f t="shared" si="4"/>
        <v>8</v>
      </c>
    </row>
    <row r="277" spans="1:12" ht="15" thickBot="1" x14ac:dyDescent="0.4">
      <c r="A277" s="5">
        <v>1063</v>
      </c>
      <c r="B277" s="5" t="s">
        <v>54</v>
      </c>
      <c r="C277" s="5" t="s">
        <v>22</v>
      </c>
      <c r="D277" s="5" t="s">
        <v>34</v>
      </c>
      <c r="E277" s="5" t="s">
        <v>45</v>
      </c>
      <c r="F277" s="5">
        <v>7</v>
      </c>
      <c r="G277" s="5">
        <v>66744</v>
      </c>
      <c r="H277" s="5">
        <v>7</v>
      </c>
      <c r="I277" s="6">
        <v>46148</v>
      </c>
      <c r="J277" s="6">
        <v>46155</v>
      </c>
      <c r="K277" s="10" t="s">
        <v>15</v>
      </c>
      <c r="L277" s="16">
        <f t="shared" si="4"/>
        <v>7</v>
      </c>
    </row>
    <row r="278" spans="1:12" ht="15" thickBot="1" x14ac:dyDescent="0.4">
      <c r="A278" s="5">
        <v>1134</v>
      </c>
      <c r="B278" s="5" t="s">
        <v>57</v>
      </c>
      <c r="C278" s="5" t="s">
        <v>31</v>
      </c>
      <c r="D278" s="5" t="s">
        <v>34</v>
      </c>
      <c r="E278" s="5" t="s">
        <v>61</v>
      </c>
      <c r="F278" s="5">
        <v>10</v>
      </c>
      <c r="G278" s="5">
        <v>29217</v>
      </c>
      <c r="H278" s="5">
        <v>15</v>
      </c>
      <c r="I278" s="6">
        <v>46148</v>
      </c>
      <c r="J278" s="6">
        <v>46150</v>
      </c>
      <c r="K278" s="10" t="s">
        <v>24</v>
      </c>
      <c r="L278" s="16">
        <f t="shared" si="4"/>
        <v>2</v>
      </c>
    </row>
    <row r="279" spans="1:12" ht="15" thickBot="1" x14ac:dyDescent="0.4">
      <c r="A279" s="5">
        <v>1312</v>
      </c>
      <c r="B279" s="5" t="s">
        <v>57</v>
      </c>
      <c r="C279" s="5" t="s">
        <v>22</v>
      </c>
      <c r="D279" s="5" t="s">
        <v>18</v>
      </c>
      <c r="E279" s="5" t="s">
        <v>56</v>
      </c>
      <c r="F279" s="5">
        <v>20</v>
      </c>
      <c r="G279" s="5">
        <v>3274</v>
      </c>
      <c r="H279" s="5">
        <v>2</v>
      </c>
      <c r="I279" s="6">
        <v>46148</v>
      </c>
      <c r="J279" s="6">
        <v>46156</v>
      </c>
      <c r="K279" s="10" t="s">
        <v>24</v>
      </c>
      <c r="L279" s="16">
        <f t="shared" si="4"/>
        <v>8</v>
      </c>
    </row>
    <row r="280" spans="1:12" ht="15" thickBot="1" x14ac:dyDescent="0.4">
      <c r="A280" s="5">
        <v>1191</v>
      </c>
      <c r="B280" s="5" t="s">
        <v>52</v>
      </c>
      <c r="C280" s="5" t="s">
        <v>33</v>
      </c>
      <c r="D280" s="5" t="s">
        <v>18</v>
      </c>
      <c r="E280" s="5" t="s">
        <v>56</v>
      </c>
      <c r="F280" s="5">
        <v>9</v>
      </c>
      <c r="G280" s="5">
        <v>8631</v>
      </c>
      <c r="H280" s="5">
        <v>10</v>
      </c>
      <c r="I280" s="6">
        <v>46149</v>
      </c>
      <c r="J280" s="6">
        <v>46156</v>
      </c>
      <c r="K280" s="10" t="s">
        <v>20</v>
      </c>
      <c r="L280" s="16">
        <f t="shared" si="4"/>
        <v>7</v>
      </c>
    </row>
    <row r="281" spans="1:12" ht="15" thickBot="1" x14ac:dyDescent="0.4">
      <c r="A281" s="5">
        <v>1115</v>
      </c>
      <c r="B281" s="5" t="s">
        <v>59</v>
      </c>
      <c r="C281" s="5" t="s">
        <v>43</v>
      </c>
      <c r="D281" s="5" t="s">
        <v>13</v>
      </c>
      <c r="E281" s="5" t="s">
        <v>50</v>
      </c>
      <c r="F281" s="5">
        <v>9</v>
      </c>
      <c r="G281" s="5">
        <v>303</v>
      </c>
      <c r="H281" s="5">
        <v>10</v>
      </c>
      <c r="I281" s="6">
        <v>46149</v>
      </c>
      <c r="J281" s="6">
        <v>46157</v>
      </c>
      <c r="K281" s="10" t="s">
        <v>29</v>
      </c>
      <c r="L281" s="16">
        <f t="shared" si="4"/>
        <v>8</v>
      </c>
    </row>
    <row r="282" spans="1:12" ht="15" thickBot="1" x14ac:dyDescent="0.4">
      <c r="A282" s="5">
        <v>1327</v>
      </c>
      <c r="B282" s="5" t="s">
        <v>48</v>
      </c>
      <c r="C282" s="5" t="s">
        <v>12</v>
      </c>
      <c r="D282" s="5" t="s">
        <v>13</v>
      </c>
      <c r="E282" s="5" t="s">
        <v>53</v>
      </c>
      <c r="F282" s="5">
        <v>15</v>
      </c>
      <c r="G282" s="5">
        <v>449</v>
      </c>
      <c r="H282" s="5">
        <v>5</v>
      </c>
      <c r="I282" s="6">
        <v>46152</v>
      </c>
      <c r="J282" s="6">
        <v>46153</v>
      </c>
      <c r="K282" s="10" t="s">
        <v>15</v>
      </c>
      <c r="L282" s="16">
        <f t="shared" si="4"/>
        <v>1</v>
      </c>
    </row>
    <row r="283" spans="1:12" ht="15" thickBot="1" x14ac:dyDescent="0.4">
      <c r="A283" s="5">
        <v>1046</v>
      </c>
      <c r="B283" s="5" t="s">
        <v>57</v>
      </c>
      <c r="C283" s="5" t="s">
        <v>38</v>
      </c>
      <c r="D283" s="5" t="s">
        <v>34</v>
      </c>
      <c r="E283" s="5" t="s">
        <v>45</v>
      </c>
      <c r="F283" s="5">
        <v>3</v>
      </c>
      <c r="G283" s="5">
        <v>19443</v>
      </c>
      <c r="H283" s="5">
        <v>10</v>
      </c>
      <c r="I283" s="6">
        <v>46153</v>
      </c>
      <c r="J283" s="6">
        <v>46158</v>
      </c>
      <c r="K283" s="10" t="s">
        <v>29</v>
      </c>
      <c r="L283" s="16">
        <f t="shared" si="4"/>
        <v>5</v>
      </c>
    </row>
    <row r="284" spans="1:12" ht="15" thickBot="1" x14ac:dyDescent="0.4">
      <c r="A284" s="5">
        <v>1185</v>
      </c>
      <c r="B284" s="5" t="s">
        <v>58</v>
      </c>
      <c r="C284" s="5" t="s">
        <v>22</v>
      </c>
      <c r="D284" s="5" t="s">
        <v>34</v>
      </c>
      <c r="E284" s="5" t="s">
        <v>60</v>
      </c>
      <c r="F284" s="5">
        <v>16</v>
      </c>
      <c r="G284" s="5">
        <v>15536</v>
      </c>
      <c r="H284" s="5">
        <v>2</v>
      </c>
      <c r="I284" s="6">
        <v>46153</v>
      </c>
      <c r="J284" s="6">
        <v>46156</v>
      </c>
      <c r="K284" s="10" t="s">
        <v>15</v>
      </c>
      <c r="L284" s="16">
        <f t="shared" si="4"/>
        <v>3</v>
      </c>
    </row>
    <row r="285" spans="1:12" ht="15" thickBot="1" x14ac:dyDescent="0.4">
      <c r="A285" s="5">
        <v>1147</v>
      </c>
      <c r="B285" s="5" t="s">
        <v>11</v>
      </c>
      <c r="C285" s="5" t="s">
        <v>22</v>
      </c>
      <c r="D285" s="5" t="s">
        <v>18</v>
      </c>
      <c r="E285" s="5" t="s">
        <v>28</v>
      </c>
      <c r="F285" s="5">
        <v>7</v>
      </c>
      <c r="G285" s="5">
        <v>9581</v>
      </c>
      <c r="H285" s="5">
        <v>5</v>
      </c>
      <c r="I285" s="6">
        <v>46154</v>
      </c>
      <c r="J285" s="6">
        <v>46155</v>
      </c>
      <c r="K285" s="10" t="s">
        <v>20</v>
      </c>
      <c r="L285" s="16">
        <f t="shared" si="4"/>
        <v>1</v>
      </c>
    </row>
    <row r="286" spans="1:12" ht="15" thickBot="1" x14ac:dyDescent="0.4">
      <c r="A286" s="5">
        <v>1222</v>
      </c>
      <c r="B286" s="5" t="s">
        <v>30</v>
      </c>
      <c r="C286" s="5" t="s">
        <v>33</v>
      </c>
      <c r="D286" s="5" t="s">
        <v>18</v>
      </c>
      <c r="E286" s="5" t="s">
        <v>23</v>
      </c>
      <c r="F286" s="5">
        <v>9</v>
      </c>
      <c r="G286" s="5">
        <v>2712</v>
      </c>
      <c r="H286" s="5">
        <v>12</v>
      </c>
      <c r="I286" s="6">
        <v>46154</v>
      </c>
      <c r="J286" s="6">
        <v>46163</v>
      </c>
      <c r="K286" s="10" t="s">
        <v>15</v>
      </c>
      <c r="L286" s="16">
        <f t="shared" si="4"/>
        <v>9</v>
      </c>
    </row>
    <row r="287" spans="1:12" ht="15" thickBot="1" x14ac:dyDescent="0.4">
      <c r="A287" s="5">
        <v>1332</v>
      </c>
      <c r="B287" s="5" t="s">
        <v>29</v>
      </c>
      <c r="C287" s="5" t="s">
        <v>43</v>
      </c>
      <c r="D287" s="5" t="s">
        <v>13</v>
      </c>
      <c r="E287" s="5" t="s">
        <v>50</v>
      </c>
      <c r="F287" s="5">
        <v>7</v>
      </c>
      <c r="G287" s="5">
        <v>439</v>
      </c>
      <c r="H287" s="5">
        <v>2</v>
      </c>
      <c r="I287" s="6">
        <v>46154</v>
      </c>
      <c r="J287" s="6">
        <v>46157</v>
      </c>
      <c r="K287" s="10" t="s">
        <v>15</v>
      </c>
      <c r="L287" s="16">
        <f t="shared" si="4"/>
        <v>3</v>
      </c>
    </row>
    <row r="288" spans="1:12" ht="15" thickBot="1" x14ac:dyDescent="0.4">
      <c r="A288" s="5">
        <v>1179</v>
      </c>
      <c r="B288" s="5" t="s">
        <v>47</v>
      </c>
      <c r="C288" s="5" t="s">
        <v>17</v>
      </c>
      <c r="D288" s="5" t="s">
        <v>34</v>
      </c>
      <c r="E288" s="5" t="s">
        <v>39</v>
      </c>
      <c r="F288" s="5">
        <v>6</v>
      </c>
      <c r="G288" s="5">
        <v>10400</v>
      </c>
      <c r="H288" s="5">
        <v>2</v>
      </c>
      <c r="I288" s="6">
        <v>46155</v>
      </c>
      <c r="J288" s="6">
        <v>46158</v>
      </c>
      <c r="K288" s="10" t="s">
        <v>15</v>
      </c>
      <c r="L288" s="16">
        <f t="shared" si="4"/>
        <v>3</v>
      </c>
    </row>
    <row r="289" spans="1:12" ht="15" thickBot="1" x14ac:dyDescent="0.4">
      <c r="A289" s="5">
        <v>1196</v>
      </c>
      <c r="B289" s="5" t="s">
        <v>48</v>
      </c>
      <c r="C289" s="5" t="s">
        <v>22</v>
      </c>
      <c r="D289" s="5" t="s">
        <v>34</v>
      </c>
      <c r="E289" s="5" t="s">
        <v>35</v>
      </c>
      <c r="F289" s="5">
        <v>20</v>
      </c>
      <c r="G289" s="5">
        <v>3172</v>
      </c>
      <c r="H289" s="5">
        <v>5</v>
      </c>
      <c r="I289" s="6">
        <v>46155</v>
      </c>
      <c r="J289" s="6">
        <v>46159</v>
      </c>
      <c r="K289" s="10" t="s">
        <v>20</v>
      </c>
      <c r="L289" s="16">
        <f t="shared" si="4"/>
        <v>4</v>
      </c>
    </row>
    <row r="290" spans="1:12" ht="15" thickBot="1" x14ac:dyDescent="0.4">
      <c r="A290" s="5">
        <v>1027</v>
      </c>
      <c r="B290" s="5" t="s">
        <v>29</v>
      </c>
      <c r="C290" s="5" t="s">
        <v>43</v>
      </c>
      <c r="D290" s="5" t="s">
        <v>13</v>
      </c>
      <c r="E290" s="5" t="s">
        <v>50</v>
      </c>
      <c r="F290" s="5">
        <v>4</v>
      </c>
      <c r="G290" s="5">
        <v>264</v>
      </c>
      <c r="H290" s="5">
        <v>0</v>
      </c>
      <c r="I290" s="6">
        <v>46155</v>
      </c>
      <c r="J290" s="6">
        <v>46161</v>
      </c>
      <c r="K290" s="10" t="s">
        <v>51</v>
      </c>
      <c r="L290" s="16">
        <f t="shared" si="4"/>
        <v>6</v>
      </c>
    </row>
    <row r="291" spans="1:12" ht="15" thickBot="1" x14ac:dyDescent="0.4">
      <c r="A291" s="5">
        <v>1344</v>
      </c>
      <c r="B291" s="5" t="s">
        <v>30</v>
      </c>
      <c r="C291" s="5" t="s">
        <v>17</v>
      </c>
      <c r="D291" s="5" t="s">
        <v>13</v>
      </c>
      <c r="E291" s="5" t="s">
        <v>53</v>
      </c>
      <c r="F291" s="5">
        <v>18</v>
      </c>
      <c r="G291" s="5">
        <v>240</v>
      </c>
      <c r="H291" s="5">
        <v>10</v>
      </c>
      <c r="I291" s="6">
        <v>46155</v>
      </c>
      <c r="J291" s="6">
        <v>46156</v>
      </c>
      <c r="K291" s="10" t="s">
        <v>24</v>
      </c>
      <c r="L291" s="16">
        <f t="shared" si="4"/>
        <v>1</v>
      </c>
    </row>
    <row r="292" spans="1:12" ht="15" thickBot="1" x14ac:dyDescent="0.4">
      <c r="A292" s="5">
        <v>1171</v>
      </c>
      <c r="B292" s="5" t="s">
        <v>57</v>
      </c>
      <c r="C292" s="5" t="s">
        <v>25</v>
      </c>
      <c r="D292" s="5" t="s">
        <v>13</v>
      </c>
      <c r="E292" s="5" t="s">
        <v>50</v>
      </c>
      <c r="F292" s="5">
        <v>17</v>
      </c>
      <c r="G292" s="5">
        <v>147</v>
      </c>
      <c r="H292" s="5">
        <v>12</v>
      </c>
      <c r="I292" s="6">
        <v>46155</v>
      </c>
      <c r="J292" s="6">
        <v>46160</v>
      </c>
      <c r="K292" s="10" t="s">
        <v>20</v>
      </c>
      <c r="L292" s="16">
        <f t="shared" si="4"/>
        <v>5</v>
      </c>
    </row>
    <row r="293" spans="1:12" ht="15" thickBot="1" x14ac:dyDescent="0.4">
      <c r="A293" s="5">
        <v>1295</v>
      </c>
      <c r="B293" s="5" t="s">
        <v>52</v>
      </c>
      <c r="C293" s="5" t="s">
        <v>38</v>
      </c>
      <c r="D293" s="5" t="s">
        <v>18</v>
      </c>
      <c r="E293" s="5" t="s">
        <v>28</v>
      </c>
      <c r="F293" s="5">
        <v>16</v>
      </c>
      <c r="G293" s="5">
        <v>11935</v>
      </c>
      <c r="H293" s="5">
        <v>12</v>
      </c>
      <c r="I293" s="6">
        <v>46157</v>
      </c>
      <c r="J293" s="6">
        <v>46162</v>
      </c>
      <c r="K293" s="10" t="s">
        <v>15</v>
      </c>
      <c r="L293" s="16">
        <f t="shared" si="4"/>
        <v>5</v>
      </c>
    </row>
    <row r="294" spans="1:12" ht="15" thickBot="1" x14ac:dyDescent="0.4">
      <c r="A294" s="5">
        <v>1367</v>
      </c>
      <c r="B294" s="5" t="s">
        <v>54</v>
      </c>
      <c r="C294" s="5" t="s">
        <v>25</v>
      </c>
      <c r="D294" s="5" t="s">
        <v>13</v>
      </c>
      <c r="E294" s="5" t="s">
        <v>53</v>
      </c>
      <c r="F294" s="5">
        <v>1</v>
      </c>
      <c r="G294" s="5">
        <v>371</v>
      </c>
      <c r="H294" s="5">
        <v>5</v>
      </c>
      <c r="I294" s="6">
        <v>46158</v>
      </c>
      <c r="J294" s="6">
        <v>46168</v>
      </c>
      <c r="K294" s="10" t="s">
        <v>29</v>
      </c>
      <c r="L294" s="16">
        <f t="shared" si="4"/>
        <v>10</v>
      </c>
    </row>
    <row r="295" spans="1:12" ht="15" thickBot="1" x14ac:dyDescent="0.4">
      <c r="A295" s="5">
        <v>1317</v>
      </c>
      <c r="B295" s="5" t="s">
        <v>59</v>
      </c>
      <c r="C295" s="5" t="s">
        <v>33</v>
      </c>
      <c r="D295" s="5" t="s">
        <v>34</v>
      </c>
      <c r="E295" s="5" t="s">
        <v>41</v>
      </c>
      <c r="F295" s="5">
        <v>7</v>
      </c>
      <c r="G295" s="5">
        <v>67339</v>
      </c>
      <c r="H295" s="5">
        <v>5</v>
      </c>
      <c r="I295" s="6">
        <v>46159</v>
      </c>
      <c r="J295" s="6">
        <v>46169</v>
      </c>
      <c r="K295" s="10" t="s">
        <v>51</v>
      </c>
      <c r="L295" s="16">
        <f t="shared" si="4"/>
        <v>10</v>
      </c>
    </row>
    <row r="296" spans="1:12" ht="15" thickBot="1" x14ac:dyDescent="0.4">
      <c r="A296" s="5">
        <v>1052</v>
      </c>
      <c r="B296" s="5" t="s">
        <v>55</v>
      </c>
      <c r="C296" s="5" t="s">
        <v>12</v>
      </c>
      <c r="D296" s="5" t="s">
        <v>13</v>
      </c>
      <c r="E296" s="5" t="s">
        <v>14</v>
      </c>
      <c r="F296" s="5">
        <v>17</v>
      </c>
      <c r="G296" s="5">
        <v>172</v>
      </c>
      <c r="H296" s="5">
        <v>10</v>
      </c>
      <c r="I296" s="6">
        <v>46159</v>
      </c>
      <c r="J296" s="6">
        <v>46165</v>
      </c>
      <c r="K296" s="10" t="s">
        <v>20</v>
      </c>
      <c r="L296" s="16">
        <f t="shared" si="4"/>
        <v>6</v>
      </c>
    </row>
    <row r="297" spans="1:12" ht="15" thickBot="1" x14ac:dyDescent="0.4">
      <c r="A297" s="5">
        <v>1143</v>
      </c>
      <c r="B297" s="5" t="s">
        <v>29</v>
      </c>
      <c r="C297" s="5" t="s">
        <v>17</v>
      </c>
      <c r="D297" s="5" t="s">
        <v>13</v>
      </c>
      <c r="E297" s="5" t="s">
        <v>37</v>
      </c>
      <c r="F297" s="5">
        <v>13</v>
      </c>
      <c r="G297" s="5">
        <v>456</v>
      </c>
      <c r="H297" s="5">
        <v>2</v>
      </c>
      <c r="I297" s="6">
        <v>46160</v>
      </c>
      <c r="J297" s="6">
        <v>46167</v>
      </c>
      <c r="K297" s="10" t="s">
        <v>24</v>
      </c>
      <c r="L297" s="16">
        <f t="shared" si="4"/>
        <v>7</v>
      </c>
    </row>
    <row r="298" spans="1:12" ht="15" thickBot="1" x14ac:dyDescent="0.4">
      <c r="A298" s="5">
        <v>1167</v>
      </c>
      <c r="B298" s="5" t="s">
        <v>48</v>
      </c>
      <c r="C298" s="5" t="s">
        <v>17</v>
      </c>
      <c r="D298" s="5" t="s">
        <v>13</v>
      </c>
      <c r="E298" s="5" t="s">
        <v>37</v>
      </c>
      <c r="F298" s="5">
        <v>20</v>
      </c>
      <c r="G298" s="5">
        <v>251</v>
      </c>
      <c r="H298" s="5">
        <v>5</v>
      </c>
      <c r="I298" s="6">
        <v>46160</v>
      </c>
      <c r="J298" s="6">
        <v>46170</v>
      </c>
      <c r="K298" s="10" t="s">
        <v>29</v>
      </c>
      <c r="L298" s="16">
        <f t="shared" si="4"/>
        <v>10</v>
      </c>
    </row>
    <row r="299" spans="1:12" ht="15" thickBot="1" x14ac:dyDescent="0.4">
      <c r="A299" s="5">
        <v>1129</v>
      </c>
      <c r="B299" s="5" t="s">
        <v>58</v>
      </c>
      <c r="C299" s="5" t="s">
        <v>17</v>
      </c>
      <c r="D299" s="5" t="s">
        <v>13</v>
      </c>
      <c r="E299" s="5" t="s">
        <v>50</v>
      </c>
      <c r="F299" s="5">
        <v>15</v>
      </c>
      <c r="G299" s="5">
        <v>75</v>
      </c>
      <c r="H299" s="5">
        <v>7</v>
      </c>
      <c r="I299" s="6">
        <v>46160</v>
      </c>
      <c r="J299" s="6">
        <v>46164</v>
      </c>
      <c r="K299" s="10" t="s">
        <v>29</v>
      </c>
      <c r="L299" s="16">
        <f t="shared" si="4"/>
        <v>4</v>
      </c>
    </row>
    <row r="300" spans="1:12" ht="15" thickBot="1" x14ac:dyDescent="0.4">
      <c r="A300" s="5">
        <v>1257</v>
      </c>
      <c r="B300" s="5" t="s">
        <v>54</v>
      </c>
      <c r="C300" s="5" t="s">
        <v>25</v>
      </c>
      <c r="D300" s="5" t="s">
        <v>34</v>
      </c>
      <c r="E300" s="5" t="s">
        <v>61</v>
      </c>
      <c r="F300" s="5">
        <v>7</v>
      </c>
      <c r="G300" s="5">
        <v>53243</v>
      </c>
      <c r="H300" s="5">
        <v>12</v>
      </c>
      <c r="I300" s="6">
        <v>46161</v>
      </c>
      <c r="J300" s="6">
        <v>46171</v>
      </c>
      <c r="K300" s="10" t="s">
        <v>15</v>
      </c>
      <c r="L300" s="16">
        <f t="shared" si="4"/>
        <v>10</v>
      </c>
    </row>
    <row r="301" spans="1:12" ht="15" thickBot="1" x14ac:dyDescent="0.4">
      <c r="A301" s="5">
        <v>1372</v>
      </c>
      <c r="B301" s="5" t="s">
        <v>48</v>
      </c>
      <c r="C301" s="5" t="s">
        <v>17</v>
      </c>
      <c r="D301" s="5" t="s">
        <v>34</v>
      </c>
      <c r="E301" s="5" t="s">
        <v>39</v>
      </c>
      <c r="F301" s="5">
        <v>9</v>
      </c>
      <c r="G301" s="5">
        <v>9551</v>
      </c>
      <c r="H301" s="5">
        <v>10</v>
      </c>
      <c r="I301" s="6">
        <v>46161</v>
      </c>
      <c r="J301" s="6">
        <v>46168</v>
      </c>
      <c r="K301" s="10" t="s">
        <v>15</v>
      </c>
      <c r="L301" s="16">
        <f t="shared" si="4"/>
        <v>7</v>
      </c>
    </row>
    <row r="302" spans="1:12" ht="15" thickBot="1" x14ac:dyDescent="0.4">
      <c r="A302" s="5">
        <v>1024</v>
      </c>
      <c r="B302" s="5" t="s">
        <v>32</v>
      </c>
      <c r="C302" s="5" t="s">
        <v>38</v>
      </c>
      <c r="D302" s="5" t="s">
        <v>34</v>
      </c>
      <c r="E302" s="5" t="s">
        <v>41</v>
      </c>
      <c r="F302" s="5">
        <v>12</v>
      </c>
      <c r="G302" s="5">
        <v>1682</v>
      </c>
      <c r="H302" s="5">
        <v>5</v>
      </c>
      <c r="I302" s="6">
        <v>46161</v>
      </c>
      <c r="J302" s="6">
        <v>46165</v>
      </c>
      <c r="K302" s="10" t="s">
        <v>15</v>
      </c>
      <c r="L302" s="16">
        <f t="shared" si="4"/>
        <v>4</v>
      </c>
    </row>
    <row r="303" spans="1:12" ht="15" thickBot="1" x14ac:dyDescent="0.4">
      <c r="A303" s="5">
        <v>1248</v>
      </c>
      <c r="B303" s="5" t="s">
        <v>27</v>
      </c>
      <c r="C303" s="5" t="s">
        <v>43</v>
      </c>
      <c r="D303" s="5" t="s">
        <v>13</v>
      </c>
      <c r="E303" s="5" t="s">
        <v>37</v>
      </c>
      <c r="F303" s="5">
        <v>5</v>
      </c>
      <c r="G303" s="5">
        <v>398</v>
      </c>
      <c r="H303" s="5">
        <v>7</v>
      </c>
      <c r="I303" s="6">
        <v>46161</v>
      </c>
      <c r="J303" s="6">
        <v>46171</v>
      </c>
      <c r="K303" s="10" t="s">
        <v>29</v>
      </c>
      <c r="L303" s="16">
        <f t="shared" si="4"/>
        <v>10</v>
      </c>
    </row>
    <row r="304" spans="1:12" ht="15" thickBot="1" x14ac:dyDescent="0.4">
      <c r="A304" s="5">
        <v>1011</v>
      </c>
      <c r="B304" s="5" t="s">
        <v>11</v>
      </c>
      <c r="C304" s="5" t="s">
        <v>17</v>
      </c>
      <c r="D304" s="5" t="s">
        <v>13</v>
      </c>
      <c r="E304" s="5" t="s">
        <v>37</v>
      </c>
      <c r="F304" s="5">
        <v>14</v>
      </c>
      <c r="G304" s="5">
        <v>88</v>
      </c>
      <c r="H304" s="5">
        <v>12</v>
      </c>
      <c r="I304" s="6">
        <v>46161</v>
      </c>
      <c r="J304" s="6">
        <v>46163</v>
      </c>
      <c r="K304" s="10" t="s">
        <v>15</v>
      </c>
      <c r="L304" s="16">
        <f t="shared" si="4"/>
        <v>2</v>
      </c>
    </row>
    <row r="305" spans="1:12" ht="15" thickBot="1" x14ac:dyDescent="0.4">
      <c r="A305" s="5">
        <v>1386</v>
      </c>
      <c r="B305" s="5" t="s">
        <v>27</v>
      </c>
      <c r="C305" s="5" t="s">
        <v>31</v>
      </c>
      <c r="D305" s="5" t="s">
        <v>18</v>
      </c>
      <c r="E305" s="5" t="s">
        <v>28</v>
      </c>
      <c r="F305" s="5">
        <v>9</v>
      </c>
      <c r="G305" s="5">
        <v>7509</v>
      </c>
      <c r="H305" s="5">
        <v>5</v>
      </c>
      <c r="I305" s="6">
        <v>46162</v>
      </c>
      <c r="J305" s="6">
        <v>46171</v>
      </c>
      <c r="K305" s="10" t="s">
        <v>51</v>
      </c>
      <c r="L305" s="16">
        <f t="shared" si="4"/>
        <v>9</v>
      </c>
    </row>
    <row r="306" spans="1:12" ht="15" thickBot="1" x14ac:dyDescent="0.4">
      <c r="A306" s="5">
        <v>1007</v>
      </c>
      <c r="B306" s="5" t="s">
        <v>21</v>
      </c>
      <c r="C306" s="5" t="s">
        <v>22</v>
      </c>
      <c r="D306" s="5" t="s">
        <v>13</v>
      </c>
      <c r="E306" s="5" t="s">
        <v>14</v>
      </c>
      <c r="F306" s="5">
        <v>19</v>
      </c>
      <c r="G306" s="5">
        <v>149</v>
      </c>
      <c r="H306" s="5">
        <v>7</v>
      </c>
      <c r="I306" s="6">
        <v>46162</v>
      </c>
      <c r="J306" s="6">
        <v>46168</v>
      </c>
      <c r="K306" s="10" t="s">
        <v>24</v>
      </c>
      <c r="L306" s="16">
        <f t="shared" si="4"/>
        <v>6</v>
      </c>
    </row>
    <row r="307" spans="1:12" ht="15" thickBot="1" x14ac:dyDescent="0.4">
      <c r="A307" s="5">
        <v>1032</v>
      </c>
      <c r="B307" s="5" t="s">
        <v>54</v>
      </c>
      <c r="C307" s="5" t="s">
        <v>43</v>
      </c>
      <c r="D307" s="5" t="s">
        <v>34</v>
      </c>
      <c r="E307" s="5" t="s">
        <v>39</v>
      </c>
      <c r="F307" s="5">
        <v>20</v>
      </c>
      <c r="G307" s="5">
        <v>11305</v>
      </c>
      <c r="H307" s="5">
        <v>2</v>
      </c>
      <c r="I307" s="6">
        <v>46163</v>
      </c>
      <c r="J307" s="6">
        <v>46165</v>
      </c>
      <c r="K307" s="10" t="s">
        <v>29</v>
      </c>
      <c r="L307" s="16">
        <f t="shared" si="4"/>
        <v>2</v>
      </c>
    </row>
    <row r="308" spans="1:12" ht="15" thickBot="1" x14ac:dyDescent="0.4">
      <c r="A308" s="5">
        <v>1302</v>
      </c>
      <c r="B308" s="5" t="s">
        <v>57</v>
      </c>
      <c r="C308" s="5" t="s">
        <v>12</v>
      </c>
      <c r="D308" s="5" t="s">
        <v>34</v>
      </c>
      <c r="E308" s="5" t="s">
        <v>35</v>
      </c>
      <c r="F308" s="5">
        <v>9</v>
      </c>
      <c r="G308" s="5">
        <v>8500</v>
      </c>
      <c r="H308" s="5">
        <v>15</v>
      </c>
      <c r="I308" s="6">
        <v>46163</v>
      </c>
      <c r="J308" s="6">
        <v>46172</v>
      </c>
      <c r="K308" s="10" t="s">
        <v>24</v>
      </c>
      <c r="L308" s="16">
        <f t="shared" si="4"/>
        <v>9</v>
      </c>
    </row>
    <row r="309" spans="1:12" ht="15" thickBot="1" x14ac:dyDescent="0.4">
      <c r="A309" s="5">
        <v>1249</v>
      </c>
      <c r="B309" s="5" t="s">
        <v>16</v>
      </c>
      <c r="C309" s="5" t="s">
        <v>25</v>
      </c>
      <c r="D309" s="5" t="s">
        <v>34</v>
      </c>
      <c r="E309" s="5" t="s">
        <v>41</v>
      </c>
      <c r="F309" s="5">
        <v>18</v>
      </c>
      <c r="G309" s="5">
        <v>6360</v>
      </c>
      <c r="H309" s="5">
        <v>12</v>
      </c>
      <c r="I309" s="6">
        <v>46163</v>
      </c>
      <c r="J309" s="6">
        <v>46165</v>
      </c>
      <c r="K309" s="10" t="s">
        <v>20</v>
      </c>
      <c r="L309" s="16">
        <f t="shared" si="4"/>
        <v>2</v>
      </c>
    </row>
    <row r="310" spans="1:12" ht="15" thickBot="1" x14ac:dyDescent="0.4">
      <c r="A310" s="5">
        <v>1207</v>
      </c>
      <c r="B310" s="5" t="s">
        <v>55</v>
      </c>
      <c r="C310" s="5" t="s">
        <v>25</v>
      </c>
      <c r="D310" s="5" t="s">
        <v>13</v>
      </c>
      <c r="E310" s="5" t="s">
        <v>53</v>
      </c>
      <c r="F310" s="5">
        <v>7</v>
      </c>
      <c r="G310" s="5">
        <v>244</v>
      </c>
      <c r="H310" s="5">
        <v>2</v>
      </c>
      <c r="I310" s="6">
        <v>46164</v>
      </c>
      <c r="J310" s="6">
        <v>46173</v>
      </c>
      <c r="K310" s="10" t="s">
        <v>24</v>
      </c>
      <c r="L310" s="16">
        <f t="shared" si="4"/>
        <v>9</v>
      </c>
    </row>
    <row r="311" spans="1:12" ht="15" thickBot="1" x14ac:dyDescent="0.4">
      <c r="A311" s="5">
        <v>1236</v>
      </c>
      <c r="B311" s="5" t="s">
        <v>54</v>
      </c>
      <c r="C311" s="5" t="s">
        <v>43</v>
      </c>
      <c r="D311" s="5" t="s">
        <v>13</v>
      </c>
      <c r="E311" s="5" t="s">
        <v>37</v>
      </c>
      <c r="F311" s="5">
        <v>12</v>
      </c>
      <c r="G311" s="5">
        <v>189</v>
      </c>
      <c r="H311" s="5">
        <v>7</v>
      </c>
      <c r="I311" s="6">
        <v>46164</v>
      </c>
      <c r="J311" s="6">
        <v>46169</v>
      </c>
      <c r="K311" s="10" t="s">
        <v>29</v>
      </c>
      <c r="L311" s="16">
        <f t="shared" si="4"/>
        <v>5</v>
      </c>
    </row>
    <row r="312" spans="1:12" ht="15" thickBot="1" x14ac:dyDescent="0.4">
      <c r="A312" s="5">
        <v>1326</v>
      </c>
      <c r="B312" s="5" t="s">
        <v>26</v>
      </c>
      <c r="C312" s="5" t="s">
        <v>17</v>
      </c>
      <c r="D312" s="5" t="s">
        <v>18</v>
      </c>
      <c r="E312" s="5" t="s">
        <v>44</v>
      </c>
      <c r="F312" s="5">
        <v>18</v>
      </c>
      <c r="G312" s="5">
        <v>1830</v>
      </c>
      <c r="H312" s="5">
        <v>10</v>
      </c>
      <c r="I312" s="6">
        <v>46165</v>
      </c>
      <c r="J312" s="6">
        <v>46172</v>
      </c>
      <c r="K312" s="10" t="s">
        <v>15</v>
      </c>
      <c r="L312" s="16">
        <f t="shared" si="4"/>
        <v>7</v>
      </c>
    </row>
    <row r="313" spans="1:12" ht="15" thickBot="1" x14ac:dyDescent="0.4">
      <c r="A313" s="5">
        <v>1252</v>
      </c>
      <c r="B313" s="5" t="s">
        <v>47</v>
      </c>
      <c r="C313" s="5" t="s">
        <v>25</v>
      </c>
      <c r="D313" s="5" t="s">
        <v>13</v>
      </c>
      <c r="E313" s="5" t="s">
        <v>36</v>
      </c>
      <c r="F313" s="5">
        <v>15</v>
      </c>
      <c r="G313" s="5">
        <v>257</v>
      </c>
      <c r="H313" s="5">
        <v>5</v>
      </c>
      <c r="I313" s="6">
        <v>46166</v>
      </c>
      <c r="J313" s="6">
        <v>46173</v>
      </c>
      <c r="K313" s="10" t="s">
        <v>20</v>
      </c>
      <c r="L313" s="16">
        <f t="shared" si="4"/>
        <v>7</v>
      </c>
    </row>
    <row r="314" spans="1:12" ht="15" thickBot="1" x14ac:dyDescent="0.4">
      <c r="A314" s="5">
        <v>1206</v>
      </c>
      <c r="B314" s="5" t="s">
        <v>55</v>
      </c>
      <c r="C314" s="5" t="s">
        <v>33</v>
      </c>
      <c r="D314" s="5" t="s">
        <v>13</v>
      </c>
      <c r="E314" s="5" t="s">
        <v>14</v>
      </c>
      <c r="F314" s="5">
        <v>9</v>
      </c>
      <c r="G314" s="5">
        <v>60</v>
      </c>
      <c r="H314" s="5">
        <v>0</v>
      </c>
      <c r="I314" s="6">
        <v>46166</v>
      </c>
      <c r="J314" s="6">
        <v>46174</v>
      </c>
      <c r="K314" s="10" t="s">
        <v>15</v>
      </c>
      <c r="L314" s="16">
        <f t="shared" si="4"/>
        <v>8</v>
      </c>
    </row>
    <row r="315" spans="1:12" ht="15" thickBot="1" x14ac:dyDescent="0.4">
      <c r="A315" s="5">
        <v>1095</v>
      </c>
      <c r="B315" s="5" t="s">
        <v>47</v>
      </c>
      <c r="C315" s="5" t="s">
        <v>25</v>
      </c>
      <c r="D315" s="5" t="s">
        <v>34</v>
      </c>
      <c r="E315" s="5" t="s">
        <v>41</v>
      </c>
      <c r="F315" s="5">
        <v>18</v>
      </c>
      <c r="G315" s="5">
        <v>587</v>
      </c>
      <c r="H315" s="5">
        <v>2</v>
      </c>
      <c r="I315" s="6">
        <v>46167</v>
      </c>
      <c r="J315" s="6">
        <v>46171</v>
      </c>
      <c r="K315" s="10" t="s">
        <v>20</v>
      </c>
      <c r="L315" s="16">
        <f t="shared" si="4"/>
        <v>4</v>
      </c>
    </row>
    <row r="316" spans="1:12" ht="15" thickBot="1" x14ac:dyDescent="0.4">
      <c r="A316" s="5">
        <v>1131</v>
      </c>
      <c r="B316" s="5" t="s">
        <v>21</v>
      </c>
      <c r="C316" s="5" t="s">
        <v>31</v>
      </c>
      <c r="D316" s="5" t="s">
        <v>18</v>
      </c>
      <c r="E316" s="5" t="s">
        <v>23</v>
      </c>
      <c r="F316" s="5">
        <v>13</v>
      </c>
      <c r="G316" s="5">
        <v>3083</v>
      </c>
      <c r="H316" s="5">
        <v>7</v>
      </c>
      <c r="I316" s="6">
        <v>46168</v>
      </c>
      <c r="J316" s="6">
        <v>46173</v>
      </c>
      <c r="K316" s="10" t="s">
        <v>51</v>
      </c>
      <c r="L316" s="16">
        <f t="shared" si="4"/>
        <v>5</v>
      </c>
    </row>
    <row r="317" spans="1:12" ht="15" thickBot="1" x14ac:dyDescent="0.4">
      <c r="A317" s="5">
        <v>1335</v>
      </c>
      <c r="B317" s="5" t="s">
        <v>47</v>
      </c>
      <c r="C317" s="5" t="s">
        <v>17</v>
      </c>
      <c r="D317" s="5" t="s">
        <v>18</v>
      </c>
      <c r="E317" s="5" t="s">
        <v>19</v>
      </c>
      <c r="F317" s="5">
        <v>9</v>
      </c>
      <c r="G317" s="5">
        <v>1495</v>
      </c>
      <c r="H317" s="5">
        <v>12</v>
      </c>
      <c r="I317" s="6">
        <v>46168</v>
      </c>
      <c r="J317" s="6">
        <v>46173</v>
      </c>
      <c r="K317" s="10" t="s">
        <v>15</v>
      </c>
      <c r="L317" s="16">
        <f t="shared" si="4"/>
        <v>5</v>
      </c>
    </row>
    <row r="318" spans="1:12" ht="15" thickBot="1" x14ac:dyDescent="0.4">
      <c r="A318" s="5">
        <v>1286</v>
      </c>
      <c r="B318" s="5" t="s">
        <v>46</v>
      </c>
      <c r="C318" s="5" t="s">
        <v>17</v>
      </c>
      <c r="D318" s="5" t="s">
        <v>18</v>
      </c>
      <c r="E318" s="5" t="s">
        <v>56</v>
      </c>
      <c r="F318" s="5">
        <v>9</v>
      </c>
      <c r="G318" s="5">
        <v>1340</v>
      </c>
      <c r="H318" s="5">
        <v>2</v>
      </c>
      <c r="I318" s="6">
        <v>46168</v>
      </c>
      <c r="J318" s="6">
        <v>46173</v>
      </c>
      <c r="K318" s="10" t="s">
        <v>15</v>
      </c>
      <c r="L318" s="16">
        <f t="shared" si="4"/>
        <v>5</v>
      </c>
    </row>
    <row r="319" spans="1:12" ht="15" thickBot="1" x14ac:dyDescent="0.4">
      <c r="A319" s="5">
        <v>1177</v>
      </c>
      <c r="B319" s="5" t="s">
        <v>29</v>
      </c>
      <c r="C319" s="5" t="s">
        <v>22</v>
      </c>
      <c r="D319" s="5" t="s">
        <v>18</v>
      </c>
      <c r="E319" s="5" t="s">
        <v>19</v>
      </c>
      <c r="F319" s="5">
        <v>14</v>
      </c>
      <c r="G319" s="5">
        <v>7501</v>
      </c>
      <c r="H319" s="5">
        <v>7</v>
      </c>
      <c r="I319" s="6">
        <v>46169</v>
      </c>
      <c r="J319" s="6">
        <v>46179</v>
      </c>
      <c r="K319" s="10" t="s">
        <v>20</v>
      </c>
      <c r="L319" s="16">
        <f t="shared" si="4"/>
        <v>10</v>
      </c>
    </row>
    <row r="320" spans="1:12" ht="15" thickBot="1" x14ac:dyDescent="0.4">
      <c r="A320" s="5">
        <v>1318</v>
      </c>
      <c r="B320" s="5" t="s">
        <v>11</v>
      </c>
      <c r="C320" s="5" t="s">
        <v>43</v>
      </c>
      <c r="D320" s="5" t="s">
        <v>13</v>
      </c>
      <c r="E320" s="5" t="s">
        <v>50</v>
      </c>
      <c r="F320" s="5">
        <v>4</v>
      </c>
      <c r="G320" s="5">
        <v>38</v>
      </c>
      <c r="H320" s="5">
        <v>12</v>
      </c>
      <c r="I320" s="6">
        <v>46169</v>
      </c>
      <c r="J320" s="6">
        <v>46175</v>
      </c>
      <c r="K320" s="10" t="s">
        <v>29</v>
      </c>
      <c r="L320" s="16">
        <f t="shared" si="4"/>
        <v>6</v>
      </c>
    </row>
    <row r="321" spans="1:12" ht="15" thickBot="1" x14ac:dyDescent="0.4">
      <c r="A321" s="5">
        <v>1079</v>
      </c>
      <c r="B321" s="5" t="s">
        <v>26</v>
      </c>
      <c r="C321" s="5" t="s">
        <v>38</v>
      </c>
      <c r="D321" s="5" t="s">
        <v>34</v>
      </c>
      <c r="E321" s="5" t="s">
        <v>41</v>
      </c>
      <c r="F321" s="5">
        <v>19</v>
      </c>
      <c r="G321" s="5">
        <v>48956</v>
      </c>
      <c r="H321" s="5">
        <v>12</v>
      </c>
      <c r="I321" s="6">
        <v>46170</v>
      </c>
      <c r="J321" s="6">
        <v>46177</v>
      </c>
      <c r="K321" s="10" t="s">
        <v>51</v>
      </c>
      <c r="L321" s="16">
        <f t="shared" si="4"/>
        <v>7</v>
      </c>
    </row>
    <row r="322" spans="1:12" ht="15" thickBot="1" x14ac:dyDescent="0.4">
      <c r="A322" s="5">
        <v>1127</v>
      </c>
      <c r="B322" s="5" t="s">
        <v>26</v>
      </c>
      <c r="C322" s="5" t="s">
        <v>33</v>
      </c>
      <c r="D322" s="5" t="s">
        <v>18</v>
      </c>
      <c r="E322" s="5" t="s">
        <v>28</v>
      </c>
      <c r="F322" s="5">
        <v>15</v>
      </c>
      <c r="G322" s="5">
        <v>11694</v>
      </c>
      <c r="H322" s="5">
        <v>12</v>
      </c>
      <c r="I322" s="6">
        <v>46170</v>
      </c>
      <c r="J322" s="6">
        <v>46179</v>
      </c>
      <c r="K322" s="10" t="s">
        <v>29</v>
      </c>
      <c r="L322" s="16">
        <f t="shared" si="4"/>
        <v>9</v>
      </c>
    </row>
    <row r="323" spans="1:12" ht="15" thickBot="1" x14ac:dyDescent="0.4">
      <c r="A323" s="5">
        <v>1398</v>
      </c>
      <c r="B323" s="5" t="s">
        <v>58</v>
      </c>
      <c r="C323" s="5" t="s">
        <v>43</v>
      </c>
      <c r="D323" s="5" t="s">
        <v>34</v>
      </c>
      <c r="E323" s="5" t="s">
        <v>39</v>
      </c>
      <c r="F323" s="5">
        <v>12</v>
      </c>
      <c r="G323" s="5">
        <v>10668</v>
      </c>
      <c r="H323" s="5">
        <v>0</v>
      </c>
      <c r="I323" s="6">
        <v>46170</v>
      </c>
      <c r="J323" s="6">
        <v>46176</v>
      </c>
      <c r="K323" s="10" t="s">
        <v>15</v>
      </c>
      <c r="L323" s="16">
        <f t="shared" ref="L323:L386" si="5">J323-I323</f>
        <v>6</v>
      </c>
    </row>
    <row r="324" spans="1:12" ht="15" thickBot="1" x14ac:dyDescent="0.4">
      <c r="A324" s="5">
        <v>1220</v>
      </c>
      <c r="B324" s="5" t="s">
        <v>11</v>
      </c>
      <c r="C324" s="5" t="s">
        <v>25</v>
      </c>
      <c r="D324" s="5" t="s">
        <v>18</v>
      </c>
      <c r="E324" s="5" t="s">
        <v>56</v>
      </c>
      <c r="F324" s="5">
        <v>2</v>
      </c>
      <c r="G324" s="5">
        <v>8861</v>
      </c>
      <c r="H324" s="5">
        <v>2</v>
      </c>
      <c r="I324" s="6">
        <v>46170</v>
      </c>
      <c r="J324" s="6">
        <v>46174</v>
      </c>
      <c r="K324" s="10" t="s">
        <v>24</v>
      </c>
      <c r="L324" s="16">
        <f t="shared" si="5"/>
        <v>4</v>
      </c>
    </row>
    <row r="325" spans="1:12" ht="15" thickBot="1" x14ac:dyDescent="0.4">
      <c r="A325" s="5">
        <v>1040</v>
      </c>
      <c r="B325" s="5" t="s">
        <v>49</v>
      </c>
      <c r="C325" s="5" t="s">
        <v>38</v>
      </c>
      <c r="D325" s="5" t="s">
        <v>18</v>
      </c>
      <c r="E325" s="5" t="s">
        <v>28</v>
      </c>
      <c r="F325" s="5">
        <v>10</v>
      </c>
      <c r="G325" s="5">
        <v>7531</v>
      </c>
      <c r="H325" s="5">
        <v>2</v>
      </c>
      <c r="I325" s="6">
        <v>46171</v>
      </c>
      <c r="J325" s="6">
        <v>46178</v>
      </c>
      <c r="K325" s="10" t="s">
        <v>24</v>
      </c>
      <c r="L325" s="16">
        <f t="shared" si="5"/>
        <v>7</v>
      </c>
    </row>
    <row r="326" spans="1:12" ht="15" thickBot="1" x14ac:dyDescent="0.4">
      <c r="A326" s="5">
        <v>1087</v>
      </c>
      <c r="B326" s="5" t="s">
        <v>11</v>
      </c>
      <c r="C326" s="5" t="s">
        <v>31</v>
      </c>
      <c r="D326" s="5" t="s">
        <v>13</v>
      </c>
      <c r="E326" s="5" t="s">
        <v>37</v>
      </c>
      <c r="F326" s="5">
        <v>13</v>
      </c>
      <c r="G326" s="5">
        <v>387</v>
      </c>
      <c r="H326" s="5">
        <v>7</v>
      </c>
      <c r="I326" s="6">
        <v>46171</v>
      </c>
      <c r="J326" s="6">
        <v>46176</v>
      </c>
      <c r="K326" s="10" t="s">
        <v>24</v>
      </c>
      <c r="L326" s="16">
        <f t="shared" si="5"/>
        <v>5</v>
      </c>
    </row>
    <row r="327" spans="1:12" ht="15" thickBot="1" x14ac:dyDescent="0.4">
      <c r="A327" s="5">
        <v>1005</v>
      </c>
      <c r="B327" s="5" t="s">
        <v>26</v>
      </c>
      <c r="C327" s="5" t="s">
        <v>17</v>
      </c>
      <c r="D327" s="5" t="s">
        <v>13</v>
      </c>
      <c r="E327" s="5" t="s">
        <v>14</v>
      </c>
      <c r="F327" s="5">
        <v>18</v>
      </c>
      <c r="G327" s="5">
        <v>70</v>
      </c>
      <c r="H327" s="5">
        <v>0</v>
      </c>
      <c r="I327" s="6">
        <v>46171</v>
      </c>
      <c r="J327" s="6">
        <v>46179</v>
      </c>
      <c r="K327" s="10" t="s">
        <v>24</v>
      </c>
      <c r="L327" s="16">
        <f t="shared" si="5"/>
        <v>8</v>
      </c>
    </row>
    <row r="328" spans="1:12" ht="15" thickBot="1" x14ac:dyDescent="0.4">
      <c r="A328" s="5">
        <v>1217</v>
      </c>
      <c r="B328" s="5" t="s">
        <v>30</v>
      </c>
      <c r="C328" s="5" t="s">
        <v>22</v>
      </c>
      <c r="D328" s="5" t="s">
        <v>13</v>
      </c>
      <c r="E328" s="5" t="s">
        <v>50</v>
      </c>
      <c r="F328" s="5">
        <v>18</v>
      </c>
      <c r="G328" s="5">
        <v>60</v>
      </c>
      <c r="H328" s="5">
        <v>0</v>
      </c>
      <c r="I328" s="6">
        <v>46171</v>
      </c>
      <c r="J328" s="6">
        <v>46172</v>
      </c>
      <c r="K328" s="10" t="s">
        <v>29</v>
      </c>
      <c r="L328" s="16">
        <f t="shared" si="5"/>
        <v>1</v>
      </c>
    </row>
    <row r="329" spans="1:12" ht="15" thickBot="1" x14ac:dyDescent="0.4">
      <c r="A329" s="5">
        <v>1259</v>
      </c>
      <c r="B329" s="5" t="s">
        <v>42</v>
      </c>
      <c r="C329" s="5" t="s">
        <v>22</v>
      </c>
      <c r="D329" s="5" t="s">
        <v>34</v>
      </c>
      <c r="E329" s="5" t="s">
        <v>45</v>
      </c>
      <c r="F329" s="5">
        <v>10</v>
      </c>
      <c r="G329" s="5">
        <v>38771</v>
      </c>
      <c r="H329" s="5">
        <v>15</v>
      </c>
      <c r="I329" s="6">
        <v>46172</v>
      </c>
      <c r="J329" s="6">
        <v>46182</v>
      </c>
      <c r="K329" s="10" t="s">
        <v>15</v>
      </c>
      <c r="L329" s="16">
        <f t="shared" si="5"/>
        <v>10</v>
      </c>
    </row>
    <row r="330" spans="1:12" ht="15" thickBot="1" x14ac:dyDescent="0.4">
      <c r="A330" s="5">
        <v>1273</v>
      </c>
      <c r="B330" s="5" t="s">
        <v>46</v>
      </c>
      <c r="C330" s="5" t="s">
        <v>25</v>
      </c>
      <c r="D330" s="5" t="s">
        <v>34</v>
      </c>
      <c r="E330" s="5" t="s">
        <v>39</v>
      </c>
      <c r="F330" s="5">
        <v>12</v>
      </c>
      <c r="G330" s="5">
        <v>20618</v>
      </c>
      <c r="H330" s="5">
        <v>12</v>
      </c>
      <c r="I330" s="6">
        <v>46172</v>
      </c>
      <c r="J330" s="6">
        <v>46174</v>
      </c>
      <c r="K330" s="10" t="s">
        <v>20</v>
      </c>
      <c r="L330" s="16">
        <f t="shared" si="5"/>
        <v>2</v>
      </c>
    </row>
    <row r="331" spans="1:12" ht="15" thickBot="1" x14ac:dyDescent="0.4">
      <c r="A331" s="5">
        <v>1235</v>
      </c>
      <c r="B331" s="5" t="s">
        <v>57</v>
      </c>
      <c r="C331" s="5" t="s">
        <v>25</v>
      </c>
      <c r="D331" s="5" t="s">
        <v>13</v>
      </c>
      <c r="E331" s="5" t="s">
        <v>50</v>
      </c>
      <c r="F331" s="5">
        <v>15</v>
      </c>
      <c r="G331" s="5">
        <v>267</v>
      </c>
      <c r="H331" s="5">
        <v>15</v>
      </c>
      <c r="I331" s="6">
        <v>46172</v>
      </c>
      <c r="J331" s="6">
        <v>46177</v>
      </c>
      <c r="K331" s="10" t="s">
        <v>29</v>
      </c>
      <c r="L331" s="16">
        <f t="shared" si="5"/>
        <v>5</v>
      </c>
    </row>
    <row r="332" spans="1:12" ht="15" thickBot="1" x14ac:dyDescent="0.4">
      <c r="A332" s="5">
        <v>1044</v>
      </c>
      <c r="B332" s="5" t="s">
        <v>48</v>
      </c>
      <c r="C332" s="5" t="s">
        <v>38</v>
      </c>
      <c r="D332" s="5" t="s">
        <v>18</v>
      </c>
      <c r="E332" s="5" t="s">
        <v>19</v>
      </c>
      <c r="F332" s="5">
        <v>4</v>
      </c>
      <c r="G332" s="5">
        <v>14731</v>
      </c>
      <c r="H332" s="5">
        <v>2</v>
      </c>
      <c r="I332" s="6">
        <v>46173</v>
      </c>
      <c r="J332" s="6">
        <v>46176</v>
      </c>
      <c r="K332" s="10" t="s">
        <v>20</v>
      </c>
      <c r="L332" s="16">
        <f t="shared" si="5"/>
        <v>3</v>
      </c>
    </row>
    <row r="333" spans="1:12" ht="15" thickBot="1" x14ac:dyDescent="0.4">
      <c r="A333" s="5">
        <v>1247</v>
      </c>
      <c r="B333" s="5" t="s">
        <v>26</v>
      </c>
      <c r="C333" s="5" t="s">
        <v>12</v>
      </c>
      <c r="D333" s="5" t="s">
        <v>13</v>
      </c>
      <c r="E333" s="5" t="s">
        <v>50</v>
      </c>
      <c r="F333" s="5">
        <v>10</v>
      </c>
      <c r="G333" s="5">
        <v>336</v>
      </c>
      <c r="H333" s="5">
        <v>7</v>
      </c>
      <c r="I333" s="6">
        <v>46173</v>
      </c>
      <c r="J333" s="6">
        <v>46175</v>
      </c>
      <c r="K333" s="10" t="s">
        <v>20</v>
      </c>
      <c r="L333" s="16">
        <f t="shared" si="5"/>
        <v>2</v>
      </c>
    </row>
    <row r="334" spans="1:12" ht="15" thickBot="1" x14ac:dyDescent="0.4">
      <c r="A334" s="5">
        <v>1311</v>
      </c>
      <c r="B334" s="5" t="s">
        <v>55</v>
      </c>
      <c r="C334" s="5" t="s">
        <v>12</v>
      </c>
      <c r="D334" s="5" t="s">
        <v>13</v>
      </c>
      <c r="E334" s="5" t="s">
        <v>14</v>
      </c>
      <c r="F334" s="5">
        <v>2</v>
      </c>
      <c r="G334" s="5">
        <v>209</v>
      </c>
      <c r="H334" s="5">
        <v>0</v>
      </c>
      <c r="I334" s="6">
        <v>46173</v>
      </c>
      <c r="J334" s="6">
        <v>46176</v>
      </c>
      <c r="K334" s="10" t="s">
        <v>20</v>
      </c>
      <c r="L334" s="16">
        <f t="shared" si="5"/>
        <v>3</v>
      </c>
    </row>
    <row r="335" spans="1:12" ht="15" thickBot="1" x14ac:dyDescent="0.4">
      <c r="A335" s="5">
        <v>1343</v>
      </c>
      <c r="B335" s="5" t="s">
        <v>59</v>
      </c>
      <c r="C335" s="5" t="s">
        <v>31</v>
      </c>
      <c r="D335" s="5" t="s">
        <v>34</v>
      </c>
      <c r="E335" s="5" t="s">
        <v>39</v>
      </c>
      <c r="F335" s="5">
        <v>14</v>
      </c>
      <c r="G335" s="5">
        <v>32719</v>
      </c>
      <c r="H335" s="5">
        <v>15</v>
      </c>
      <c r="I335" s="6">
        <v>46174</v>
      </c>
      <c r="J335" s="6">
        <v>46179</v>
      </c>
      <c r="K335" s="10" t="s">
        <v>15</v>
      </c>
      <c r="L335" s="16">
        <f t="shared" si="5"/>
        <v>5</v>
      </c>
    </row>
    <row r="336" spans="1:12" ht="15" thickBot="1" x14ac:dyDescent="0.4">
      <c r="A336" s="5">
        <v>1002</v>
      </c>
      <c r="B336" s="5" t="s">
        <v>16</v>
      </c>
      <c r="C336" s="5" t="s">
        <v>17</v>
      </c>
      <c r="D336" s="5" t="s">
        <v>18</v>
      </c>
      <c r="E336" s="5" t="s">
        <v>19</v>
      </c>
      <c r="F336" s="5">
        <v>7</v>
      </c>
      <c r="G336" s="5">
        <v>8448</v>
      </c>
      <c r="H336" s="5">
        <v>12</v>
      </c>
      <c r="I336" s="6">
        <v>46174</v>
      </c>
      <c r="J336" s="6">
        <v>46179</v>
      </c>
      <c r="K336" s="10" t="s">
        <v>20</v>
      </c>
      <c r="L336" s="16">
        <f t="shared" si="5"/>
        <v>5</v>
      </c>
    </row>
    <row r="337" spans="1:12" ht="15" thickBot="1" x14ac:dyDescent="0.4">
      <c r="A337" s="5">
        <v>1262</v>
      </c>
      <c r="B337" s="5" t="s">
        <v>16</v>
      </c>
      <c r="C337" s="5" t="s">
        <v>22</v>
      </c>
      <c r="D337" s="5" t="s">
        <v>18</v>
      </c>
      <c r="E337" s="5" t="s">
        <v>28</v>
      </c>
      <c r="F337" s="5">
        <v>9</v>
      </c>
      <c r="G337" s="5">
        <v>2231</v>
      </c>
      <c r="H337" s="5">
        <v>15</v>
      </c>
      <c r="I337" s="6">
        <v>46174</v>
      </c>
      <c r="J337" s="6">
        <v>46183</v>
      </c>
      <c r="K337" s="10" t="s">
        <v>15</v>
      </c>
      <c r="L337" s="16">
        <f t="shared" si="5"/>
        <v>9</v>
      </c>
    </row>
    <row r="338" spans="1:12" ht="15" thickBot="1" x14ac:dyDescent="0.4">
      <c r="A338" s="5">
        <v>1015</v>
      </c>
      <c r="B338" s="5" t="s">
        <v>42</v>
      </c>
      <c r="C338" s="5" t="s">
        <v>43</v>
      </c>
      <c r="D338" s="5" t="s">
        <v>18</v>
      </c>
      <c r="E338" s="5" t="s">
        <v>44</v>
      </c>
      <c r="F338" s="5">
        <v>11</v>
      </c>
      <c r="G338" s="5">
        <v>14511</v>
      </c>
      <c r="H338" s="5">
        <v>2</v>
      </c>
      <c r="I338" s="6">
        <v>46175</v>
      </c>
      <c r="J338" s="6">
        <v>46185</v>
      </c>
      <c r="K338" s="10" t="s">
        <v>20</v>
      </c>
      <c r="L338" s="16">
        <f t="shared" si="5"/>
        <v>10</v>
      </c>
    </row>
    <row r="339" spans="1:12" ht="15" thickBot="1" x14ac:dyDescent="0.4">
      <c r="A339" s="5">
        <v>1093</v>
      </c>
      <c r="B339" s="5" t="s">
        <v>47</v>
      </c>
      <c r="C339" s="5" t="s">
        <v>25</v>
      </c>
      <c r="D339" s="5" t="s">
        <v>18</v>
      </c>
      <c r="E339" s="5" t="s">
        <v>23</v>
      </c>
      <c r="F339" s="5">
        <v>6</v>
      </c>
      <c r="G339" s="5">
        <v>8224</v>
      </c>
      <c r="H339" s="5">
        <v>15</v>
      </c>
      <c r="I339" s="6">
        <v>46175</v>
      </c>
      <c r="J339" s="6">
        <v>46185</v>
      </c>
      <c r="K339" s="10" t="s">
        <v>51</v>
      </c>
      <c r="L339" s="16">
        <f t="shared" si="5"/>
        <v>10</v>
      </c>
    </row>
    <row r="340" spans="1:12" ht="15" thickBot="1" x14ac:dyDescent="0.4">
      <c r="A340" s="5">
        <v>1025</v>
      </c>
      <c r="B340" s="5" t="s">
        <v>21</v>
      </c>
      <c r="C340" s="5" t="s">
        <v>12</v>
      </c>
      <c r="D340" s="5" t="s">
        <v>18</v>
      </c>
      <c r="E340" s="5" t="s">
        <v>19</v>
      </c>
      <c r="F340" s="5">
        <v>18</v>
      </c>
      <c r="G340" s="5">
        <v>7924</v>
      </c>
      <c r="H340" s="5">
        <v>0</v>
      </c>
      <c r="I340" s="6">
        <v>46175</v>
      </c>
      <c r="J340" s="6">
        <v>46181</v>
      </c>
      <c r="K340" s="10" t="s">
        <v>15</v>
      </c>
      <c r="L340" s="16">
        <f t="shared" si="5"/>
        <v>6</v>
      </c>
    </row>
    <row r="341" spans="1:12" ht="15" thickBot="1" x14ac:dyDescent="0.4">
      <c r="A341" s="5">
        <v>1211</v>
      </c>
      <c r="B341" s="5" t="s">
        <v>48</v>
      </c>
      <c r="C341" s="5" t="s">
        <v>17</v>
      </c>
      <c r="D341" s="5" t="s">
        <v>34</v>
      </c>
      <c r="E341" s="5" t="s">
        <v>35</v>
      </c>
      <c r="F341" s="5">
        <v>3</v>
      </c>
      <c r="G341" s="5">
        <v>5962</v>
      </c>
      <c r="H341" s="5">
        <v>7</v>
      </c>
      <c r="I341" s="6">
        <v>46175</v>
      </c>
      <c r="J341" s="6">
        <v>46183</v>
      </c>
      <c r="K341" s="10" t="s">
        <v>15</v>
      </c>
      <c r="L341" s="16">
        <f t="shared" si="5"/>
        <v>8</v>
      </c>
    </row>
    <row r="342" spans="1:12" ht="15" thickBot="1" x14ac:dyDescent="0.4">
      <c r="A342" s="5">
        <v>1245</v>
      </c>
      <c r="B342" s="5" t="s">
        <v>55</v>
      </c>
      <c r="C342" s="5" t="s">
        <v>43</v>
      </c>
      <c r="D342" s="5" t="s">
        <v>34</v>
      </c>
      <c r="E342" s="5" t="s">
        <v>41</v>
      </c>
      <c r="F342" s="5">
        <v>19</v>
      </c>
      <c r="G342" s="5">
        <v>69029</v>
      </c>
      <c r="H342" s="5">
        <v>7</v>
      </c>
      <c r="I342" s="6">
        <v>46176</v>
      </c>
      <c r="J342" s="6">
        <v>46179</v>
      </c>
      <c r="K342" s="10" t="s">
        <v>29</v>
      </c>
      <c r="L342" s="16">
        <f t="shared" si="5"/>
        <v>3</v>
      </c>
    </row>
    <row r="343" spans="1:12" ht="15" thickBot="1" x14ac:dyDescent="0.4">
      <c r="A343" s="5">
        <v>1282</v>
      </c>
      <c r="B343" s="5" t="s">
        <v>57</v>
      </c>
      <c r="C343" s="5" t="s">
        <v>43</v>
      </c>
      <c r="D343" s="5" t="s">
        <v>18</v>
      </c>
      <c r="E343" s="5" t="s">
        <v>44</v>
      </c>
      <c r="F343" s="5">
        <v>12</v>
      </c>
      <c r="G343" s="5">
        <v>3178</v>
      </c>
      <c r="H343" s="5">
        <v>10</v>
      </c>
      <c r="I343" s="6">
        <v>46176</v>
      </c>
      <c r="J343" s="6">
        <v>46177</v>
      </c>
      <c r="K343" s="10" t="s">
        <v>29</v>
      </c>
      <c r="L343" s="16">
        <f t="shared" si="5"/>
        <v>1</v>
      </c>
    </row>
    <row r="344" spans="1:12" ht="15" thickBot="1" x14ac:dyDescent="0.4">
      <c r="A344" s="5">
        <v>1338</v>
      </c>
      <c r="B344" s="5" t="s">
        <v>59</v>
      </c>
      <c r="C344" s="5" t="s">
        <v>25</v>
      </c>
      <c r="D344" s="5" t="s">
        <v>34</v>
      </c>
      <c r="E344" s="5" t="s">
        <v>60</v>
      </c>
      <c r="F344" s="5">
        <v>10</v>
      </c>
      <c r="G344" s="5">
        <v>16719</v>
      </c>
      <c r="H344" s="5">
        <v>5</v>
      </c>
      <c r="I344" s="6">
        <v>46177</v>
      </c>
      <c r="J344" s="6">
        <v>46179</v>
      </c>
      <c r="K344" s="10" t="s">
        <v>15</v>
      </c>
      <c r="L344" s="16">
        <f t="shared" si="5"/>
        <v>2</v>
      </c>
    </row>
    <row r="345" spans="1:12" ht="15" thickBot="1" x14ac:dyDescent="0.4">
      <c r="A345" s="5">
        <v>1187</v>
      </c>
      <c r="B345" s="5" t="s">
        <v>54</v>
      </c>
      <c r="C345" s="5" t="s">
        <v>22</v>
      </c>
      <c r="D345" s="5" t="s">
        <v>34</v>
      </c>
      <c r="E345" s="5" t="s">
        <v>45</v>
      </c>
      <c r="F345" s="5">
        <v>18</v>
      </c>
      <c r="G345" s="5">
        <v>68527</v>
      </c>
      <c r="H345" s="5">
        <v>12</v>
      </c>
      <c r="I345" s="6">
        <v>46178</v>
      </c>
      <c r="J345" s="6">
        <v>46184</v>
      </c>
      <c r="K345" s="10" t="s">
        <v>51</v>
      </c>
      <c r="L345" s="16">
        <f t="shared" si="5"/>
        <v>6</v>
      </c>
    </row>
    <row r="346" spans="1:12" ht="15" thickBot="1" x14ac:dyDescent="0.4">
      <c r="A346" s="5">
        <v>1297</v>
      </c>
      <c r="B346" s="5" t="s">
        <v>54</v>
      </c>
      <c r="C346" s="5" t="s">
        <v>25</v>
      </c>
      <c r="D346" s="5" t="s">
        <v>34</v>
      </c>
      <c r="E346" s="5" t="s">
        <v>35</v>
      </c>
      <c r="F346" s="5">
        <v>14</v>
      </c>
      <c r="G346" s="5">
        <v>24524</v>
      </c>
      <c r="H346" s="5">
        <v>10</v>
      </c>
      <c r="I346" s="6">
        <v>46178</v>
      </c>
      <c r="J346" s="6">
        <v>46187</v>
      </c>
      <c r="K346" s="10" t="s">
        <v>29</v>
      </c>
      <c r="L346" s="16">
        <f t="shared" si="5"/>
        <v>9</v>
      </c>
    </row>
    <row r="347" spans="1:12" ht="15" thickBot="1" x14ac:dyDescent="0.4">
      <c r="A347" s="5">
        <v>1231</v>
      </c>
      <c r="B347" s="5" t="s">
        <v>48</v>
      </c>
      <c r="C347" s="5" t="s">
        <v>38</v>
      </c>
      <c r="D347" s="5" t="s">
        <v>18</v>
      </c>
      <c r="E347" s="5" t="s">
        <v>19</v>
      </c>
      <c r="F347" s="5">
        <v>13</v>
      </c>
      <c r="G347" s="5">
        <v>10297</v>
      </c>
      <c r="H347" s="5">
        <v>12</v>
      </c>
      <c r="I347" s="6">
        <v>46178</v>
      </c>
      <c r="J347" s="6">
        <v>46186</v>
      </c>
      <c r="K347" s="10" t="s">
        <v>20</v>
      </c>
      <c r="L347" s="16">
        <f t="shared" si="5"/>
        <v>8</v>
      </c>
    </row>
    <row r="348" spans="1:12" ht="15" thickBot="1" x14ac:dyDescent="0.4">
      <c r="A348" s="5">
        <v>1118</v>
      </c>
      <c r="B348" s="5" t="s">
        <v>21</v>
      </c>
      <c r="C348" s="5" t="s">
        <v>22</v>
      </c>
      <c r="D348" s="5" t="s">
        <v>18</v>
      </c>
      <c r="E348" s="5" t="s">
        <v>23</v>
      </c>
      <c r="F348" s="5">
        <v>18</v>
      </c>
      <c r="G348" s="5">
        <v>9118</v>
      </c>
      <c r="H348" s="5">
        <v>5</v>
      </c>
      <c r="I348" s="6">
        <v>46178</v>
      </c>
      <c r="J348" s="6">
        <v>46187</v>
      </c>
      <c r="K348" s="10" t="s">
        <v>29</v>
      </c>
      <c r="L348" s="16">
        <f t="shared" si="5"/>
        <v>9</v>
      </c>
    </row>
    <row r="349" spans="1:12" ht="15" thickBot="1" x14ac:dyDescent="0.4">
      <c r="A349" s="5">
        <v>1154</v>
      </c>
      <c r="B349" s="5" t="s">
        <v>32</v>
      </c>
      <c r="C349" s="5" t="s">
        <v>17</v>
      </c>
      <c r="D349" s="5" t="s">
        <v>18</v>
      </c>
      <c r="E349" s="5" t="s">
        <v>56</v>
      </c>
      <c r="F349" s="5">
        <v>15</v>
      </c>
      <c r="G349" s="5">
        <v>6101</v>
      </c>
      <c r="H349" s="5">
        <v>0</v>
      </c>
      <c r="I349" s="6">
        <v>46178</v>
      </c>
      <c r="J349" s="6">
        <v>46183</v>
      </c>
      <c r="K349" s="10" t="s">
        <v>51</v>
      </c>
      <c r="L349" s="16">
        <f t="shared" si="5"/>
        <v>5</v>
      </c>
    </row>
    <row r="350" spans="1:12" ht="15" thickBot="1" x14ac:dyDescent="0.4">
      <c r="A350" s="5">
        <v>1199</v>
      </c>
      <c r="B350" s="5" t="s">
        <v>11</v>
      </c>
      <c r="C350" s="5" t="s">
        <v>25</v>
      </c>
      <c r="D350" s="5" t="s">
        <v>34</v>
      </c>
      <c r="E350" s="5" t="s">
        <v>45</v>
      </c>
      <c r="F350" s="5">
        <v>2</v>
      </c>
      <c r="G350" s="5">
        <v>4375</v>
      </c>
      <c r="H350" s="5">
        <v>7</v>
      </c>
      <c r="I350" s="6">
        <v>46178</v>
      </c>
      <c r="J350" s="6">
        <v>46180</v>
      </c>
      <c r="K350" s="10" t="s">
        <v>24</v>
      </c>
      <c r="L350" s="16">
        <f t="shared" si="5"/>
        <v>2</v>
      </c>
    </row>
    <row r="351" spans="1:12" ht="15" thickBot="1" x14ac:dyDescent="0.4">
      <c r="A351" s="5">
        <v>1376</v>
      </c>
      <c r="B351" s="5" t="s">
        <v>52</v>
      </c>
      <c r="C351" s="5" t="s">
        <v>31</v>
      </c>
      <c r="D351" s="5" t="s">
        <v>13</v>
      </c>
      <c r="E351" s="5" t="s">
        <v>50</v>
      </c>
      <c r="F351" s="5">
        <v>20</v>
      </c>
      <c r="G351" s="5">
        <v>429</v>
      </c>
      <c r="H351" s="5">
        <v>5</v>
      </c>
      <c r="I351" s="6">
        <v>46178</v>
      </c>
      <c r="J351" s="6">
        <v>46184</v>
      </c>
      <c r="K351" s="10" t="s">
        <v>20</v>
      </c>
      <c r="L351" s="16">
        <f t="shared" si="5"/>
        <v>6</v>
      </c>
    </row>
    <row r="352" spans="1:12" ht="15" thickBot="1" x14ac:dyDescent="0.4">
      <c r="A352" s="5">
        <v>1274</v>
      </c>
      <c r="B352" s="5" t="s">
        <v>26</v>
      </c>
      <c r="C352" s="5" t="s">
        <v>25</v>
      </c>
      <c r="D352" s="5" t="s">
        <v>34</v>
      </c>
      <c r="E352" s="5" t="s">
        <v>41</v>
      </c>
      <c r="F352" s="5">
        <v>13</v>
      </c>
      <c r="G352" s="5">
        <v>36652</v>
      </c>
      <c r="H352" s="5">
        <v>12</v>
      </c>
      <c r="I352" s="6">
        <v>46179</v>
      </c>
      <c r="J352" s="6">
        <v>46186</v>
      </c>
      <c r="K352" s="10" t="s">
        <v>20</v>
      </c>
      <c r="L352" s="16">
        <f t="shared" si="5"/>
        <v>7</v>
      </c>
    </row>
    <row r="353" spans="1:12" ht="15" thickBot="1" x14ac:dyDescent="0.4">
      <c r="A353" s="5">
        <v>1288</v>
      </c>
      <c r="B353" s="5" t="s">
        <v>54</v>
      </c>
      <c r="C353" s="5" t="s">
        <v>22</v>
      </c>
      <c r="D353" s="5" t="s">
        <v>34</v>
      </c>
      <c r="E353" s="5" t="s">
        <v>60</v>
      </c>
      <c r="F353" s="5">
        <v>14</v>
      </c>
      <c r="G353" s="5">
        <v>35601</v>
      </c>
      <c r="H353" s="5">
        <v>10</v>
      </c>
      <c r="I353" s="6">
        <v>46179</v>
      </c>
      <c r="J353" s="6">
        <v>46187</v>
      </c>
      <c r="K353" s="10" t="s">
        <v>29</v>
      </c>
      <c r="L353" s="16">
        <f t="shared" si="5"/>
        <v>8</v>
      </c>
    </row>
    <row r="354" spans="1:12" ht="15" thickBot="1" x14ac:dyDescent="0.4">
      <c r="A354" s="5">
        <v>1278</v>
      </c>
      <c r="B354" s="5" t="s">
        <v>47</v>
      </c>
      <c r="C354" s="5" t="s">
        <v>22</v>
      </c>
      <c r="D354" s="5" t="s">
        <v>34</v>
      </c>
      <c r="E354" s="5" t="s">
        <v>61</v>
      </c>
      <c r="F354" s="5">
        <v>4</v>
      </c>
      <c r="G354" s="5">
        <v>20639</v>
      </c>
      <c r="H354" s="5">
        <v>7</v>
      </c>
      <c r="I354" s="6">
        <v>46180</v>
      </c>
      <c r="J354" s="6">
        <v>46186</v>
      </c>
      <c r="K354" s="10" t="s">
        <v>20</v>
      </c>
      <c r="L354" s="16">
        <f t="shared" si="5"/>
        <v>6</v>
      </c>
    </row>
    <row r="355" spans="1:12" ht="15" thickBot="1" x14ac:dyDescent="0.4">
      <c r="A355" s="5">
        <v>1048</v>
      </c>
      <c r="B355" s="5" t="s">
        <v>59</v>
      </c>
      <c r="C355" s="5" t="s">
        <v>25</v>
      </c>
      <c r="D355" s="5" t="s">
        <v>34</v>
      </c>
      <c r="E355" s="5" t="s">
        <v>60</v>
      </c>
      <c r="F355" s="5">
        <v>14</v>
      </c>
      <c r="G355" s="5">
        <v>11762</v>
      </c>
      <c r="H355" s="5">
        <v>7</v>
      </c>
      <c r="I355" s="6">
        <v>46180</v>
      </c>
      <c r="J355" s="6">
        <v>46186</v>
      </c>
      <c r="K355" s="10" t="s">
        <v>24</v>
      </c>
      <c r="L355" s="16">
        <f t="shared" si="5"/>
        <v>6</v>
      </c>
    </row>
    <row r="356" spans="1:12" ht="15" thickBot="1" x14ac:dyDescent="0.4">
      <c r="A356" s="5">
        <v>1294</v>
      </c>
      <c r="B356" s="5" t="s">
        <v>21</v>
      </c>
      <c r="C356" s="5" t="s">
        <v>12</v>
      </c>
      <c r="D356" s="5" t="s">
        <v>18</v>
      </c>
      <c r="E356" s="5" t="s">
        <v>19</v>
      </c>
      <c r="F356" s="5">
        <v>8</v>
      </c>
      <c r="G356" s="5">
        <v>14448</v>
      </c>
      <c r="H356" s="5">
        <v>10</v>
      </c>
      <c r="I356" s="6">
        <v>46181</v>
      </c>
      <c r="J356" s="6">
        <v>46189</v>
      </c>
      <c r="K356" s="10" t="s">
        <v>15</v>
      </c>
      <c r="L356" s="16">
        <f t="shared" si="5"/>
        <v>8</v>
      </c>
    </row>
    <row r="357" spans="1:12" ht="15" thickBot="1" x14ac:dyDescent="0.4">
      <c r="A357" s="5">
        <v>1310</v>
      </c>
      <c r="B357" s="5" t="s">
        <v>49</v>
      </c>
      <c r="C357" s="5" t="s">
        <v>17</v>
      </c>
      <c r="D357" s="5" t="s">
        <v>18</v>
      </c>
      <c r="E357" s="5" t="s">
        <v>56</v>
      </c>
      <c r="F357" s="5">
        <v>19</v>
      </c>
      <c r="G357" s="5">
        <v>12691</v>
      </c>
      <c r="H357" s="5">
        <v>0</v>
      </c>
      <c r="I357" s="6">
        <v>46181</v>
      </c>
      <c r="J357" s="6">
        <v>46189</v>
      </c>
      <c r="K357" s="10" t="s">
        <v>29</v>
      </c>
      <c r="L357" s="16">
        <f t="shared" si="5"/>
        <v>8</v>
      </c>
    </row>
    <row r="358" spans="1:12" ht="15" thickBot="1" x14ac:dyDescent="0.4">
      <c r="A358" s="5">
        <v>1124</v>
      </c>
      <c r="B358" s="5" t="s">
        <v>27</v>
      </c>
      <c r="C358" s="5" t="s">
        <v>38</v>
      </c>
      <c r="D358" s="5" t="s">
        <v>18</v>
      </c>
      <c r="E358" s="5" t="s">
        <v>56</v>
      </c>
      <c r="F358" s="5">
        <v>4</v>
      </c>
      <c r="G358" s="5">
        <v>14195</v>
      </c>
      <c r="H358" s="5">
        <v>15</v>
      </c>
      <c r="I358" s="6">
        <v>46182</v>
      </c>
      <c r="J358" s="6">
        <v>46189</v>
      </c>
      <c r="K358" s="10" t="s">
        <v>51</v>
      </c>
      <c r="L358" s="16">
        <f t="shared" si="5"/>
        <v>7</v>
      </c>
    </row>
    <row r="359" spans="1:12" ht="15" thickBot="1" x14ac:dyDescent="0.4">
      <c r="A359" s="5">
        <v>1009</v>
      </c>
      <c r="B359" s="5" t="s">
        <v>32</v>
      </c>
      <c r="C359" s="5" t="s">
        <v>33</v>
      </c>
      <c r="D359" s="5" t="s">
        <v>34</v>
      </c>
      <c r="E359" s="5" t="s">
        <v>35</v>
      </c>
      <c r="F359" s="5">
        <v>10</v>
      </c>
      <c r="G359" s="5">
        <v>40671</v>
      </c>
      <c r="H359" s="5">
        <v>12</v>
      </c>
      <c r="I359" s="6">
        <v>46183</v>
      </c>
      <c r="J359" s="6">
        <v>46193</v>
      </c>
      <c r="K359" s="10" t="s">
        <v>24</v>
      </c>
      <c r="L359" s="16">
        <f t="shared" si="5"/>
        <v>10</v>
      </c>
    </row>
    <row r="360" spans="1:12" ht="15" thickBot="1" x14ac:dyDescent="0.4">
      <c r="A360" s="5">
        <v>1003</v>
      </c>
      <c r="B360" s="5" t="s">
        <v>21</v>
      </c>
      <c r="C360" s="5" t="s">
        <v>22</v>
      </c>
      <c r="D360" s="5" t="s">
        <v>18</v>
      </c>
      <c r="E360" s="5" t="s">
        <v>23</v>
      </c>
      <c r="F360" s="5">
        <v>20</v>
      </c>
      <c r="G360" s="5">
        <v>2123</v>
      </c>
      <c r="H360" s="5">
        <v>15</v>
      </c>
      <c r="I360" s="6">
        <v>46183</v>
      </c>
      <c r="J360" s="6">
        <v>46192</v>
      </c>
      <c r="K360" s="10" t="s">
        <v>24</v>
      </c>
      <c r="L360" s="16">
        <f t="shared" si="5"/>
        <v>9</v>
      </c>
    </row>
    <row r="361" spans="1:12" ht="15" thickBot="1" x14ac:dyDescent="0.4">
      <c r="A361" s="5">
        <v>1320</v>
      </c>
      <c r="B361" s="5" t="s">
        <v>47</v>
      </c>
      <c r="C361" s="5" t="s">
        <v>38</v>
      </c>
      <c r="D361" s="5" t="s">
        <v>13</v>
      </c>
      <c r="E361" s="5" t="s">
        <v>36</v>
      </c>
      <c r="F361" s="5">
        <v>20</v>
      </c>
      <c r="G361" s="5">
        <v>55</v>
      </c>
      <c r="H361" s="5">
        <v>7</v>
      </c>
      <c r="I361" s="6">
        <v>46183</v>
      </c>
      <c r="J361" s="6">
        <v>46186</v>
      </c>
      <c r="K361" s="10" t="s">
        <v>20</v>
      </c>
      <c r="L361" s="16">
        <f t="shared" si="5"/>
        <v>3</v>
      </c>
    </row>
    <row r="362" spans="1:12" ht="15" thickBot="1" x14ac:dyDescent="0.4">
      <c r="A362" s="5">
        <v>1159</v>
      </c>
      <c r="B362" s="5" t="s">
        <v>32</v>
      </c>
      <c r="C362" s="5" t="s">
        <v>43</v>
      </c>
      <c r="D362" s="5" t="s">
        <v>18</v>
      </c>
      <c r="E362" s="5" t="s">
        <v>28</v>
      </c>
      <c r="F362" s="5">
        <v>20</v>
      </c>
      <c r="G362" s="5">
        <v>14000</v>
      </c>
      <c r="H362" s="5">
        <v>15</v>
      </c>
      <c r="I362" s="6">
        <v>46184</v>
      </c>
      <c r="J362" s="6">
        <v>46187</v>
      </c>
      <c r="K362" s="10" t="s">
        <v>15</v>
      </c>
      <c r="L362" s="16">
        <f t="shared" si="5"/>
        <v>3</v>
      </c>
    </row>
    <row r="363" spans="1:12" ht="15" thickBot="1" x14ac:dyDescent="0.4">
      <c r="A363" s="5">
        <v>1189</v>
      </c>
      <c r="B363" s="5" t="s">
        <v>49</v>
      </c>
      <c r="C363" s="5" t="s">
        <v>31</v>
      </c>
      <c r="D363" s="5" t="s">
        <v>18</v>
      </c>
      <c r="E363" s="5" t="s">
        <v>56</v>
      </c>
      <c r="F363" s="5">
        <v>12</v>
      </c>
      <c r="G363" s="5">
        <v>8327</v>
      </c>
      <c r="H363" s="5">
        <v>10</v>
      </c>
      <c r="I363" s="6">
        <v>46184</v>
      </c>
      <c r="J363" s="6">
        <v>46185</v>
      </c>
      <c r="K363" s="10" t="s">
        <v>29</v>
      </c>
      <c r="L363" s="16">
        <f t="shared" si="5"/>
        <v>1</v>
      </c>
    </row>
    <row r="364" spans="1:12" ht="15" thickBot="1" x14ac:dyDescent="0.4">
      <c r="A364" s="5">
        <v>1119</v>
      </c>
      <c r="B364" s="5" t="s">
        <v>30</v>
      </c>
      <c r="C364" s="5" t="s">
        <v>43</v>
      </c>
      <c r="D364" s="5" t="s">
        <v>18</v>
      </c>
      <c r="E364" s="5" t="s">
        <v>28</v>
      </c>
      <c r="F364" s="5">
        <v>2</v>
      </c>
      <c r="G364" s="5">
        <v>3706</v>
      </c>
      <c r="H364" s="5">
        <v>5</v>
      </c>
      <c r="I364" s="6">
        <v>46184</v>
      </c>
      <c r="J364" s="6">
        <v>46192</v>
      </c>
      <c r="K364" s="10" t="s">
        <v>51</v>
      </c>
      <c r="L364" s="16">
        <f t="shared" si="5"/>
        <v>8</v>
      </c>
    </row>
    <row r="365" spans="1:12" ht="15" thickBot="1" x14ac:dyDescent="0.4">
      <c r="A365" s="5">
        <v>1370</v>
      </c>
      <c r="B365" s="5" t="s">
        <v>59</v>
      </c>
      <c r="C365" s="5" t="s">
        <v>38</v>
      </c>
      <c r="D365" s="5" t="s">
        <v>13</v>
      </c>
      <c r="E365" s="5" t="s">
        <v>53</v>
      </c>
      <c r="F365" s="5">
        <v>13</v>
      </c>
      <c r="G365" s="5">
        <v>337</v>
      </c>
      <c r="H365" s="5">
        <v>7</v>
      </c>
      <c r="I365" s="6">
        <v>46184</v>
      </c>
      <c r="J365" s="6">
        <v>46188</v>
      </c>
      <c r="K365" s="10" t="s">
        <v>15</v>
      </c>
      <c r="L365" s="16">
        <f t="shared" si="5"/>
        <v>4</v>
      </c>
    </row>
    <row r="366" spans="1:12" ht="15" thickBot="1" x14ac:dyDescent="0.4">
      <c r="A366" s="5">
        <v>1137</v>
      </c>
      <c r="B366" s="5" t="s">
        <v>52</v>
      </c>
      <c r="C366" s="5" t="s">
        <v>12</v>
      </c>
      <c r="D366" s="5" t="s">
        <v>13</v>
      </c>
      <c r="E366" s="5" t="s">
        <v>37</v>
      </c>
      <c r="F366" s="5">
        <v>16</v>
      </c>
      <c r="G366" s="5">
        <v>270</v>
      </c>
      <c r="H366" s="5">
        <v>10</v>
      </c>
      <c r="I366" s="6">
        <v>46184</v>
      </c>
      <c r="J366" s="6">
        <v>46190</v>
      </c>
      <c r="K366" s="10" t="s">
        <v>29</v>
      </c>
      <c r="L366" s="16">
        <f t="shared" si="5"/>
        <v>6</v>
      </c>
    </row>
    <row r="367" spans="1:12" ht="15" thickBot="1" x14ac:dyDescent="0.4">
      <c r="A367" s="5">
        <v>1075</v>
      </c>
      <c r="B367" s="5" t="s">
        <v>42</v>
      </c>
      <c r="C367" s="5" t="s">
        <v>43</v>
      </c>
      <c r="D367" s="5" t="s">
        <v>34</v>
      </c>
      <c r="E367" s="5" t="s">
        <v>61</v>
      </c>
      <c r="F367" s="5">
        <v>4</v>
      </c>
      <c r="G367" s="5">
        <v>64773</v>
      </c>
      <c r="H367" s="5">
        <v>10</v>
      </c>
      <c r="I367" s="6">
        <v>46185</v>
      </c>
      <c r="J367" s="6">
        <v>46186</v>
      </c>
      <c r="K367" s="10" t="s">
        <v>51</v>
      </c>
      <c r="L367" s="16">
        <f t="shared" si="5"/>
        <v>1</v>
      </c>
    </row>
    <row r="368" spans="1:12" ht="15" thickBot="1" x14ac:dyDescent="0.4">
      <c r="A368" s="5">
        <v>1350</v>
      </c>
      <c r="B368" s="5" t="s">
        <v>26</v>
      </c>
      <c r="C368" s="5" t="s">
        <v>43</v>
      </c>
      <c r="D368" s="5" t="s">
        <v>18</v>
      </c>
      <c r="E368" s="5" t="s">
        <v>28</v>
      </c>
      <c r="F368" s="5">
        <v>16</v>
      </c>
      <c r="G368" s="5">
        <v>11790</v>
      </c>
      <c r="H368" s="5">
        <v>12</v>
      </c>
      <c r="I368" s="6">
        <v>46185</v>
      </c>
      <c r="J368" s="6">
        <v>46190</v>
      </c>
      <c r="K368" s="10" t="s">
        <v>29</v>
      </c>
      <c r="L368" s="16">
        <f t="shared" si="5"/>
        <v>5</v>
      </c>
    </row>
    <row r="369" spans="1:12" ht="15" thickBot="1" x14ac:dyDescent="0.4">
      <c r="A369" s="5">
        <v>1083</v>
      </c>
      <c r="B369" s="5" t="s">
        <v>55</v>
      </c>
      <c r="C369" s="5" t="s">
        <v>33</v>
      </c>
      <c r="D369" s="5" t="s">
        <v>13</v>
      </c>
      <c r="E369" s="5" t="s">
        <v>53</v>
      </c>
      <c r="F369" s="5">
        <v>4</v>
      </c>
      <c r="G369" s="5">
        <v>397</v>
      </c>
      <c r="H369" s="5">
        <v>7</v>
      </c>
      <c r="I369" s="6">
        <v>46185</v>
      </c>
      <c r="J369" s="6">
        <v>46193</v>
      </c>
      <c r="K369" s="10" t="s">
        <v>15</v>
      </c>
      <c r="L369" s="16">
        <f t="shared" si="5"/>
        <v>8</v>
      </c>
    </row>
    <row r="370" spans="1:12" ht="15" thickBot="1" x14ac:dyDescent="0.4">
      <c r="A370" s="5">
        <v>1064</v>
      </c>
      <c r="B370" s="5" t="s">
        <v>26</v>
      </c>
      <c r="C370" s="5" t="s">
        <v>17</v>
      </c>
      <c r="D370" s="5" t="s">
        <v>13</v>
      </c>
      <c r="E370" s="5" t="s">
        <v>50</v>
      </c>
      <c r="F370" s="5">
        <v>20</v>
      </c>
      <c r="G370" s="5">
        <v>191</v>
      </c>
      <c r="H370" s="5">
        <v>7</v>
      </c>
      <c r="I370" s="6">
        <v>46185</v>
      </c>
      <c r="J370" s="6">
        <v>46195</v>
      </c>
      <c r="K370" s="10" t="s">
        <v>29</v>
      </c>
      <c r="L370" s="16">
        <f t="shared" si="5"/>
        <v>10</v>
      </c>
    </row>
    <row r="371" spans="1:12" ht="15" thickBot="1" x14ac:dyDescent="0.4">
      <c r="A371" s="5">
        <v>1041</v>
      </c>
      <c r="B371" s="5" t="s">
        <v>54</v>
      </c>
      <c r="C371" s="5" t="s">
        <v>38</v>
      </c>
      <c r="D371" s="5" t="s">
        <v>13</v>
      </c>
      <c r="E371" s="5" t="s">
        <v>50</v>
      </c>
      <c r="F371" s="5">
        <v>9</v>
      </c>
      <c r="G371" s="5">
        <v>71</v>
      </c>
      <c r="H371" s="5">
        <v>7</v>
      </c>
      <c r="I371" s="6">
        <v>46185</v>
      </c>
      <c r="J371" s="6">
        <v>46188</v>
      </c>
      <c r="K371" s="10" t="s">
        <v>15</v>
      </c>
      <c r="L371" s="16">
        <f t="shared" si="5"/>
        <v>3</v>
      </c>
    </row>
    <row r="372" spans="1:12" ht="15" thickBot="1" x14ac:dyDescent="0.4">
      <c r="A372" s="5">
        <v>1315</v>
      </c>
      <c r="B372" s="5" t="s">
        <v>49</v>
      </c>
      <c r="C372" s="5" t="s">
        <v>31</v>
      </c>
      <c r="D372" s="5" t="s">
        <v>34</v>
      </c>
      <c r="E372" s="5" t="s">
        <v>41</v>
      </c>
      <c r="F372" s="5">
        <v>14</v>
      </c>
      <c r="G372" s="5">
        <v>57670</v>
      </c>
      <c r="H372" s="5">
        <v>2</v>
      </c>
      <c r="I372" s="6">
        <v>46186</v>
      </c>
      <c r="J372" s="6">
        <v>46196</v>
      </c>
      <c r="K372" s="10" t="s">
        <v>15</v>
      </c>
      <c r="L372" s="16">
        <f t="shared" si="5"/>
        <v>10</v>
      </c>
    </row>
    <row r="373" spans="1:12" ht="15" thickBot="1" x14ac:dyDescent="0.4">
      <c r="A373" s="5">
        <v>1292</v>
      </c>
      <c r="B373" s="5" t="s">
        <v>54</v>
      </c>
      <c r="C373" s="5" t="s">
        <v>33</v>
      </c>
      <c r="D373" s="5" t="s">
        <v>34</v>
      </c>
      <c r="E373" s="5" t="s">
        <v>61</v>
      </c>
      <c r="F373" s="5">
        <v>11</v>
      </c>
      <c r="G373" s="5">
        <v>25158</v>
      </c>
      <c r="H373" s="5">
        <v>5</v>
      </c>
      <c r="I373" s="6">
        <v>46186</v>
      </c>
      <c r="J373" s="6">
        <v>46193</v>
      </c>
      <c r="K373" s="10" t="s">
        <v>20</v>
      </c>
      <c r="L373" s="16">
        <f t="shared" si="5"/>
        <v>7</v>
      </c>
    </row>
    <row r="374" spans="1:12" ht="15" thickBot="1" x14ac:dyDescent="0.4">
      <c r="A374" s="5">
        <v>1186</v>
      </c>
      <c r="B374" s="5" t="s">
        <v>16</v>
      </c>
      <c r="C374" s="5" t="s">
        <v>25</v>
      </c>
      <c r="D374" s="5" t="s">
        <v>18</v>
      </c>
      <c r="E374" s="5" t="s">
        <v>44</v>
      </c>
      <c r="F374" s="5">
        <v>10</v>
      </c>
      <c r="G374" s="5">
        <v>14951</v>
      </c>
      <c r="H374" s="5">
        <v>2</v>
      </c>
      <c r="I374" s="6">
        <v>46188</v>
      </c>
      <c r="J374" s="6">
        <v>46196</v>
      </c>
      <c r="K374" s="10" t="s">
        <v>24</v>
      </c>
      <c r="L374" s="16">
        <f t="shared" si="5"/>
        <v>8</v>
      </c>
    </row>
    <row r="375" spans="1:12" ht="15" thickBot="1" x14ac:dyDescent="0.4">
      <c r="A375" s="5">
        <v>1146</v>
      </c>
      <c r="B375" s="5" t="s">
        <v>16</v>
      </c>
      <c r="C375" s="5" t="s">
        <v>43</v>
      </c>
      <c r="D375" s="5" t="s">
        <v>34</v>
      </c>
      <c r="E375" s="5" t="s">
        <v>45</v>
      </c>
      <c r="F375" s="5">
        <v>7</v>
      </c>
      <c r="G375" s="5">
        <v>68217</v>
      </c>
      <c r="H375" s="5">
        <v>0</v>
      </c>
      <c r="I375" s="6">
        <v>46190</v>
      </c>
      <c r="J375" s="6">
        <v>46197</v>
      </c>
      <c r="K375" s="10" t="s">
        <v>29</v>
      </c>
      <c r="L375" s="16">
        <f t="shared" si="5"/>
        <v>7</v>
      </c>
    </row>
    <row r="376" spans="1:12" ht="15" thickBot="1" x14ac:dyDescent="0.4">
      <c r="A376" s="5">
        <v>1331</v>
      </c>
      <c r="B376" s="5" t="s">
        <v>21</v>
      </c>
      <c r="C376" s="5" t="s">
        <v>25</v>
      </c>
      <c r="D376" s="5" t="s">
        <v>34</v>
      </c>
      <c r="E376" s="5" t="s">
        <v>61</v>
      </c>
      <c r="F376" s="5">
        <v>2</v>
      </c>
      <c r="G376" s="5">
        <v>43557</v>
      </c>
      <c r="H376" s="5">
        <v>2</v>
      </c>
      <c r="I376" s="6">
        <v>46190</v>
      </c>
      <c r="J376" s="6">
        <v>46200</v>
      </c>
      <c r="K376" s="10" t="s">
        <v>15</v>
      </c>
      <c r="L376" s="16">
        <f t="shared" si="5"/>
        <v>10</v>
      </c>
    </row>
    <row r="377" spans="1:12" ht="15" thickBot="1" x14ac:dyDescent="0.4">
      <c r="A377" s="5">
        <v>1062</v>
      </c>
      <c r="B377" s="5" t="s">
        <v>40</v>
      </c>
      <c r="C377" s="5" t="s">
        <v>43</v>
      </c>
      <c r="D377" s="5" t="s">
        <v>18</v>
      </c>
      <c r="E377" s="5" t="s">
        <v>23</v>
      </c>
      <c r="F377" s="5">
        <v>8</v>
      </c>
      <c r="G377" s="5">
        <v>8360</v>
      </c>
      <c r="H377" s="5">
        <v>2</v>
      </c>
      <c r="I377" s="6">
        <v>46190</v>
      </c>
      <c r="J377" s="6">
        <v>46200</v>
      </c>
      <c r="K377" s="10" t="s">
        <v>51</v>
      </c>
      <c r="L377" s="16">
        <f t="shared" si="5"/>
        <v>10</v>
      </c>
    </row>
    <row r="378" spans="1:12" ht="15" thickBot="1" x14ac:dyDescent="0.4">
      <c r="A378" s="5">
        <v>1373</v>
      </c>
      <c r="B378" s="5" t="s">
        <v>54</v>
      </c>
      <c r="C378" s="5" t="s">
        <v>25</v>
      </c>
      <c r="D378" s="5" t="s">
        <v>34</v>
      </c>
      <c r="E378" s="5" t="s">
        <v>60</v>
      </c>
      <c r="F378" s="5">
        <v>11</v>
      </c>
      <c r="G378" s="5">
        <v>47930</v>
      </c>
      <c r="H378" s="5">
        <v>12</v>
      </c>
      <c r="I378" s="6">
        <v>46191</v>
      </c>
      <c r="J378" s="6">
        <v>46201</v>
      </c>
      <c r="K378" s="10" t="s">
        <v>20</v>
      </c>
      <c r="L378" s="16">
        <f t="shared" si="5"/>
        <v>10</v>
      </c>
    </row>
    <row r="379" spans="1:12" ht="15" thickBot="1" x14ac:dyDescent="0.4">
      <c r="A379" s="5">
        <v>1306</v>
      </c>
      <c r="B379" s="5" t="s">
        <v>54</v>
      </c>
      <c r="C379" s="5" t="s">
        <v>43</v>
      </c>
      <c r="D379" s="5" t="s">
        <v>13</v>
      </c>
      <c r="E379" s="5" t="s">
        <v>36</v>
      </c>
      <c r="F379" s="5">
        <v>1</v>
      </c>
      <c r="G379" s="5">
        <v>332</v>
      </c>
      <c r="H379" s="5">
        <v>0</v>
      </c>
      <c r="I379" s="6">
        <v>46191</v>
      </c>
      <c r="J379" s="6">
        <v>46194</v>
      </c>
      <c r="K379" s="10" t="s">
        <v>20</v>
      </c>
      <c r="L379" s="16">
        <f t="shared" si="5"/>
        <v>3</v>
      </c>
    </row>
    <row r="380" spans="1:12" ht="15" thickBot="1" x14ac:dyDescent="0.4">
      <c r="A380" s="5">
        <v>1242</v>
      </c>
      <c r="B380" s="5" t="s">
        <v>54</v>
      </c>
      <c r="C380" s="5" t="s">
        <v>38</v>
      </c>
      <c r="D380" s="5" t="s">
        <v>13</v>
      </c>
      <c r="E380" s="5" t="s">
        <v>50</v>
      </c>
      <c r="F380" s="5">
        <v>7</v>
      </c>
      <c r="G380" s="5">
        <v>168</v>
      </c>
      <c r="H380" s="5">
        <v>10</v>
      </c>
      <c r="I380" s="6">
        <v>46191</v>
      </c>
      <c r="J380" s="6">
        <v>46196</v>
      </c>
      <c r="K380" s="10" t="s">
        <v>51</v>
      </c>
      <c r="L380" s="16">
        <f t="shared" si="5"/>
        <v>5</v>
      </c>
    </row>
    <row r="381" spans="1:12" ht="15" thickBot="1" x14ac:dyDescent="0.4">
      <c r="A381" s="5">
        <v>1065</v>
      </c>
      <c r="B381" s="5" t="s">
        <v>42</v>
      </c>
      <c r="C381" s="5" t="s">
        <v>43</v>
      </c>
      <c r="D381" s="5" t="s">
        <v>18</v>
      </c>
      <c r="E381" s="5" t="s">
        <v>44</v>
      </c>
      <c r="F381" s="5">
        <v>1</v>
      </c>
      <c r="G381" s="5">
        <v>7730</v>
      </c>
      <c r="H381" s="5">
        <v>5</v>
      </c>
      <c r="I381" s="6">
        <v>46192</v>
      </c>
      <c r="J381" s="6">
        <v>46195</v>
      </c>
      <c r="K381" s="10" t="s">
        <v>51</v>
      </c>
      <c r="L381" s="16">
        <f t="shared" si="5"/>
        <v>3</v>
      </c>
    </row>
    <row r="382" spans="1:12" ht="15" thickBot="1" x14ac:dyDescent="0.4">
      <c r="A382" s="5">
        <v>1023</v>
      </c>
      <c r="B382" s="5" t="s">
        <v>40</v>
      </c>
      <c r="C382" s="5" t="s">
        <v>12</v>
      </c>
      <c r="D382" s="5" t="s">
        <v>18</v>
      </c>
      <c r="E382" s="5" t="s">
        <v>44</v>
      </c>
      <c r="F382" s="5">
        <v>15</v>
      </c>
      <c r="G382" s="5">
        <v>3506</v>
      </c>
      <c r="H382" s="5">
        <v>2</v>
      </c>
      <c r="I382" s="6">
        <v>46193</v>
      </c>
      <c r="J382" s="6">
        <v>46194</v>
      </c>
      <c r="K382" s="10" t="s">
        <v>29</v>
      </c>
      <c r="L382" s="16">
        <f t="shared" si="5"/>
        <v>1</v>
      </c>
    </row>
    <row r="383" spans="1:12" ht="15" thickBot="1" x14ac:dyDescent="0.4">
      <c r="A383" s="5">
        <v>1212</v>
      </c>
      <c r="B383" s="5" t="s">
        <v>59</v>
      </c>
      <c r="C383" s="5" t="s">
        <v>25</v>
      </c>
      <c r="D383" s="5" t="s">
        <v>34</v>
      </c>
      <c r="E383" s="5" t="s">
        <v>60</v>
      </c>
      <c r="F383" s="5">
        <v>10</v>
      </c>
      <c r="G383" s="5">
        <v>34380</v>
      </c>
      <c r="H383" s="5">
        <v>7</v>
      </c>
      <c r="I383" s="6">
        <v>46194</v>
      </c>
      <c r="J383" s="6">
        <v>46195</v>
      </c>
      <c r="K383" s="10" t="s">
        <v>29</v>
      </c>
      <c r="L383" s="16">
        <f t="shared" si="5"/>
        <v>1</v>
      </c>
    </row>
    <row r="384" spans="1:12" ht="15" thickBot="1" x14ac:dyDescent="0.4">
      <c r="A384" s="5">
        <v>1397</v>
      </c>
      <c r="B384" s="5" t="s">
        <v>21</v>
      </c>
      <c r="C384" s="5" t="s">
        <v>33</v>
      </c>
      <c r="D384" s="5" t="s">
        <v>18</v>
      </c>
      <c r="E384" s="5" t="s">
        <v>23</v>
      </c>
      <c r="F384" s="5">
        <v>1</v>
      </c>
      <c r="G384" s="5">
        <v>8948</v>
      </c>
      <c r="H384" s="5">
        <v>5</v>
      </c>
      <c r="I384" s="6">
        <v>46194</v>
      </c>
      <c r="J384" s="6">
        <v>46201</v>
      </c>
      <c r="K384" s="10" t="s">
        <v>51</v>
      </c>
      <c r="L384" s="16">
        <f t="shared" si="5"/>
        <v>7</v>
      </c>
    </row>
    <row r="385" spans="1:12" ht="15" thickBot="1" x14ac:dyDescent="0.4">
      <c r="A385" s="5">
        <v>1353</v>
      </c>
      <c r="B385" s="5" t="s">
        <v>47</v>
      </c>
      <c r="C385" s="5" t="s">
        <v>43</v>
      </c>
      <c r="D385" s="5" t="s">
        <v>13</v>
      </c>
      <c r="E385" s="5" t="s">
        <v>14</v>
      </c>
      <c r="F385" s="5">
        <v>6</v>
      </c>
      <c r="G385" s="5">
        <v>495</v>
      </c>
      <c r="H385" s="5">
        <v>2</v>
      </c>
      <c r="I385" s="6">
        <v>46194</v>
      </c>
      <c r="J385" s="6">
        <v>46200</v>
      </c>
      <c r="K385" s="10" t="s">
        <v>24</v>
      </c>
      <c r="L385" s="16">
        <f t="shared" si="5"/>
        <v>6</v>
      </c>
    </row>
    <row r="386" spans="1:12" ht="15" thickBot="1" x14ac:dyDescent="0.4">
      <c r="A386" s="5">
        <v>1164</v>
      </c>
      <c r="B386" s="5" t="s">
        <v>40</v>
      </c>
      <c r="C386" s="5" t="s">
        <v>43</v>
      </c>
      <c r="D386" s="5" t="s">
        <v>34</v>
      </c>
      <c r="E386" s="5" t="s">
        <v>61</v>
      </c>
      <c r="F386" s="5">
        <v>7</v>
      </c>
      <c r="G386" s="5">
        <v>24615</v>
      </c>
      <c r="H386" s="5">
        <v>12</v>
      </c>
      <c r="I386" s="6">
        <v>46196</v>
      </c>
      <c r="J386" s="6">
        <v>46203</v>
      </c>
      <c r="K386" s="10" t="s">
        <v>51</v>
      </c>
      <c r="L386" s="16">
        <f t="shared" si="5"/>
        <v>7</v>
      </c>
    </row>
    <row r="387" spans="1:12" ht="15" thickBot="1" x14ac:dyDescent="0.4">
      <c r="A387" s="5">
        <v>1068</v>
      </c>
      <c r="B387" s="5" t="s">
        <v>52</v>
      </c>
      <c r="C387" s="5" t="s">
        <v>43</v>
      </c>
      <c r="D387" s="5" t="s">
        <v>34</v>
      </c>
      <c r="E387" s="5" t="s">
        <v>60</v>
      </c>
      <c r="F387" s="5">
        <v>15</v>
      </c>
      <c r="G387" s="5">
        <v>14534</v>
      </c>
      <c r="H387" s="5">
        <v>5</v>
      </c>
      <c r="I387" s="6">
        <v>46196</v>
      </c>
      <c r="J387" s="6">
        <v>46199</v>
      </c>
      <c r="K387" s="10" t="s">
        <v>29</v>
      </c>
      <c r="L387" s="16">
        <f t="shared" ref="L387:L401" si="6">J387-I387</f>
        <v>3</v>
      </c>
    </row>
    <row r="388" spans="1:12" ht="15" thickBot="1" x14ac:dyDescent="0.4">
      <c r="A388" s="5">
        <v>1314</v>
      </c>
      <c r="B388" s="5" t="s">
        <v>52</v>
      </c>
      <c r="C388" s="5" t="s">
        <v>33</v>
      </c>
      <c r="D388" s="5" t="s">
        <v>18</v>
      </c>
      <c r="E388" s="5" t="s">
        <v>19</v>
      </c>
      <c r="F388" s="5">
        <v>10</v>
      </c>
      <c r="G388" s="5">
        <v>6328</v>
      </c>
      <c r="H388" s="5">
        <v>2</v>
      </c>
      <c r="I388" s="6">
        <v>46196</v>
      </c>
      <c r="J388" s="6">
        <v>46197</v>
      </c>
      <c r="K388" s="10" t="s">
        <v>29</v>
      </c>
      <c r="L388" s="16">
        <f t="shared" si="6"/>
        <v>1</v>
      </c>
    </row>
    <row r="389" spans="1:12" ht="15" thickBot="1" x14ac:dyDescent="0.4">
      <c r="A389" s="5">
        <v>1340</v>
      </c>
      <c r="B389" s="5" t="s">
        <v>48</v>
      </c>
      <c r="C389" s="5" t="s">
        <v>17</v>
      </c>
      <c r="D389" s="5" t="s">
        <v>18</v>
      </c>
      <c r="E389" s="5" t="s">
        <v>19</v>
      </c>
      <c r="F389" s="5">
        <v>12</v>
      </c>
      <c r="G389" s="5">
        <v>3857</v>
      </c>
      <c r="H389" s="5">
        <v>12</v>
      </c>
      <c r="I389" s="6">
        <v>46196</v>
      </c>
      <c r="J389" s="6">
        <v>46198</v>
      </c>
      <c r="K389" s="10" t="s">
        <v>51</v>
      </c>
      <c r="L389" s="16">
        <f t="shared" si="6"/>
        <v>2</v>
      </c>
    </row>
    <row r="390" spans="1:12" ht="15" thickBot="1" x14ac:dyDescent="0.4">
      <c r="A390" s="5">
        <v>1383</v>
      </c>
      <c r="B390" s="5" t="s">
        <v>32</v>
      </c>
      <c r="C390" s="5" t="s">
        <v>12</v>
      </c>
      <c r="D390" s="5" t="s">
        <v>13</v>
      </c>
      <c r="E390" s="5" t="s">
        <v>53</v>
      </c>
      <c r="F390" s="5">
        <v>14</v>
      </c>
      <c r="G390" s="5">
        <v>334</v>
      </c>
      <c r="H390" s="5">
        <v>10</v>
      </c>
      <c r="I390" s="6">
        <v>46196</v>
      </c>
      <c r="J390" s="6">
        <v>46203</v>
      </c>
      <c r="K390" s="10" t="s">
        <v>15</v>
      </c>
      <c r="L390" s="16">
        <f t="shared" si="6"/>
        <v>7</v>
      </c>
    </row>
    <row r="391" spans="1:12" ht="15" thickBot="1" x14ac:dyDescent="0.4">
      <c r="A391" s="5">
        <v>1309</v>
      </c>
      <c r="B391" s="5" t="s">
        <v>29</v>
      </c>
      <c r="C391" s="5" t="s">
        <v>31</v>
      </c>
      <c r="D391" s="5" t="s">
        <v>13</v>
      </c>
      <c r="E391" s="5" t="s">
        <v>50</v>
      </c>
      <c r="F391" s="5">
        <v>2</v>
      </c>
      <c r="G391" s="5">
        <v>35</v>
      </c>
      <c r="H391" s="5">
        <v>5</v>
      </c>
      <c r="I391" s="6">
        <v>46197</v>
      </c>
      <c r="J391" s="6">
        <v>46198</v>
      </c>
      <c r="K391" s="10" t="s">
        <v>24</v>
      </c>
      <c r="L391" s="16">
        <f t="shared" si="6"/>
        <v>1</v>
      </c>
    </row>
    <row r="392" spans="1:12" ht="15" thickBot="1" x14ac:dyDescent="0.4">
      <c r="A392" s="5">
        <v>1233</v>
      </c>
      <c r="B392" s="5" t="s">
        <v>58</v>
      </c>
      <c r="C392" s="5" t="s">
        <v>22</v>
      </c>
      <c r="D392" s="5" t="s">
        <v>18</v>
      </c>
      <c r="E392" s="5" t="s">
        <v>19</v>
      </c>
      <c r="F392" s="5">
        <v>20</v>
      </c>
      <c r="G392" s="5">
        <v>13941</v>
      </c>
      <c r="H392" s="5">
        <v>15</v>
      </c>
      <c r="I392" s="6">
        <v>46198</v>
      </c>
      <c r="J392" s="6">
        <v>46202</v>
      </c>
      <c r="K392" s="10" t="s">
        <v>24</v>
      </c>
      <c r="L392" s="16">
        <f t="shared" si="6"/>
        <v>4</v>
      </c>
    </row>
    <row r="393" spans="1:12" ht="15" thickBot="1" x14ac:dyDescent="0.4">
      <c r="A393" s="5">
        <v>1195</v>
      </c>
      <c r="B393" s="5" t="s">
        <v>59</v>
      </c>
      <c r="C393" s="5" t="s">
        <v>17</v>
      </c>
      <c r="D393" s="5" t="s">
        <v>13</v>
      </c>
      <c r="E393" s="5" t="s">
        <v>50</v>
      </c>
      <c r="F393" s="5">
        <v>19</v>
      </c>
      <c r="G393" s="5">
        <v>313</v>
      </c>
      <c r="H393" s="5">
        <v>2</v>
      </c>
      <c r="I393" s="6">
        <v>46198</v>
      </c>
      <c r="J393" s="6">
        <v>46206</v>
      </c>
      <c r="K393" s="10" t="s">
        <v>51</v>
      </c>
      <c r="L393" s="16">
        <f t="shared" si="6"/>
        <v>8</v>
      </c>
    </row>
    <row r="394" spans="1:12" ht="15" thickBot="1" x14ac:dyDescent="0.4">
      <c r="A394" s="5">
        <v>1268</v>
      </c>
      <c r="B394" s="5" t="s">
        <v>42</v>
      </c>
      <c r="C394" s="5" t="s">
        <v>38</v>
      </c>
      <c r="D394" s="5" t="s">
        <v>34</v>
      </c>
      <c r="E394" s="5" t="s">
        <v>45</v>
      </c>
      <c r="F394" s="5">
        <v>10</v>
      </c>
      <c r="G394" s="5">
        <v>46291</v>
      </c>
      <c r="H394" s="5">
        <v>12</v>
      </c>
      <c r="I394" s="6">
        <v>46199</v>
      </c>
      <c r="J394" s="6">
        <v>46202</v>
      </c>
      <c r="K394" s="10" t="s">
        <v>20</v>
      </c>
      <c r="L394" s="16">
        <f t="shared" si="6"/>
        <v>3</v>
      </c>
    </row>
    <row r="395" spans="1:12" ht="15" thickBot="1" x14ac:dyDescent="0.4">
      <c r="A395" s="5">
        <v>1047</v>
      </c>
      <c r="B395" s="5" t="s">
        <v>58</v>
      </c>
      <c r="C395" s="5" t="s">
        <v>38</v>
      </c>
      <c r="D395" s="5" t="s">
        <v>18</v>
      </c>
      <c r="E395" s="5" t="s">
        <v>56</v>
      </c>
      <c r="F395" s="5">
        <v>11</v>
      </c>
      <c r="G395" s="5">
        <v>9976</v>
      </c>
      <c r="H395" s="5">
        <v>12</v>
      </c>
      <c r="I395" s="6">
        <v>46200</v>
      </c>
      <c r="J395" s="6">
        <v>46209</v>
      </c>
      <c r="K395" s="10" t="s">
        <v>15</v>
      </c>
      <c r="L395" s="16">
        <f t="shared" si="6"/>
        <v>9</v>
      </c>
    </row>
    <row r="396" spans="1:12" ht="15" thickBot="1" x14ac:dyDescent="0.4">
      <c r="A396" s="5">
        <v>1054</v>
      </c>
      <c r="B396" s="5" t="s">
        <v>26</v>
      </c>
      <c r="C396" s="5" t="s">
        <v>25</v>
      </c>
      <c r="D396" s="5" t="s">
        <v>18</v>
      </c>
      <c r="E396" s="5" t="s">
        <v>23</v>
      </c>
      <c r="F396" s="5">
        <v>8</v>
      </c>
      <c r="G396" s="5">
        <v>9798</v>
      </c>
      <c r="H396" s="5">
        <v>12</v>
      </c>
      <c r="I396" s="6">
        <v>46200</v>
      </c>
      <c r="J396" s="6">
        <v>46201</v>
      </c>
      <c r="K396" s="10" t="s">
        <v>51</v>
      </c>
      <c r="L396" s="16">
        <f t="shared" si="6"/>
        <v>1</v>
      </c>
    </row>
    <row r="397" spans="1:12" ht="15" thickBot="1" x14ac:dyDescent="0.4">
      <c r="A397" s="5">
        <v>1264</v>
      </c>
      <c r="B397" s="5" t="s">
        <v>11</v>
      </c>
      <c r="C397" s="5" t="s">
        <v>22</v>
      </c>
      <c r="D397" s="5" t="s">
        <v>18</v>
      </c>
      <c r="E397" s="5" t="s">
        <v>28</v>
      </c>
      <c r="F397" s="5">
        <v>15</v>
      </c>
      <c r="G397" s="5">
        <v>6365</v>
      </c>
      <c r="H397" s="5">
        <v>10</v>
      </c>
      <c r="I397" s="6">
        <v>46200</v>
      </c>
      <c r="J397" s="6">
        <v>46206</v>
      </c>
      <c r="K397" s="10" t="s">
        <v>20</v>
      </c>
      <c r="L397" s="16">
        <f t="shared" si="6"/>
        <v>6</v>
      </c>
    </row>
    <row r="398" spans="1:12" ht="15" thickBot="1" x14ac:dyDescent="0.4">
      <c r="A398" s="5">
        <v>1244</v>
      </c>
      <c r="B398" s="5" t="s">
        <v>57</v>
      </c>
      <c r="C398" s="5" t="s">
        <v>38</v>
      </c>
      <c r="D398" s="5" t="s">
        <v>18</v>
      </c>
      <c r="E398" s="5" t="s">
        <v>28</v>
      </c>
      <c r="F398" s="5">
        <v>10</v>
      </c>
      <c r="G398" s="5">
        <v>6339</v>
      </c>
      <c r="H398" s="5">
        <v>12</v>
      </c>
      <c r="I398" s="6">
        <v>46200</v>
      </c>
      <c r="J398" s="6">
        <v>46205</v>
      </c>
      <c r="K398" s="10" t="s">
        <v>15</v>
      </c>
      <c r="L398" s="16">
        <f t="shared" si="6"/>
        <v>5</v>
      </c>
    </row>
    <row r="399" spans="1:12" ht="15" thickBot="1" x14ac:dyDescent="0.4">
      <c r="A399" s="5">
        <v>1356</v>
      </c>
      <c r="B399" s="5" t="s">
        <v>26</v>
      </c>
      <c r="C399" s="5" t="s">
        <v>38</v>
      </c>
      <c r="D399" s="5" t="s">
        <v>34</v>
      </c>
      <c r="E399" s="5" t="s">
        <v>60</v>
      </c>
      <c r="F399" s="5">
        <v>16</v>
      </c>
      <c r="G399" s="5">
        <v>53457</v>
      </c>
      <c r="H399" s="5">
        <v>10</v>
      </c>
      <c r="I399" s="6">
        <v>46201</v>
      </c>
      <c r="J399" s="6">
        <v>46204</v>
      </c>
      <c r="K399" s="10" t="s">
        <v>15</v>
      </c>
      <c r="L399" s="16">
        <f t="shared" si="6"/>
        <v>3</v>
      </c>
    </row>
    <row r="400" spans="1:12" ht="15" thickBot="1" x14ac:dyDescent="0.4">
      <c r="A400" s="5">
        <v>1126</v>
      </c>
      <c r="B400" s="5" t="s">
        <v>46</v>
      </c>
      <c r="C400" s="5" t="s">
        <v>22</v>
      </c>
      <c r="D400" s="5" t="s">
        <v>34</v>
      </c>
      <c r="E400" s="5" t="s">
        <v>39</v>
      </c>
      <c r="F400" s="5">
        <v>17</v>
      </c>
      <c r="G400" s="5">
        <v>19390</v>
      </c>
      <c r="H400" s="5">
        <v>12</v>
      </c>
      <c r="I400" s="6">
        <v>46201</v>
      </c>
      <c r="J400" s="6">
        <v>46206</v>
      </c>
      <c r="K400" s="10" t="s">
        <v>29</v>
      </c>
      <c r="L400" s="16">
        <f t="shared" si="6"/>
        <v>5</v>
      </c>
    </row>
    <row r="401" spans="1:12" ht="15" thickBot="1" x14ac:dyDescent="0.4">
      <c r="A401" s="5">
        <v>1219</v>
      </c>
      <c r="B401" s="5" t="s">
        <v>46</v>
      </c>
      <c r="C401" s="5" t="s">
        <v>22</v>
      </c>
      <c r="D401" s="5" t="s">
        <v>13</v>
      </c>
      <c r="E401" s="5" t="s">
        <v>14</v>
      </c>
      <c r="F401" s="5">
        <v>4</v>
      </c>
      <c r="G401" s="5">
        <v>117</v>
      </c>
      <c r="H401" s="5">
        <v>15</v>
      </c>
      <c r="I401" s="6">
        <v>46202</v>
      </c>
      <c r="J401" s="6">
        <v>46206</v>
      </c>
      <c r="K401" s="10" t="s">
        <v>29</v>
      </c>
      <c r="L401" s="16">
        <f t="shared" si="6"/>
        <v>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CF65B5-CD6B-442F-96C1-575D5D111D44}">
  <dimension ref="A1:L401"/>
  <sheetViews>
    <sheetView workbookViewId="0">
      <selection activeCell="L4" sqref="L4"/>
    </sheetView>
  </sheetViews>
  <sheetFormatPr defaultRowHeight="14.5" x14ac:dyDescent="0.35"/>
  <cols>
    <col min="1" max="1" width="8.54296875" bestFit="1" customWidth="1"/>
    <col min="2" max="2" width="9" bestFit="1" customWidth="1"/>
    <col min="3" max="3" width="11" bestFit="1" customWidth="1"/>
    <col min="4" max="4" width="9.7265625" bestFit="1" customWidth="1"/>
    <col min="5" max="5" width="9" bestFit="1" customWidth="1"/>
    <col min="6" max="6" width="8.1796875" bestFit="1" customWidth="1"/>
    <col min="7" max="7" width="9.453125" bestFit="1" customWidth="1"/>
    <col min="8" max="8" width="10.6328125" bestFit="1" customWidth="1"/>
    <col min="9" max="9" width="10.7265625" bestFit="1" customWidth="1"/>
    <col min="10" max="10" width="12.54296875" bestFit="1" customWidth="1"/>
    <col min="11" max="11" width="10.81640625" bestFit="1" customWidth="1"/>
    <col min="12" max="12" width="15.36328125" customWidth="1"/>
  </cols>
  <sheetData>
    <row r="1" spans="1:12" ht="15" thickBot="1" x14ac:dyDescent="0.4">
      <c r="A1" s="31" t="s">
        <v>0</v>
      </c>
      <c r="B1" s="31" t="s">
        <v>1</v>
      </c>
      <c r="C1" s="31" t="s">
        <v>2</v>
      </c>
      <c r="D1" s="31" t="s">
        <v>3</v>
      </c>
      <c r="E1" s="31" t="s">
        <v>4</v>
      </c>
      <c r="F1" s="31" t="s">
        <v>5</v>
      </c>
      <c r="G1" s="31" t="s">
        <v>6</v>
      </c>
      <c r="H1" s="31" t="s">
        <v>7</v>
      </c>
      <c r="I1" s="31" t="s">
        <v>8</v>
      </c>
      <c r="J1" s="31" t="s">
        <v>9</v>
      </c>
      <c r="K1" s="32" t="s">
        <v>10</v>
      </c>
      <c r="L1" s="34" t="s">
        <v>83</v>
      </c>
    </row>
    <row r="2" spans="1:12" ht="15" thickBot="1" x14ac:dyDescent="0.4">
      <c r="A2" s="5">
        <v>1019</v>
      </c>
      <c r="B2" s="5" t="s">
        <v>11</v>
      </c>
      <c r="C2" s="5" t="s">
        <v>43</v>
      </c>
      <c r="D2" s="5" t="s">
        <v>34</v>
      </c>
      <c r="E2" s="5" t="s">
        <v>41</v>
      </c>
      <c r="F2" s="5">
        <v>18</v>
      </c>
      <c r="G2" s="5">
        <v>45652</v>
      </c>
      <c r="H2" s="5">
        <v>10</v>
      </c>
      <c r="I2" s="6">
        <v>46023</v>
      </c>
      <c r="J2" s="6">
        <v>46030</v>
      </c>
      <c r="K2" s="10" t="s">
        <v>20</v>
      </c>
      <c r="L2" s="16">
        <f>(F2*G2)*H2/100</f>
        <v>82173.600000000006</v>
      </c>
    </row>
    <row r="3" spans="1:12" ht="15" thickBot="1" x14ac:dyDescent="0.4">
      <c r="A3" s="5">
        <v>1355</v>
      </c>
      <c r="B3" s="5" t="s">
        <v>27</v>
      </c>
      <c r="C3" s="5" t="s">
        <v>12</v>
      </c>
      <c r="D3" s="5" t="s">
        <v>34</v>
      </c>
      <c r="E3" s="5" t="s">
        <v>60</v>
      </c>
      <c r="F3" s="5">
        <v>18</v>
      </c>
      <c r="G3" s="5">
        <v>35997</v>
      </c>
      <c r="H3" s="5">
        <v>2</v>
      </c>
      <c r="I3" s="6">
        <v>46024</v>
      </c>
      <c r="J3" s="6">
        <v>46031</v>
      </c>
      <c r="K3" s="10" t="s">
        <v>51</v>
      </c>
      <c r="L3" s="16">
        <f t="shared" ref="L3:L66" si="0">(F3*G3)*H3/100</f>
        <v>12958.92</v>
      </c>
    </row>
    <row r="4" spans="1:12" ht="15" thickBot="1" x14ac:dyDescent="0.4">
      <c r="A4" s="5">
        <v>1060</v>
      </c>
      <c r="B4" s="5" t="s">
        <v>49</v>
      </c>
      <c r="C4" s="5" t="s">
        <v>12</v>
      </c>
      <c r="D4" s="5" t="s">
        <v>18</v>
      </c>
      <c r="E4" s="5" t="s">
        <v>44</v>
      </c>
      <c r="F4" s="5">
        <v>9</v>
      </c>
      <c r="G4" s="5">
        <v>9727</v>
      </c>
      <c r="H4" s="5">
        <v>2</v>
      </c>
      <c r="I4" s="6">
        <v>46024</v>
      </c>
      <c r="J4" s="6">
        <v>46030</v>
      </c>
      <c r="K4" s="10" t="s">
        <v>20</v>
      </c>
      <c r="L4" s="16">
        <f t="shared" si="0"/>
        <v>1750.86</v>
      </c>
    </row>
    <row r="5" spans="1:12" ht="15" thickBot="1" x14ac:dyDescent="0.4">
      <c r="A5" s="5">
        <v>1151</v>
      </c>
      <c r="B5" s="5" t="s">
        <v>46</v>
      </c>
      <c r="C5" s="5" t="s">
        <v>43</v>
      </c>
      <c r="D5" s="5" t="s">
        <v>13</v>
      </c>
      <c r="E5" s="5" t="s">
        <v>50</v>
      </c>
      <c r="F5" s="5">
        <v>20</v>
      </c>
      <c r="G5" s="5">
        <v>272</v>
      </c>
      <c r="H5" s="5">
        <v>15</v>
      </c>
      <c r="I5" s="6">
        <v>46024</v>
      </c>
      <c r="J5" s="6">
        <v>46029</v>
      </c>
      <c r="K5" s="10" t="s">
        <v>51</v>
      </c>
      <c r="L5" s="16">
        <f t="shared" si="0"/>
        <v>816</v>
      </c>
    </row>
    <row r="6" spans="1:12" ht="15" thickBot="1" x14ac:dyDescent="0.4">
      <c r="A6" s="5">
        <v>1132</v>
      </c>
      <c r="B6" s="5" t="s">
        <v>11</v>
      </c>
      <c r="C6" s="5" t="s">
        <v>31</v>
      </c>
      <c r="D6" s="5" t="s">
        <v>13</v>
      </c>
      <c r="E6" s="5" t="s">
        <v>50</v>
      </c>
      <c r="F6" s="5">
        <v>10</v>
      </c>
      <c r="G6" s="5">
        <v>270</v>
      </c>
      <c r="H6" s="5">
        <v>7</v>
      </c>
      <c r="I6" s="6">
        <v>46024</v>
      </c>
      <c r="J6" s="6">
        <v>46034</v>
      </c>
      <c r="K6" s="10" t="s">
        <v>24</v>
      </c>
      <c r="L6" s="16">
        <f t="shared" si="0"/>
        <v>189</v>
      </c>
    </row>
    <row r="7" spans="1:12" ht="15" thickBot="1" x14ac:dyDescent="0.4">
      <c r="A7" s="5">
        <v>1352</v>
      </c>
      <c r="B7" s="5" t="s">
        <v>54</v>
      </c>
      <c r="C7" s="5" t="s">
        <v>22</v>
      </c>
      <c r="D7" s="5" t="s">
        <v>13</v>
      </c>
      <c r="E7" s="5" t="s">
        <v>14</v>
      </c>
      <c r="F7" s="5">
        <v>12</v>
      </c>
      <c r="G7" s="5">
        <v>203</v>
      </c>
      <c r="H7" s="5">
        <v>5</v>
      </c>
      <c r="I7" s="6">
        <v>46024</v>
      </c>
      <c r="J7" s="6">
        <v>46033</v>
      </c>
      <c r="K7" s="10" t="s">
        <v>15</v>
      </c>
      <c r="L7" s="16">
        <f t="shared" si="0"/>
        <v>121.8</v>
      </c>
    </row>
    <row r="8" spans="1:12" ht="15" thickBot="1" x14ac:dyDescent="0.4">
      <c r="A8" s="5">
        <v>1156</v>
      </c>
      <c r="B8" s="5" t="s">
        <v>54</v>
      </c>
      <c r="C8" s="5" t="s">
        <v>38</v>
      </c>
      <c r="D8" s="5" t="s">
        <v>13</v>
      </c>
      <c r="E8" s="5" t="s">
        <v>36</v>
      </c>
      <c r="F8" s="5">
        <v>5</v>
      </c>
      <c r="G8" s="5">
        <v>466</v>
      </c>
      <c r="H8" s="5">
        <v>15</v>
      </c>
      <c r="I8" s="6">
        <v>46025</v>
      </c>
      <c r="J8" s="6">
        <v>46029</v>
      </c>
      <c r="K8" s="10" t="s">
        <v>15</v>
      </c>
      <c r="L8" s="16">
        <f t="shared" si="0"/>
        <v>349.5</v>
      </c>
    </row>
    <row r="9" spans="1:12" ht="15" thickBot="1" x14ac:dyDescent="0.4">
      <c r="A9" s="5">
        <v>1341</v>
      </c>
      <c r="B9" s="5" t="s">
        <v>57</v>
      </c>
      <c r="C9" s="5" t="s">
        <v>38</v>
      </c>
      <c r="D9" s="5" t="s">
        <v>18</v>
      </c>
      <c r="E9" s="5" t="s">
        <v>19</v>
      </c>
      <c r="F9" s="5">
        <v>19</v>
      </c>
      <c r="G9" s="5">
        <v>6488</v>
      </c>
      <c r="H9" s="5">
        <v>15</v>
      </c>
      <c r="I9" s="6">
        <v>46026</v>
      </c>
      <c r="J9" s="6">
        <v>46030</v>
      </c>
      <c r="K9" s="10" t="s">
        <v>20</v>
      </c>
      <c r="L9" s="16">
        <f t="shared" si="0"/>
        <v>18490.8</v>
      </c>
    </row>
    <row r="10" spans="1:12" ht="15" thickBot="1" x14ac:dyDescent="0.4">
      <c r="A10" s="5">
        <v>1351</v>
      </c>
      <c r="B10" s="5" t="s">
        <v>42</v>
      </c>
      <c r="C10" s="5" t="s">
        <v>33</v>
      </c>
      <c r="D10" s="5" t="s">
        <v>34</v>
      </c>
      <c r="E10" s="5" t="s">
        <v>45</v>
      </c>
      <c r="F10" s="5">
        <v>12</v>
      </c>
      <c r="G10" s="5">
        <v>1272</v>
      </c>
      <c r="H10" s="5">
        <v>0</v>
      </c>
      <c r="I10" s="6">
        <v>46026</v>
      </c>
      <c r="J10" s="6">
        <v>46029</v>
      </c>
      <c r="K10" s="10" t="s">
        <v>15</v>
      </c>
      <c r="L10" s="16">
        <f t="shared" si="0"/>
        <v>0</v>
      </c>
    </row>
    <row r="11" spans="1:12" ht="15" thickBot="1" x14ac:dyDescent="0.4">
      <c r="A11" s="5">
        <v>1229</v>
      </c>
      <c r="B11" s="5" t="s">
        <v>57</v>
      </c>
      <c r="C11" s="5" t="s">
        <v>12</v>
      </c>
      <c r="D11" s="5" t="s">
        <v>18</v>
      </c>
      <c r="E11" s="5" t="s">
        <v>56</v>
      </c>
      <c r="F11" s="5">
        <v>14</v>
      </c>
      <c r="G11" s="5">
        <v>5859</v>
      </c>
      <c r="H11" s="5">
        <v>12</v>
      </c>
      <c r="I11" s="6">
        <v>46027</v>
      </c>
      <c r="J11" s="6">
        <v>46036</v>
      </c>
      <c r="K11" s="10" t="s">
        <v>20</v>
      </c>
      <c r="L11" s="16">
        <f t="shared" si="0"/>
        <v>9843.1200000000008</v>
      </c>
    </row>
    <row r="12" spans="1:12" ht="15" thickBot="1" x14ac:dyDescent="0.4">
      <c r="A12" s="5">
        <v>1100</v>
      </c>
      <c r="B12" s="5" t="s">
        <v>11</v>
      </c>
      <c r="C12" s="5" t="s">
        <v>31</v>
      </c>
      <c r="D12" s="5" t="s">
        <v>13</v>
      </c>
      <c r="E12" s="5" t="s">
        <v>14</v>
      </c>
      <c r="F12" s="5">
        <v>11</v>
      </c>
      <c r="G12" s="5">
        <v>296</v>
      </c>
      <c r="H12" s="5">
        <v>10</v>
      </c>
      <c r="I12" s="6">
        <v>46027</v>
      </c>
      <c r="J12" s="6">
        <v>46031</v>
      </c>
      <c r="K12" s="10" t="s">
        <v>51</v>
      </c>
      <c r="L12" s="16">
        <f t="shared" si="0"/>
        <v>325.60000000000002</v>
      </c>
    </row>
    <row r="13" spans="1:12" ht="15" thickBot="1" x14ac:dyDescent="0.4">
      <c r="A13" s="5">
        <v>1301</v>
      </c>
      <c r="B13" s="5" t="s">
        <v>54</v>
      </c>
      <c r="C13" s="5" t="s">
        <v>17</v>
      </c>
      <c r="D13" s="5" t="s">
        <v>18</v>
      </c>
      <c r="E13" s="5" t="s">
        <v>28</v>
      </c>
      <c r="F13" s="5">
        <v>3</v>
      </c>
      <c r="G13" s="5">
        <v>7020</v>
      </c>
      <c r="H13" s="5">
        <v>10</v>
      </c>
      <c r="I13" s="6">
        <v>46028</v>
      </c>
      <c r="J13" s="6">
        <v>46038</v>
      </c>
      <c r="K13" s="10" t="s">
        <v>24</v>
      </c>
      <c r="L13" s="16">
        <f t="shared" si="0"/>
        <v>2106</v>
      </c>
    </row>
    <row r="14" spans="1:12" ht="15" thickBot="1" x14ac:dyDescent="0.4">
      <c r="A14" s="5">
        <v>1148</v>
      </c>
      <c r="B14" s="5" t="s">
        <v>59</v>
      </c>
      <c r="C14" s="5" t="s">
        <v>33</v>
      </c>
      <c r="D14" s="5" t="s">
        <v>18</v>
      </c>
      <c r="E14" s="5" t="s">
        <v>28</v>
      </c>
      <c r="F14" s="5">
        <v>11</v>
      </c>
      <c r="G14" s="5">
        <v>3023</v>
      </c>
      <c r="H14" s="5">
        <v>7</v>
      </c>
      <c r="I14" s="6">
        <v>46030</v>
      </c>
      <c r="J14" s="6">
        <v>46032</v>
      </c>
      <c r="K14" s="10" t="s">
        <v>24</v>
      </c>
      <c r="L14" s="16">
        <f t="shared" si="0"/>
        <v>2327.71</v>
      </c>
    </row>
    <row r="15" spans="1:12" ht="15" thickBot="1" x14ac:dyDescent="0.4">
      <c r="A15" s="5">
        <v>1038</v>
      </c>
      <c r="B15" s="5" t="s">
        <v>55</v>
      </c>
      <c r="C15" s="5" t="s">
        <v>17</v>
      </c>
      <c r="D15" s="5" t="s">
        <v>13</v>
      </c>
      <c r="E15" s="5" t="s">
        <v>36</v>
      </c>
      <c r="F15" s="5">
        <v>17</v>
      </c>
      <c r="G15" s="5">
        <v>223</v>
      </c>
      <c r="H15" s="5">
        <v>7</v>
      </c>
      <c r="I15" s="6">
        <v>46030</v>
      </c>
      <c r="J15" s="6">
        <v>46031</v>
      </c>
      <c r="K15" s="10" t="s">
        <v>51</v>
      </c>
      <c r="L15" s="16">
        <f t="shared" si="0"/>
        <v>265.37</v>
      </c>
    </row>
    <row r="16" spans="1:12" ht="15" thickBot="1" x14ac:dyDescent="0.4">
      <c r="A16" s="5">
        <v>1035</v>
      </c>
      <c r="B16" s="5" t="s">
        <v>49</v>
      </c>
      <c r="C16" s="5" t="s">
        <v>43</v>
      </c>
      <c r="D16" s="5" t="s">
        <v>18</v>
      </c>
      <c r="E16" s="5" t="s">
        <v>56</v>
      </c>
      <c r="F16" s="5">
        <v>3</v>
      </c>
      <c r="G16" s="5">
        <v>9149</v>
      </c>
      <c r="H16" s="5">
        <v>0</v>
      </c>
      <c r="I16" s="6">
        <v>46031</v>
      </c>
      <c r="J16" s="6">
        <v>46034</v>
      </c>
      <c r="K16" s="10" t="s">
        <v>24</v>
      </c>
      <c r="L16" s="16">
        <f t="shared" si="0"/>
        <v>0</v>
      </c>
    </row>
    <row r="17" spans="1:12" ht="15" thickBot="1" x14ac:dyDescent="0.4">
      <c r="A17" s="5">
        <v>1364</v>
      </c>
      <c r="B17" s="5" t="s">
        <v>30</v>
      </c>
      <c r="C17" s="5" t="s">
        <v>22</v>
      </c>
      <c r="D17" s="5" t="s">
        <v>18</v>
      </c>
      <c r="E17" s="5" t="s">
        <v>56</v>
      </c>
      <c r="F17" s="5">
        <v>16</v>
      </c>
      <c r="G17" s="5">
        <v>1744</v>
      </c>
      <c r="H17" s="5">
        <v>15</v>
      </c>
      <c r="I17" s="6">
        <v>46031</v>
      </c>
      <c r="J17" s="6">
        <v>46033</v>
      </c>
      <c r="K17" s="10" t="s">
        <v>51</v>
      </c>
      <c r="L17" s="16">
        <f t="shared" si="0"/>
        <v>4185.6000000000004</v>
      </c>
    </row>
    <row r="18" spans="1:12" ht="15" thickBot="1" x14ac:dyDescent="0.4">
      <c r="A18" s="5">
        <v>1396</v>
      </c>
      <c r="B18" s="5" t="s">
        <v>21</v>
      </c>
      <c r="C18" s="5" t="s">
        <v>38</v>
      </c>
      <c r="D18" s="5" t="s">
        <v>13</v>
      </c>
      <c r="E18" s="5" t="s">
        <v>53</v>
      </c>
      <c r="F18" s="5">
        <v>8</v>
      </c>
      <c r="G18" s="5">
        <v>54</v>
      </c>
      <c r="H18" s="5">
        <v>15</v>
      </c>
      <c r="I18" s="6">
        <v>46031</v>
      </c>
      <c r="J18" s="6">
        <v>46035</v>
      </c>
      <c r="K18" s="10" t="s">
        <v>15</v>
      </c>
      <c r="L18" s="16">
        <f t="shared" si="0"/>
        <v>64.8</v>
      </c>
    </row>
    <row r="19" spans="1:12" ht="15" thickBot="1" x14ac:dyDescent="0.4">
      <c r="A19" s="5">
        <v>1330</v>
      </c>
      <c r="B19" s="5" t="s">
        <v>49</v>
      </c>
      <c r="C19" s="5" t="s">
        <v>17</v>
      </c>
      <c r="D19" s="5" t="s">
        <v>18</v>
      </c>
      <c r="E19" s="5" t="s">
        <v>19</v>
      </c>
      <c r="F19" s="5">
        <v>13</v>
      </c>
      <c r="G19" s="5">
        <v>12071</v>
      </c>
      <c r="H19" s="5">
        <v>0</v>
      </c>
      <c r="I19" s="6">
        <v>46032</v>
      </c>
      <c r="J19" s="6">
        <v>46036</v>
      </c>
      <c r="K19" s="10" t="s">
        <v>51</v>
      </c>
      <c r="L19" s="16">
        <f t="shared" si="0"/>
        <v>0</v>
      </c>
    </row>
    <row r="20" spans="1:12" ht="15" thickBot="1" x14ac:dyDescent="0.4">
      <c r="A20" s="5">
        <v>1037</v>
      </c>
      <c r="B20" s="5" t="s">
        <v>46</v>
      </c>
      <c r="C20" s="5" t="s">
        <v>43</v>
      </c>
      <c r="D20" s="5" t="s">
        <v>18</v>
      </c>
      <c r="E20" s="5" t="s">
        <v>56</v>
      </c>
      <c r="F20" s="5">
        <v>6</v>
      </c>
      <c r="G20" s="5">
        <v>14385</v>
      </c>
      <c r="H20" s="5">
        <v>12</v>
      </c>
      <c r="I20" s="6">
        <v>46033</v>
      </c>
      <c r="J20" s="6">
        <v>46043</v>
      </c>
      <c r="K20" s="10" t="s">
        <v>24</v>
      </c>
      <c r="L20" s="16">
        <f t="shared" si="0"/>
        <v>10357.200000000001</v>
      </c>
    </row>
    <row r="21" spans="1:12" ht="15" thickBot="1" x14ac:dyDescent="0.4">
      <c r="A21" s="5">
        <v>1109</v>
      </c>
      <c r="B21" s="5" t="s">
        <v>21</v>
      </c>
      <c r="C21" s="5" t="s">
        <v>31</v>
      </c>
      <c r="D21" s="5" t="s">
        <v>18</v>
      </c>
      <c r="E21" s="5" t="s">
        <v>44</v>
      </c>
      <c r="F21" s="5">
        <v>19</v>
      </c>
      <c r="G21" s="5">
        <v>6512</v>
      </c>
      <c r="H21" s="5">
        <v>10</v>
      </c>
      <c r="I21" s="6">
        <v>46033</v>
      </c>
      <c r="J21" s="6">
        <v>46037</v>
      </c>
      <c r="K21" s="10" t="s">
        <v>20</v>
      </c>
      <c r="L21" s="16">
        <f t="shared" si="0"/>
        <v>12372.8</v>
      </c>
    </row>
    <row r="22" spans="1:12" ht="15" thickBot="1" x14ac:dyDescent="0.4">
      <c r="A22" s="5">
        <v>1008</v>
      </c>
      <c r="B22" s="5" t="s">
        <v>30</v>
      </c>
      <c r="C22" s="5" t="s">
        <v>31</v>
      </c>
      <c r="D22" s="5" t="s">
        <v>18</v>
      </c>
      <c r="E22" s="5" t="s">
        <v>28</v>
      </c>
      <c r="F22" s="5">
        <v>1</v>
      </c>
      <c r="G22" s="5">
        <v>1134</v>
      </c>
      <c r="H22" s="5">
        <v>0</v>
      </c>
      <c r="I22" s="6">
        <v>46033</v>
      </c>
      <c r="J22" s="6">
        <v>46041</v>
      </c>
      <c r="K22" s="10" t="s">
        <v>24</v>
      </c>
      <c r="L22" s="16">
        <f t="shared" si="0"/>
        <v>0</v>
      </c>
    </row>
    <row r="23" spans="1:12" ht="15" thickBot="1" x14ac:dyDescent="0.4">
      <c r="A23" s="5">
        <v>1181</v>
      </c>
      <c r="B23" s="5" t="s">
        <v>58</v>
      </c>
      <c r="C23" s="5" t="s">
        <v>33</v>
      </c>
      <c r="D23" s="5" t="s">
        <v>13</v>
      </c>
      <c r="E23" s="5" t="s">
        <v>36</v>
      </c>
      <c r="F23" s="5">
        <v>4</v>
      </c>
      <c r="G23" s="5">
        <v>357</v>
      </c>
      <c r="H23" s="5">
        <v>2</v>
      </c>
      <c r="I23" s="6">
        <v>46033</v>
      </c>
      <c r="J23" s="6">
        <v>46035</v>
      </c>
      <c r="K23" s="10" t="s">
        <v>15</v>
      </c>
      <c r="L23" s="16">
        <f t="shared" si="0"/>
        <v>28.56</v>
      </c>
    </row>
    <row r="24" spans="1:12" ht="15" thickBot="1" x14ac:dyDescent="0.4">
      <c r="A24" s="5">
        <v>1205</v>
      </c>
      <c r="B24" s="5" t="s">
        <v>21</v>
      </c>
      <c r="C24" s="5" t="s">
        <v>38</v>
      </c>
      <c r="D24" s="5" t="s">
        <v>13</v>
      </c>
      <c r="E24" s="5" t="s">
        <v>36</v>
      </c>
      <c r="F24" s="5">
        <v>1</v>
      </c>
      <c r="G24" s="5">
        <v>112</v>
      </c>
      <c r="H24" s="5">
        <v>7</v>
      </c>
      <c r="I24" s="6">
        <v>46033</v>
      </c>
      <c r="J24" s="6">
        <v>46040</v>
      </c>
      <c r="K24" s="10" t="s">
        <v>51</v>
      </c>
      <c r="L24" s="16">
        <f t="shared" si="0"/>
        <v>7.84</v>
      </c>
    </row>
    <row r="25" spans="1:12" ht="15" thickBot="1" x14ac:dyDescent="0.4">
      <c r="A25" s="5">
        <v>1004</v>
      </c>
      <c r="B25" s="5" t="s">
        <v>16</v>
      </c>
      <c r="C25" s="5" t="s">
        <v>25</v>
      </c>
      <c r="D25" s="5" t="s">
        <v>18</v>
      </c>
      <c r="E25" s="5" t="s">
        <v>23</v>
      </c>
      <c r="F25" s="5">
        <v>16</v>
      </c>
      <c r="G25" s="5">
        <v>11739</v>
      </c>
      <c r="H25" s="5">
        <v>12</v>
      </c>
      <c r="I25" s="6">
        <v>46034</v>
      </c>
      <c r="J25" s="6">
        <v>46040</v>
      </c>
      <c r="K25" s="10" t="s">
        <v>20</v>
      </c>
      <c r="L25" s="16">
        <f t="shared" si="0"/>
        <v>22538.880000000001</v>
      </c>
    </row>
    <row r="26" spans="1:12" ht="15" thickBot="1" x14ac:dyDescent="0.4">
      <c r="A26" s="5">
        <v>1072</v>
      </c>
      <c r="B26" s="5" t="s">
        <v>16</v>
      </c>
      <c r="C26" s="5" t="s">
        <v>25</v>
      </c>
      <c r="D26" s="5" t="s">
        <v>34</v>
      </c>
      <c r="E26" s="5" t="s">
        <v>61</v>
      </c>
      <c r="F26" s="5">
        <v>20</v>
      </c>
      <c r="G26" s="5">
        <v>58779</v>
      </c>
      <c r="H26" s="5">
        <v>0</v>
      </c>
      <c r="I26" s="6">
        <v>46035</v>
      </c>
      <c r="J26" s="6">
        <v>46036</v>
      </c>
      <c r="K26" s="10" t="s">
        <v>24</v>
      </c>
      <c r="L26" s="16">
        <f t="shared" si="0"/>
        <v>0</v>
      </c>
    </row>
    <row r="27" spans="1:12" ht="15" thickBot="1" x14ac:dyDescent="0.4">
      <c r="A27" s="5">
        <v>1368</v>
      </c>
      <c r="B27" s="5" t="s">
        <v>55</v>
      </c>
      <c r="C27" s="5" t="s">
        <v>38</v>
      </c>
      <c r="D27" s="5" t="s">
        <v>13</v>
      </c>
      <c r="E27" s="5" t="s">
        <v>36</v>
      </c>
      <c r="F27" s="5">
        <v>9</v>
      </c>
      <c r="G27" s="5">
        <v>115</v>
      </c>
      <c r="H27" s="5">
        <v>0</v>
      </c>
      <c r="I27" s="6">
        <v>46036</v>
      </c>
      <c r="J27" s="6">
        <v>46045</v>
      </c>
      <c r="K27" s="10" t="s">
        <v>24</v>
      </c>
      <c r="L27" s="16">
        <f t="shared" si="0"/>
        <v>0</v>
      </c>
    </row>
    <row r="28" spans="1:12" ht="15" thickBot="1" x14ac:dyDescent="0.4">
      <c r="A28" s="5">
        <v>1347</v>
      </c>
      <c r="B28" s="5" t="s">
        <v>29</v>
      </c>
      <c r="C28" s="5" t="s">
        <v>22</v>
      </c>
      <c r="D28" s="5" t="s">
        <v>34</v>
      </c>
      <c r="E28" s="5" t="s">
        <v>35</v>
      </c>
      <c r="F28" s="5">
        <v>16</v>
      </c>
      <c r="G28" s="5">
        <v>6034</v>
      </c>
      <c r="H28" s="5">
        <v>15</v>
      </c>
      <c r="I28" s="6">
        <v>46037</v>
      </c>
      <c r="J28" s="6">
        <v>46044</v>
      </c>
      <c r="K28" s="10" t="s">
        <v>24</v>
      </c>
      <c r="L28" s="16">
        <f t="shared" si="0"/>
        <v>14481.6</v>
      </c>
    </row>
    <row r="29" spans="1:12" ht="15" thickBot="1" x14ac:dyDescent="0.4">
      <c r="A29" s="5">
        <v>1051</v>
      </c>
      <c r="B29" s="5" t="s">
        <v>58</v>
      </c>
      <c r="C29" s="5" t="s">
        <v>17</v>
      </c>
      <c r="D29" s="5" t="s">
        <v>13</v>
      </c>
      <c r="E29" s="5" t="s">
        <v>36</v>
      </c>
      <c r="F29" s="5">
        <v>12</v>
      </c>
      <c r="G29" s="5">
        <v>47</v>
      </c>
      <c r="H29" s="5">
        <v>2</v>
      </c>
      <c r="I29" s="6">
        <v>46037</v>
      </c>
      <c r="J29" s="6">
        <v>46045</v>
      </c>
      <c r="K29" s="10" t="s">
        <v>15</v>
      </c>
      <c r="L29" s="16">
        <f t="shared" si="0"/>
        <v>11.28</v>
      </c>
    </row>
    <row r="30" spans="1:12" ht="15" thickBot="1" x14ac:dyDescent="0.4">
      <c r="A30" s="5">
        <v>1045</v>
      </c>
      <c r="B30" s="5" t="s">
        <v>32</v>
      </c>
      <c r="C30" s="5" t="s">
        <v>38</v>
      </c>
      <c r="D30" s="5" t="s">
        <v>34</v>
      </c>
      <c r="E30" s="5" t="s">
        <v>35</v>
      </c>
      <c r="F30" s="5">
        <v>3</v>
      </c>
      <c r="G30" s="5">
        <v>62762</v>
      </c>
      <c r="H30" s="5">
        <v>7</v>
      </c>
      <c r="I30" s="6">
        <v>46038</v>
      </c>
      <c r="J30" s="6">
        <v>46039</v>
      </c>
      <c r="K30" s="10" t="s">
        <v>29</v>
      </c>
      <c r="L30" s="16">
        <f t="shared" si="0"/>
        <v>13180.02</v>
      </c>
    </row>
    <row r="31" spans="1:12" ht="15" thickBot="1" x14ac:dyDescent="0.4">
      <c r="A31" s="5">
        <v>1334</v>
      </c>
      <c r="B31" s="5" t="s">
        <v>40</v>
      </c>
      <c r="C31" s="5" t="s">
        <v>12</v>
      </c>
      <c r="D31" s="5" t="s">
        <v>34</v>
      </c>
      <c r="E31" s="5" t="s">
        <v>41</v>
      </c>
      <c r="F31" s="5">
        <v>15</v>
      </c>
      <c r="G31" s="5">
        <v>39853</v>
      </c>
      <c r="H31" s="5">
        <v>7</v>
      </c>
      <c r="I31" s="6">
        <v>46038</v>
      </c>
      <c r="J31" s="6">
        <v>46047</v>
      </c>
      <c r="K31" s="10" t="s">
        <v>51</v>
      </c>
      <c r="L31" s="16">
        <f t="shared" si="0"/>
        <v>41845.65</v>
      </c>
    </row>
    <row r="32" spans="1:12" ht="15" thickBot="1" x14ac:dyDescent="0.4">
      <c r="A32" s="5">
        <v>1069</v>
      </c>
      <c r="B32" s="5" t="s">
        <v>52</v>
      </c>
      <c r="C32" s="5" t="s">
        <v>31</v>
      </c>
      <c r="D32" s="5" t="s">
        <v>18</v>
      </c>
      <c r="E32" s="5" t="s">
        <v>28</v>
      </c>
      <c r="F32" s="5">
        <v>9</v>
      </c>
      <c r="G32" s="5">
        <v>4415</v>
      </c>
      <c r="H32" s="5">
        <v>5</v>
      </c>
      <c r="I32" s="6">
        <v>46039</v>
      </c>
      <c r="J32" s="6">
        <v>46046</v>
      </c>
      <c r="K32" s="10" t="s">
        <v>15</v>
      </c>
      <c r="L32" s="16">
        <f t="shared" si="0"/>
        <v>1986.75</v>
      </c>
    </row>
    <row r="33" spans="1:12" ht="15" thickBot="1" x14ac:dyDescent="0.4">
      <c r="A33" s="5">
        <v>1246</v>
      </c>
      <c r="B33" s="5" t="s">
        <v>55</v>
      </c>
      <c r="C33" s="5" t="s">
        <v>22</v>
      </c>
      <c r="D33" s="5" t="s">
        <v>34</v>
      </c>
      <c r="E33" s="5" t="s">
        <v>35</v>
      </c>
      <c r="F33" s="5">
        <v>13</v>
      </c>
      <c r="G33" s="5">
        <v>1825</v>
      </c>
      <c r="H33" s="5">
        <v>2</v>
      </c>
      <c r="I33" s="6">
        <v>46039</v>
      </c>
      <c r="J33" s="6">
        <v>46045</v>
      </c>
      <c r="K33" s="10" t="s">
        <v>51</v>
      </c>
      <c r="L33" s="16">
        <f t="shared" si="0"/>
        <v>474.5</v>
      </c>
    </row>
    <row r="34" spans="1:12" ht="15" thickBot="1" x14ac:dyDescent="0.4">
      <c r="A34" s="5">
        <v>1026</v>
      </c>
      <c r="B34" s="5" t="s">
        <v>49</v>
      </c>
      <c r="C34" s="5" t="s">
        <v>31</v>
      </c>
      <c r="D34" s="5" t="s">
        <v>13</v>
      </c>
      <c r="E34" s="5" t="s">
        <v>50</v>
      </c>
      <c r="F34" s="5">
        <v>17</v>
      </c>
      <c r="G34" s="5">
        <v>323</v>
      </c>
      <c r="H34" s="5">
        <v>10</v>
      </c>
      <c r="I34" s="6">
        <v>46039</v>
      </c>
      <c r="J34" s="6">
        <v>46040</v>
      </c>
      <c r="K34" s="10" t="s">
        <v>29</v>
      </c>
      <c r="L34" s="16">
        <f t="shared" si="0"/>
        <v>549.1</v>
      </c>
    </row>
    <row r="35" spans="1:12" ht="15" thickBot="1" x14ac:dyDescent="0.4">
      <c r="A35" s="5">
        <v>1260</v>
      </c>
      <c r="B35" s="5" t="s">
        <v>54</v>
      </c>
      <c r="C35" s="5" t="s">
        <v>38</v>
      </c>
      <c r="D35" s="5" t="s">
        <v>34</v>
      </c>
      <c r="E35" s="5" t="s">
        <v>41</v>
      </c>
      <c r="F35" s="5">
        <v>19</v>
      </c>
      <c r="G35" s="5">
        <v>54981</v>
      </c>
      <c r="H35" s="5">
        <v>10</v>
      </c>
      <c r="I35" s="6">
        <v>46040</v>
      </c>
      <c r="J35" s="6">
        <v>46045</v>
      </c>
      <c r="K35" s="10" t="s">
        <v>29</v>
      </c>
      <c r="L35" s="16">
        <f t="shared" si="0"/>
        <v>104463.9</v>
      </c>
    </row>
    <row r="36" spans="1:12" ht="15" thickBot="1" x14ac:dyDescent="0.4">
      <c r="A36" s="5">
        <v>1103</v>
      </c>
      <c r="B36" s="5" t="s">
        <v>16</v>
      </c>
      <c r="C36" s="5" t="s">
        <v>12</v>
      </c>
      <c r="D36" s="5" t="s">
        <v>18</v>
      </c>
      <c r="E36" s="5" t="s">
        <v>23</v>
      </c>
      <c r="F36" s="5">
        <v>7</v>
      </c>
      <c r="G36" s="5">
        <v>11925</v>
      </c>
      <c r="H36" s="5">
        <v>5</v>
      </c>
      <c r="I36" s="6">
        <v>46040</v>
      </c>
      <c r="J36" s="6">
        <v>46041</v>
      </c>
      <c r="K36" s="10" t="s">
        <v>29</v>
      </c>
      <c r="L36" s="16">
        <f t="shared" si="0"/>
        <v>4173.75</v>
      </c>
    </row>
    <row r="37" spans="1:12" ht="15" thickBot="1" x14ac:dyDescent="0.4">
      <c r="A37" s="5">
        <v>1135</v>
      </c>
      <c r="B37" s="5" t="s">
        <v>49</v>
      </c>
      <c r="C37" s="5" t="s">
        <v>43</v>
      </c>
      <c r="D37" s="5" t="s">
        <v>34</v>
      </c>
      <c r="E37" s="5" t="s">
        <v>39</v>
      </c>
      <c r="F37" s="5">
        <v>14</v>
      </c>
      <c r="G37" s="5">
        <v>68534</v>
      </c>
      <c r="H37" s="5">
        <v>0</v>
      </c>
      <c r="I37" s="6">
        <v>46041</v>
      </c>
      <c r="J37" s="6">
        <v>46042</v>
      </c>
      <c r="K37" s="10" t="s">
        <v>15</v>
      </c>
      <c r="L37" s="16">
        <f t="shared" si="0"/>
        <v>0</v>
      </c>
    </row>
    <row r="38" spans="1:12" ht="15" thickBot="1" x14ac:dyDescent="0.4">
      <c r="A38" s="5">
        <v>1228</v>
      </c>
      <c r="B38" s="5" t="s">
        <v>29</v>
      </c>
      <c r="C38" s="5" t="s">
        <v>25</v>
      </c>
      <c r="D38" s="5" t="s">
        <v>34</v>
      </c>
      <c r="E38" s="5" t="s">
        <v>45</v>
      </c>
      <c r="F38" s="5">
        <v>16</v>
      </c>
      <c r="G38" s="5">
        <v>17477</v>
      </c>
      <c r="H38" s="5">
        <v>10</v>
      </c>
      <c r="I38" s="6">
        <v>46041</v>
      </c>
      <c r="J38" s="6">
        <v>46043</v>
      </c>
      <c r="K38" s="10" t="s">
        <v>24</v>
      </c>
      <c r="L38" s="16">
        <f t="shared" si="0"/>
        <v>27963.200000000001</v>
      </c>
    </row>
    <row r="39" spans="1:12" ht="15" thickBot="1" x14ac:dyDescent="0.4">
      <c r="A39" s="5">
        <v>1313</v>
      </c>
      <c r="B39" s="5" t="s">
        <v>59</v>
      </c>
      <c r="C39" s="5" t="s">
        <v>22</v>
      </c>
      <c r="D39" s="5" t="s">
        <v>18</v>
      </c>
      <c r="E39" s="5" t="s">
        <v>56</v>
      </c>
      <c r="F39" s="5">
        <v>6</v>
      </c>
      <c r="G39" s="5">
        <v>10864</v>
      </c>
      <c r="H39" s="5">
        <v>10</v>
      </c>
      <c r="I39" s="6">
        <v>46041</v>
      </c>
      <c r="J39" s="6">
        <v>46049</v>
      </c>
      <c r="K39" s="10" t="s">
        <v>15</v>
      </c>
      <c r="L39" s="16">
        <f t="shared" si="0"/>
        <v>6518.4</v>
      </c>
    </row>
    <row r="40" spans="1:12" ht="15" thickBot="1" x14ac:dyDescent="0.4">
      <c r="A40" s="5">
        <v>1208</v>
      </c>
      <c r="B40" s="5" t="s">
        <v>54</v>
      </c>
      <c r="C40" s="5" t="s">
        <v>43</v>
      </c>
      <c r="D40" s="5" t="s">
        <v>18</v>
      </c>
      <c r="E40" s="5" t="s">
        <v>44</v>
      </c>
      <c r="F40" s="5">
        <v>6</v>
      </c>
      <c r="G40" s="5">
        <v>7627</v>
      </c>
      <c r="H40" s="5">
        <v>10</v>
      </c>
      <c r="I40" s="6">
        <v>46042</v>
      </c>
      <c r="J40" s="6">
        <v>46047</v>
      </c>
      <c r="K40" s="10" t="s">
        <v>20</v>
      </c>
      <c r="L40" s="16">
        <f t="shared" si="0"/>
        <v>4576.2</v>
      </c>
    </row>
    <row r="41" spans="1:12" ht="15" thickBot="1" x14ac:dyDescent="0.4">
      <c r="A41" s="5">
        <v>1165</v>
      </c>
      <c r="B41" s="5" t="s">
        <v>48</v>
      </c>
      <c r="C41" s="5" t="s">
        <v>25</v>
      </c>
      <c r="D41" s="5" t="s">
        <v>13</v>
      </c>
      <c r="E41" s="5" t="s">
        <v>37</v>
      </c>
      <c r="F41" s="5">
        <v>1</v>
      </c>
      <c r="G41" s="5">
        <v>427</v>
      </c>
      <c r="H41" s="5">
        <v>0</v>
      </c>
      <c r="I41" s="6">
        <v>46042</v>
      </c>
      <c r="J41" s="6">
        <v>46050</v>
      </c>
      <c r="K41" s="10" t="s">
        <v>51</v>
      </c>
      <c r="L41" s="16">
        <f t="shared" si="0"/>
        <v>0</v>
      </c>
    </row>
    <row r="42" spans="1:12" ht="15" thickBot="1" x14ac:dyDescent="0.4">
      <c r="A42" s="5">
        <v>1304</v>
      </c>
      <c r="B42" s="5" t="s">
        <v>59</v>
      </c>
      <c r="C42" s="5" t="s">
        <v>25</v>
      </c>
      <c r="D42" s="5" t="s">
        <v>13</v>
      </c>
      <c r="E42" s="5" t="s">
        <v>36</v>
      </c>
      <c r="F42" s="5">
        <v>20</v>
      </c>
      <c r="G42" s="5">
        <v>368</v>
      </c>
      <c r="H42" s="5">
        <v>7</v>
      </c>
      <c r="I42" s="6">
        <v>46042</v>
      </c>
      <c r="J42" s="6">
        <v>46051</v>
      </c>
      <c r="K42" s="10" t="s">
        <v>51</v>
      </c>
      <c r="L42" s="16">
        <f t="shared" si="0"/>
        <v>515.20000000000005</v>
      </c>
    </row>
    <row r="43" spans="1:12" ht="15" thickBot="1" x14ac:dyDescent="0.4">
      <c r="A43" s="5">
        <v>1141</v>
      </c>
      <c r="B43" s="5" t="s">
        <v>11</v>
      </c>
      <c r="C43" s="5" t="s">
        <v>17</v>
      </c>
      <c r="D43" s="5" t="s">
        <v>18</v>
      </c>
      <c r="E43" s="5" t="s">
        <v>44</v>
      </c>
      <c r="F43" s="5">
        <v>20</v>
      </c>
      <c r="G43" s="5">
        <v>6835</v>
      </c>
      <c r="H43" s="5">
        <v>2</v>
      </c>
      <c r="I43" s="6">
        <v>46043</v>
      </c>
      <c r="J43" s="6">
        <v>46053</v>
      </c>
      <c r="K43" s="10" t="s">
        <v>15</v>
      </c>
      <c r="L43" s="16">
        <f t="shared" si="0"/>
        <v>2734</v>
      </c>
    </row>
    <row r="44" spans="1:12" ht="15" thickBot="1" x14ac:dyDescent="0.4">
      <c r="A44" s="5">
        <v>1389</v>
      </c>
      <c r="B44" s="5" t="s">
        <v>32</v>
      </c>
      <c r="C44" s="5" t="s">
        <v>12</v>
      </c>
      <c r="D44" s="5" t="s">
        <v>34</v>
      </c>
      <c r="E44" s="5" t="s">
        <v>41</v>
      </c>
      <c r="F44" s="5">
        <v>3</v>
      </c>
      <c r="G44" s="5">
        <v>56380</v>
      </c>
      <c r="H44" s="5">
        <v>5</v>
      </c>
      <c r="I44" s="6">
        <v>46044</v>
      </c>
      <c r="J44" s="6">
        <v>46048</v>
      </c>
      <c r="K44" s="10" t="s">
        <v>51</v>
      </c>
      <c r="L44" s="16">
        <f t="shared" si="0"/>
        <v>8457</v>
      </c>
    </row>
    <row r="45" spans="1:12" ht="15" thickBot="1" x14ac:dyDescent="0.4">
      <c r="A45" s="5">
        <v>1226</v>
      </c>
      <c r="B45" s="5" t="s">
        <v>29</v>
      </c>
      <c r="C45" s="5" t="s">
        <v>31</v>
      </c>
      <c r="D45" s="5" t="s">
        <v>34</v>
      </c>
      <c r="E45" s="5" t="s">
        <v>41</v>
      </c>
      <c r="F45" s="5">
        <v>13</v>
      </c>
      <c r="G45" s="5">
        <v>21332</v>
      </c>
      <c r="H45" s="5">
        <v>0</v>
      </c>
      <c r="I45" s="6">
        <v>46044</v>
      </c>
      <c r="J45" s="6">
        <v>46048</v>
      </c>
      <c r="K45" s="10" t="s">
        <v>29</v>
      </c>
      <c r="L45" s="16">
        <f t="shared" si="0"/>
        <v>0</v>
      </c>
    </row>
    <row r="46" spans="1:12" ht="15" thickBot="1" x14ac:dyDescent="0.4">
      <c r="A46" s="5">
        <v>1128</v>
      </c>
      <c r="B46" s="5" t="s">
        <v>30</v>
      </c>
      <c r="C46" s="5" t="s">
        <v>22</v>
      </c>
      <c r="D46" s="5" t="s">
        <v>34</v>
      </c>
      <c r="E46" s="5" t="s">
        <v>61</v>
      </c>
      <c r="F46" s="5">
        <v>6</v>
      </c>
      <c r="G46" s="5">
        <v>5001</v>
      </c>
      <c r="H46" s="5">
        <v>7</v>
      </c>
      <c r="I46" s="6">
        <v>46044</v>
      </c>
      <c r="J46" s="6">
        <v>46050</v>
      </c>
      <c r="K46" s="10" t="s">
        <v>29</v>
      </c>
      <c r="L46" s="16">
        <f t="shared" si="0"/>
        <v>2100.42</v>
      </c>
    </row>
    <row r="47" spans="1:12" ht="15" thickBot="1" x14ac:dyDescent="0.4">
      <c r="A47" s="5">
        <v>1197</v>
      </c>
      <c r="B47" s="5" t="s">
        <v>52</v>
      </c>
      <c r="C47" s="5" t="s">
        <v>31</v>
      </c>
      <c r="D47" s="5" t="s">
        <v>34</v>
      </c>
      <c r="E47" s="5" t="s">
        <v>35</v>
      </c>
      <c r="F47" s="5">
        <v>5</v>
      </c>
      <c r="G47" s="5">
        <v>45352</v>
      </c>
      <c r="H47" s="5">
        <v>12</v>
      </c>
      <c r="I47" s="6">
        <v>46045</v>
      </c>
      <c r="J47" s="6">
        <v>46048</v>
      </c>
      <c r="K47" s="10" t="s">
        <v>15</v>
      </c>
      <c r="L47" s="16">
        <f t="shared" si="0"/>
        <v>27211.200000000001</v>
      </c>
    </row>
    <row r="48" spans="1:12" ht="15" thickBot="1" x14ac:dyDescent="0.4">
      <c r="A48" s="5">
        <v>1076</v>
      </c>
      <c r="B48" s="5" t="s">
        <v>29</v>
      </c>
      <c r="C48" s="5" t="s">
        <v>17</v>
      </c>
      <c r="D48" s="5" t="s">
        <v>34</v>
      </c>
      <c r="E48" s="5" t="s">
        <v>35</v>
      </c>
      <c r="F48" s="5">
        <v>19</v>
      </c>
      <c r="G48" s="5">
        <v>26714</v>
      </c>
      <c r="H48" s="5">
        <v>5</v>
      </c>
      <c r="I48" s="6">
        <v>46045</v>
      </c>
      <c r="J48" s="6">
        <v>46055</v>
      </c>
      <c r="K48" s="10" t="s">
        <v>29</v>
      </c>
      <c r="L48" s="16">
        <f t="shared" si="0"/>
        <v>25378.3</v>
      </c>
    </row>
    <row r="49" spans="1:12" ht="15" thickBot="1" x14ac:dyDescent="0.4">
      <c r="A49" s="5">
        <v>1224</v>
      </c>
      <c r="B49" s="5" t="s">
        <v>30</v>
      </c>
      <c r="C49" s="5" t="s">
        <v>38</v>
      </c>
      <c r="D49" s="5" t="s">
        <v>34</v>
      </c>
      <c r="E49" s="5" t="s">
        <v>45</v>
      </c>
      <c r="F49" s="5">
        <v>16</v>
      </c>
      <c r="G49" s="5">
        <v>18378</v>
      </c>
      <c r="H49" s="5">
        <v>10</v>
      </c>
      <c r="I49" s="6">
        <v>46045</v>
      </c>
      <c r="J49" s="6">
        <v>46052</v>
      </c>
      <c r="K49" s="10" t="s">
        <v>24</v>
      </c>
      <c r="L49" s="16">
        <f t="shared" si="0"/>
        <v>29404.799999999999</v>
      </c>
    </row>
    <row r="50" spans="1:12" ht="15" thickBot="1" x14ac:dyDescent="0.4">
      <c r="A50" s="5">
        <v>1293</v>
      </c>
      <c r="B50" s="5" t="s">
        <v>49</v>
      </c>
      <c r="C50" s="5" t="s">
        <v>43</v>
      </c>
      <c r="D50" s="5" t="s">
        <v>18</v>
      </c>
      <c r="E50" s="5" t="s">
        <v>23</v>
      </c>
      <c r="F50" s="5">
        <v>7</v>
      </c>
      <c r="G50" s="5">
        <v>11481</v>
      </c>
      <c r="H50" s="5">
        <v>15</v>
      </c>
      <c r="I50" s="6">
        <v>46045</v>
      </c>
      <c r="J50" s="6">
        <v>46050</v>
      </c>
      <c r="K50" s="10" t="s">
        <v>20</v>
      </c>
      <c r="L50" s="16">
        <f t="shared" si="0"/>
        <v>12055.05</v>
      </c>
    </row>
    <row r="51" spans="1:12" ht="15" thickBot="1" x14ac:dyDescent="0.4">
      <c r="A51" s="5">
        <v>1086</v>
      </c>
      <c r="B51" s="5" t="s">
        <v>32</v>
      </c>
      <c r="C51" s="5" t="s">
        <v>12</v>
      </c>
      <c r="D51" s="5" t="s">
        <v>13</v>
      </c>
      <c r="E51" s="5" t="s">
        <v>53</v>
      </c>
      <c r="F51" s="5">
        <v>15</v>
      </c>
      <c r="G51" s="5">
        <v>40</v>
      </c>
      <c r="H51" s="5">
        <v>10</v>
      </c>
      <c r="I51" s="6">
        <v>46045</v>
      </c>
      <c r="J51" s="6">
        <v>46049</v>
      </c>
      <c r="K51" s="10" t="s">
        <v>24</v>
      </c>
      <c r="L51" s="16">
        <f t="shared" si="0"/>
        <v>60</v>
      </c>
    </row>
    <row r="52" spans="1:12" ht="15" thickBot="1" x14ac:dyDescent="0.4">
      <c r="A52" s="5">
        <v>1029</v>
      </c>
      <c r="B52" s="5" t="s">
        <v>30</v>
      </c>
      <c r="C52" s="5" t="s">
        <v>25</v>
      </c>
      <c r="D52" s="5" t="s">
        <v>13</v>
      </c>
      <c r="E52" s="5" t="s">
        <v>36</v>
      </c>
      <c r="F52" s="5">
        <v>18</v>
      </c>
      <c r="G52" s="5">
        <v>443</v>
      </c>
      <c r="H52" s="5">
        <v>5</v>
      </c>
      <c r="I52" s="6">
        <v>46046</v>
      </c>
      <c r="J52" s="6">
        <v>46054</v>
      </c>
      <c r="K52" s="10" t="s">
        <v>24</v>
      </c>
      <c r="L52" s="16">
        <f t="shared" si="0"/>
        <v>398.7</v>
      </c>
    </row>
    <row r="53" spans="1:12" ht="15" thickBot="1" x14ac:dyDescent="0.4">
      <c r="A53" s="5">
        <v>1366</v>
      </c>
      <c r="B53" s="5" t="s">
        <v>26</v>
      </c>
      <c r="C53" s="5" t="s">
        <v>17</v>
      </c>
      <c r="D53" s="5" t="s">
        <v>34</v>
      </c>
      <c r="E53" s="5" t="s">
        <v>61</v>
      </c>
      <c r="F53" s="5">
        <v>20</v>
      </c>
      <c r="G53" s="5">
        <v>44312</v>
      </c>
      <c r="H53" s="5">
        <v>10</v>
      </c>
      <c r="I53" s="6">
        <v>46047</v>
      </c>
      <c r="J53" s="6">
        <v>46054</v>
      </c>
      <c r="K53" s="10" t="s">
        <v>29</v>
      </c>
      <c r="L53" s="16">
        <f t="shared" si="0"/>
        <v>88624</v>
      </c>
    </row>
    <row r="54" spans="1:12" ht="15" thickBot="1" x14ac:dyDescent="0.4">
      <c r="A54" s="5">
        <v>1393</v>
      </c>
      <c r="B54" s="5" t="s">
        <v>30</v>
      </c>
      <c r="C54" s="5" t="s">
        <v>25</v>
      </c>
      <c r="D54" s="5" t="s">
        <v>34</v>
      </c>
      <c r="E54" s="5" t="s">
        <v>45</v>
      </c>
      <c r="F54" s="5">
        <v>17</v>
      </c>
      <c r="G54" s="5">
        <v>30351</v>
      </c>
      <c r="H54" s="5">
        <v>15</v>
      </c>
      <c r="I54" s="6">
        <v>46047</v>
      </c>
      <c r="J54" s="6">
        <v>46051</v>
      </c>
      <c r="K54" s="10" t="s">
        <v>51</v>
      </c>
      <c r="L54" s="16">
        <f t="shared" si="0"/>
        <v>77395.05</v>
      </c>
    </row>
    <row r="55" spans="1:12" ht="15" thickBot="1" x14ac:dyDescent="0.4">
      <c r="A55" s="5">
        <v>1084</v>
      </c>
      <c r="B55" s="5" t="s">
        <v>49</v>
      </c>
      <c r="C55" s="5" t="s">
        <v>31</v>
      </c>
      <c r="D55" s="5" t="s">
        <v>18</v>
      </c>
      <c r="E55" s="5" t="s">
        <v>28</v>
      </c>
      <c r="F55" s="5">
        <v>4</v>
      </c>
      <c r="G55" s="5">
        <v>6901</v>
      </c>
      <c r="H55" s="5">
        <v>10</v>
      </c>
      <c r="I55" s="6">
        <v>46047</v>
      </c>
      <c r="J55" s="6">
        <v>46057</v>
      </c>
      <c r="K55" s="10" t="s">
        <v>20</v>
      </c>
      <c r="L55" s="16">
        <f t="shared" si="0"/>
        <v>2760.4</v>
      </c>
    </row>
    <row r="56" spans="1:12" ht="15" thickBot="1" x14ac:dyDescent="0.4">
      <c r="A56" s="5">
        <v>1385</v>
      </c>
      <c r="B56" s="5" t="s">
        <v>26</v>
      </c>
      <c r="C56" s="5" t="s">
        <v>33</v>
      </c>
      <c r="D56" s="5" t="s">
        <v>34</v>
      </c>
      <c r="E56" s="5" t="s">
        <v>39</v>
      </c>
      <c r="F56" s="5">
        <v>12</v>
      </c>
      <c r="G56" s="5">
        <v>61360</v>
      </c>
      <c r="H56" s="5">
        <v>10</v>
      </c>
      <c r="I56" s="6">
        <v>46048</v>
      </c>
      <c r="J56" s="6">
        <v>46053</v>
      </c>
      <c r="K56" s="10" t="s">
        <v>51</v>
      </c>
      <c r="L56" s="16">
        <f t="shared" si="0"/>
        <v>73632</v>
      </c>
    </row>
    <row r="57" spans="1:12" ht="15" thickBot="1" x14ac:dyDescent="0.4">
      <c r="A57" s="5">
        <v>1176</v>
      </c>
      <c r="B57" s="5" t="s">
        <v>58</v>
      </c>
      <c r="C57" s="5" t="s">
        <v>38</v>
      </c>
      <c r="D57" s="5" t="s">
        <v>34</v>
      </c>
      <c r="E57" s="5" t="s">
        <v>41</v>
      </c>
      <c r="F57" s="5">
        <v>17</v>
      </c>
      <c r="G57" s="5">
        <v>46937</v>
      </c>
      <c r="H57" s="5">
        <v>12</v>
      </c>
      <c r="I57" s="6">
        <v>46048</v>
      </c>
      <c r="J57" s="6">
        <v>46056</v>
      </c>
      <c r="K57" s="10" t="s">
        <v>29</v>
      </c>
      <c r="L57" s="16">
        <f t="shared" si="0"/>
        <v>95751.48</v>
      </c>
    </row>
    <row r="58" spans="1:12" ht="15" thickBot="1" x14ac:dyDescent="0.4">
      <c r="A58" s="5">
        <v>1307</v>
      </c>
      <c r="B58" s="5" t="s">
        <v>57</v>
      </c>
      <c r="C58" s="5" t="s">
        <v>43</v>
      </c>
      <c r="D58" s="5" t="s">
        <v>34</v>
      </c>
      <c r="E58" s="5" t="s">
        <v>35</v>
      </c>
      <c r="F58" s="5">
        <v>18</v>
      </c>
      <c r="G58" s="5">
        <v>7541</v>
      </c>
      <c r="H58" s="5">
        <v>12</v>
      </c>
      <c r="I58" s="6">
        <v>46048</v>
      </c>
      <c r="J58" s="6">
        <v>46051</v>
      </c>
      <c r="K58" s="10" t="s">
        <v>51</v>
      </c>
      <c r="L58" s="16">
        <f t="shared" si="0"/>
        <v>16288.56</v>
      </c>
    </row>
    <row r="59" spans="1:12" ht="15" thickBot="1" x14ac:dyDescent="0.4">
      <c r="A59" s="5">
        <v>1348</v>
      </c>
      <c r="B59" s="5" t="s">
        <v>11</v>
      </c>
      <c r="C59" s="5" t="s">
        <v>33</v>
      </c>
      <c r="D59" s="5" t="s">
        <v>13</v>
      </c>
      <c r="E59" s="5" t="s">
        <v>50</v>
      </c>
      <c r="F59" s="5">
        <v>12</v>
      </c>
      <c r="G59" s="5">
        <v>244</v>
      </c>
      <c r="H59" s="5">
        <v>7</v>
      </c>
      <c r="I59" s="6">
        <v>46048</v>
      </c>
      <c r="J59" s="6">
        <v>46053</v>
      </c>
      <c r="K59" s="10" t="s">
        <v>15</v>
      </c>
      <c r="L59" s="16">
        <f t="shared" si="0"/>
        <v>204.96</v>
      </c>
    </row>
    <row r="60" spans="1:12" ht="15" thickBot="1" x14ac:dyDescent="0.4">
      <c r="A60" s="5">
        <v>1092</v>
      </c>
      <c r="B60" s="5" t="s">
        <v>21</v>
      </c>
      <c r="C60" s="5" t="s">
        <v>22</v>
      </c>
      <c r="D60" s="5" t="s">
        <v>34</v>
      </c>
      <c r="E60" s="5" t="s">
        <v>41</v>
      </c>
      <c r="F60" s="5">
        <v>9</v>
      </c>
      <c r="G60" s="5">
        <v>23438</v>
      </c>
      <c r="H60" s="5">
        <v>2</v>
      </c>
      <c r="I60" s="6">
        <v>46049</v>
      </c>
      <c r="J60" s="6">
        <v>46055</v>
      </c>
      <c r="K60" s="10" t="s">
        <v>29</v>
      </c>
      <c r="L60" s="16">
        <f t="shared" si="0"/>
        <v>4218.84</v>
      </c>
    </row>
    <row r="61" spans="1:12" ht="15" thickBot="1" x14ac:dyDescent="0.4">
      <c r="A61" s="5">
        <v>1116</v>
      </c>
      <c r="B61" s="5" t="s">
        <v>16</v>
      </c>
      <c r="C61" s="5" t="s">
        <v>25</v>
      </c>
      <c r="D61" s="5" t="s">
        <v>18</v>
      </c>
      <c r="E61" s="5" t="s">
        <v>56</v>
      </c>
      <c r="F61" s="5">
        <v>2</v>
      </c>
      <c r="G61" s="5">
        <v>12692</v>
      </c>
      <c r="H61" s="5">
        <v>15</v>
      </c>
      <c r="I61" s="6">
        <v>46049</v>
      </c>
      <c r="J61" s="6">
        <v>46051</v>
      </c>
      <c r="K61" s="10" t="s">
        <v>15</v>
      </c>
      <c r="L61" s="16">
        <f t="shared" si="0"/>
        <v>3807.6</v>
      </c>
    </row>
    <row r="62" spans="1:12" ht="15" thickBot="1" x14ac:dyDescent="0.4">
      <c r="A62" s="5">
        <v>1230</v>
      </c>
      <c r="B62" s="5" t="s">
        <v>59</v>
      </c>
      <c r="C62" s="5" t="s">
        <v>33</v>
      </c>
      <c r="D62" s="5" t="s">
        <v>34</v>
      </c>
      <c r="E62" s="5" t="s">
        <v>60</v>
      </c>
      <c r="F62" s="5">
        <v>7</v>
      </c>
      <c r="G62" s="5">
        <v>2932</v>
      </c>
      <c r="H62" s="5">
        <v>7</v>
      </c>
      <c r="I62" s="6">
        <v>46050</v>
      </c>
      <c r="J62" s="6">
        <v>46059</v>
      </c>
      <c r="K62" s="10" t="s">
        <v>24</v>
      </c>
      <c r="L62" s="16">
        <f t="shared" si="0"/>
        <v>1436.68</v>
      </c>
    </row>
    <row r="63" spans="1:12" ht="15" thickBot="1" x14ac:dyDescent="0.4">
      <c r="A63" s="5">
        <v>1173</v>
      </c>
      <c r="B63" s="5" t="s">
        <v>40</v>
      </c>
      <c r="C63" s="5" t="s">
        <v>17</v>
      </c>
      <c r="D63" s="5" t="s">
        <v>13</v>
      </c>
      <c r="E63" s="5" t="s">
        <v>37</v>
      </c>
      <c r="F63" s="5">
        <v>15</v>
      </c>
      <c r="G63" s="5">
        <v>214</v>
      </c>
      <c r="H63" s="5">
        <v>10</v>
      </c>
      <c r="I63" s="6">
        <v>46050</v>
      </c>
      <c r="J63" s="6">
        <v>46060</v>
      </c>
      <c r="K63" s="10" t="s">
        <v>51</v>
      </c>
      <c r="L63" s="16">
        <f t="shared" si="0"/>
        <v>321</v>
      </c>
    </row>
    <row r="64" spans="1:12" ht="15" thickBot="1" x14ac:dyDescent="0.4">
      <c r="A64" s="5">
        <v>1250</v>
      </c>
      <c r="B64" s="5" t="s">
        <v>11</v>
      </c>
      <c r="C64" s="5" t="s">
        <v>17</v>
      </c>
      <c r="D64" s="5" t="s">
        <v>34</v>
      </c>
      <c r="E64" s="5" t="s">
        <v>45</v>
      </c>
      <c r="F64" s="5">
        <v>2</v>
      </c>
      <c r="G64" s="5">
        <v>65953</v>
      </c>
      <c r="H64" s="5">
        <v>7</v>
      </c>
      <c r="I64" s="6">
        <v>46051</v>
      </c>
      <c r="J64" s="6">
        <v>46053</v>
      </c>
      <c r="K64" s="10" t="s">
        <v>29</v>
      </c>
      <c r="L64" s="16">
        <f t="shared" si="0"/>
        <v>9233.42</v>
      </c>
    </row>
    <row r="65" spans="1:12" ht="15" thickBot="1" x14ac:dyDescent="0.4">
      <c r="A65" s="5">
        <v>1375</v>
      </c>
      <c r="B65" s="5" t="s">
        <v>46</v>
      </c>
      <c r="C65" s="5" t="s">
        <v>43</v>
      </c>
      <c r="D65" s="5" t="s">
        <v>34</v>
      </c>
      <c r="E65" s="5" t="s">
        <v>45</v>
      </c>
      <c r="F65" s="5">
        <v>20</v>
      </c>
      <c r="G65" s="5">
        <v>56766</v>
      </c>
      <c r="H65" s="5">
        <v>0</v>
      </c>
      <c r="I65" s="6">
        <v>46052</v>
      </c>
      <c r="J65" s="6">
        <v>46061</v>
      </c>
      <c r="K65" s="10" t="s">
        <v>24</v>
      </c>
      <c r="L65" s="16">
        <f t="shared" si="0"/>
        <v>0</v>
      </c>
    </row>
    <row r="66" spans="1:12" ht="15" thickBot="1" x14ac:dyDescent="0.4">
      <c r="A66" s="5">
        <v>1190</v>
      </c>
      <c r="B66" s="5" t="s">
        <v>57</v>
      </c>
      <c r="C66" s="5" t="s">
        <v>17</v>
      </c>
      <c r="D66" s="5" t="s">
        <v>18</v>
      </c>
      <c r="E66" s="5" t="s">
        <v>28</v>
      </c>
      <c r="F66" s="5">
        <v>4</v>
      </c>
      <c r="G66" s="5">
        <v>10154</v>
      </c>
      <c r="H66" s="5">
        <v>7</v>
      </c>
      <c r="I66" s="6">
        <v>46052</v>
      </c>
      <c r="J66" s="6">
        <v>46062</v>
      </c>
      <c r="K66" s="10" t="s">
        <v>20</v>
      </c>
      <c r="L66" s="16">
        <f t="shared" si="0"/>
        <v>2843.12</v>
      </c>
    </row>
    <row r="67" spans="1:12" ht="15" thickBot="1" x14ac:dyDescent="0.4">
      <c r="A67" s="5">
        <v>1034</v>
      </c>
      <c r="B67" s="5" t="s">
        <v>55</v>
      </c>
      <c r="C67" s="5" t="s">
        <v>33</v>
      </c>
      <c r="D67" s="5" t="s">
        <v>18</v>
      </c>
      <c r="E67" s="5" t="s">
        <v>28</v>
      </c>
      <c r="F67" s="5">
        <v>17</v>
      </c>
      <c r="G67" s="5">
        <v>5104</v>
      </c>
      <c r="H67" s="5">
        <v>12</v>
      </c>
      <c r="I67" s="6">
        <v>46052</v>
      </c>
      <c r="J67" s="6">
        <v>46061</v>
      </c>
      <c r="K67" s="10" t="s">
        <v>51</v>
      </c>
      <c r="L67" s="16">
        <f t="shared" ref="L67:L130" si="1">(F67*G67)*H67/100</f>
        <v>10412.16</v>
      </c>
    </row>
    <row r="68" spans="1:12" ht="15" thickBot="1" x14ac:dyDescent="0.4">
      <c r="A68" s="5">
        <v>1210</v>
      </c>
      <c r="B68" s="5" t="s">
        <v>30</v>
      </c>
      <c r="C68" s="5" t="s">
        <v>31</v>
      </c>
      <c r="D68" s="5" t="s">
        <v>13</v>
      </c>
      <c r="E68" s="5" t="s">
        <v>53</v>
      </c>
      <c r="F68" s="5">
        <v>10</v>
      </c>
      <c r="G68" s="5">
        <v>349</v>
      </c>
      <c r="H68" s="5">
        <v>0</v>
      </c>
      <c r="I68" s="6">
        <v>46052</v>
      </c>
      <c r="J68" s="6">
        <v>46060</v>
      </c>
      <c r="K68" s="10" t="s">
        <v>29</v>
      </c>
      <c r="L68" s="16">
        <f t="shared" si="1"/>
        <v>0</v>
      </c>
    </row>
    <row r="69" spans="1:12" ht="15" thickBot="1" x14ac:dyDescent="0.4">
      <c r="A69" s="5">
        <v>1149</v>
      </c>
      <c r="B69" s="5" t="s">
        <v>26</v>
      </c>
      <c r="C69" s="5" t="s">
        <v>38</v>
      </c>
      <c r="D69" s="5" t="s">
        <v>34</v>
      </c>
      <c r="E69" s="5" t="s">
        <v>35</v>
      </c>
      <c r="F69" s="5">
        <v>10</v>
      </c>
      <c r="G69" s="5">
        <v>22853</v>
      </c>
      <c r="H69" s="5">
        <v>7</v>
      </c>
      <c r="I69" s="6">
        <v>46053</v>
      </c>
      <c r="J69" s="6">
        <v>46054</v>
      </c>
      <c r="K69" s="10" t="s">
        <v>29</v>
      </c>
      <c r="L69" s="16">
        <f t="shared" si="1"/>
        <v>15997.1</v>
      </c>
    </row>
    <row r="70" spans="1:12" ht="15" thickBot="1" x14ac:dyDescent="0.4">
      <c r="A70" s="5">
        <v>1324</v>
      </c>
      <c r="B70" s="5" t="s">
        <v>32</v>
      </c>
      <c r="C70" s="5" t="s">
        <v>22</v>
      </c>
      <c r="D70" s="5" t="s">
        <v>18</v>
      </c>
      <c r="E70" s="5" t="s">
        <v>19</v>
      </c>
      <c r="F70" s="5">
        <v>1</v>
      </c>
      <c r="G70" s="5">
        <v>4286</v>
      </c>
      <c r="H70" s="5">
        <v>15</v>
      </c>
      <c r="I70" s="6">
        <v>46053</v>
      </c>
      <c r="J70" s="6">
        <v>46056</v>
      </c>
      <c r="K70" s="10" t="s">
        <v>20</v>
      </c>
      <c r="L70" s="16">
        <f t="shared" si="1"/>
        <v>642.9</v>
      </c>
    </row>
    <row r="71" spans="1:12" ht="15" thickBot="1" x14ac:dyDescent="0.4">
      <c r="A71" s="5">
        <v>1096</v>
      </c>
      <c r="B71" s="5" t="s">
        <v>49</v>
      </c>
      <c r="C71" s="5" t="s">
        <v>17</v>
      </c>
      <c r="D71" s="5" t="s">
        <v>18</v>
      </c>
      <c r="E71" s="5" t="s">
        <v>23</v>
      </c>
      <c r="F71" s="5">
        <v>15</v>
      </c>
      <c r="G71" s="5">
        <v>14724</v>
      </c>
      <c r="H71" s="5">
        <v>15</v>
      </c>
      <c r="I71" s="6">
        <v>46054</v>
      </c>
      <c r="J71" s="6">
        <v>46061</v>
      </c>
      <c r="K71" s="10" t="s">
        <v>20</v>
      </c>
      <c r="L71" s="16">
        <f t="shared" si="1"/>
        <v>33129</v>
      </c>
    </row>
    <row r="72" spans="1:12" ht="15" thickBot="1" x14ac:dyDescent="0.4">
      <c r="A72" s="5">
        <v>1006</v>
      </c>
      <c r="B72" s="5" t="s">
        <v>27</v>
      </c>
      <c r="C72" s="5" t="s">
        <v>25</v>
      </c>
      <c r="D72" s="5" t="s">
        <v>18</v>
      </c>
      <c r="E72" s="5" t="s">
        <v>28</v>
      </c>
      <c r="F72" s="5">
        <v>3</v>
      </c>
      <c r="G72" s="5">
        <v>2714</v>
      </c>
      <c r="H72" s="5">
        <v>5</v>
      </c>
      <c r="I72" s="6">
        <v>46055</v>
      </c>
      <c r="J72" s="6">
        <v>46062</v>
      </c>
      <c r="K72" s="10" t="s">
        <v>29</v>
      </c>
      <c r="L72" s="16">
        <f t="shared" si="1"/>
        <v>407.1</v>
      </c>
    </row>
    <row r="73" spans="1:12" ht="15" thickBot="1" x14ac:dyDescent="0.4">
      <c r="A73" s="5">
        <v>1285</v>
      </c>
      <c r="B73" s="5" t="s">
        <v>32</v>
      </c>
      <c r="C73" s="5" t="s">
        <v>38</v>
      </c>
      <c r="D73" s="5" t="s">
        <v>13</v>
      </c>
      <c r="E73" s="5" t="s">
        <v>36</v>
      </c>
      <c r="F73" s="5">
        <v>7</v>
      </c>
      <c r="G73" s="5">
        <v>439</v>
      </c>
      <c r="H73" s="5">
        <v>15</v>
      </c>
      <c r="I73" s="6">
        <v>46055</v>
      </c>
      <c r="J73" s="6">
        <v>46058</v>
      </c>
      <c r="K73" s="10" t="s">
        <v>20</v>
      </c>
      <c r="L73" s="16">
        <f t="shared" si="1"/>
        <v>460.95</v>
      </c>
    </row>
    <row r="74" spans="1:12" ht="15" thickBot="1" x14ac:dyDescent="0.4">
      <c r="A74" s="5">
        <v>1281</v>
      </c>
      <c r="B74" s="5" t="s">
        <v>55</v>
      </c>
      <c r="C74" s="5" t="s">
        <v>17</v>
      </c>
      <c r="D74" s="5" t="s">
        <v>13</v>
      </c>
      <c r="E74" s="5" t="s">
        <v>50</v>
      </c>
      <c r="F74" s="5">
        <v>6</v>
      </c>
      <c r="G74" s="5">
        <v>253</v>
      </c>
      <c r="H74" s="5">
        <v>0</v>
      </c>
      <c r="I74" s="6">
        <v>46055</v>
      </c>
      <c r="J74" s="6">
        <v>46063</v>
      </c>
      <c r="K74" s="10" t="s">
        <v>24</v>
      </c>
      <c r="L74" s="16">
        <f t="shared" si="1"/>
        <v>0</v>
      </c>
    </row>
    <row r="75" spans="1:12" ht="15" thickBot="1" x14ac:dyDescent="0.4">
      <c r="A75" s="5">
        <v>1136</v>
      </c>
      <c r="B75" s="5" t="s">
        <v>27</v>
      </c>
      <c r="C75" s="5" t="s">
        <v>43</v>
      </c>
      <c r="D75" s="5" t="s">
        <v>18</v>
      </c>
      <c r="E75" s="5" t="s">
        <v>56</v>
      </c>
      <c r="F75" s="5">
        <v>19</v>
      </c>
      <c r="G75" s="5">
        <v>14528</v>
      </c>
      <c r="H75" s="5">
        <v>12</v>
      </c>
      <c r="I75" s="6">
        <v>46056</v>
      </c>
      <c r="J75" s="6">
        <v>46062</v>
      </c>
      <c r="K75" s="10" t="s">
        <v>24</v>
      </c>
      <c r="L75" s="16">
        <f t="shared" si="1"/>
        <v>33123.839999999997</v>
      </c>
    </row>
    <row r="76" spans="1:12" ht="15" thickBot="1" x14ac:dyDescent="0.4">
      <c r="A76" s="5">
        <v>1394</v>
      </c>
      <c r="B76" s="5" t="s">
        <v>54</v>
      </c>
      <c r="C76" s="5" t="s">
        <v>12</v>
      </c>
      <c r="D76" s="5" t="s">
        <v>13</v>
      </c>
      <c r="E76" s="5" t="s">
        <v>14</v>
      </c>
      <c r="F76" s="5">
        <v>10</v>
      </c>
      <c r="G76" s="5">
        <v>138</v>
      </c>
      <c r="H76" s="5">
        <v>2</v>
      </c>
      <c r="I76" s="6">
        <v>46056</v>
      </c>
      <c r="J76" s="6">
        <v>46057</v>
      </c>
      <c r="K76" s="10" t="s">
        <v>15</v>
      </c>
      <c r="L76" s="16">
        <f t="shared" si="1"/>
        <v>27.6</v>
      </c>
    </row>
    <row r="77" spans="1:12" ht="15" thickBot="1" x14ac:dyDescent="0.4">
      <c r="A77" s="5">
        <v>1105</v>
      </c>
      <c r="B77" s="5" t="s">
        <v>59</v>
      </c>
      <c r="C77" s="5" t="s">
        <v>25</v>
      </c>
      <c r="D77" s="5" t="s">
        <v>13</v>
      </c>
      <c r="E77" s="5" t="s">
        <v>50</v>
      </c>
      <c r="F77" s="5">
        <v>2</v>
      </c>
      <c r="G77" s="5">
        <v>493</v>
      </c>
      <c r="H77" s="5">
        <v>12</v>
      </c>
      <c r="I77" s="6">
        <v>46057</v>
      </c>
      <c r="J77" s="6">
        <v>46066</v>
      </c>
      <c r="K77" s="10" t="s">
        <v>51</v>
      </c>
      <c r="L77" s="16">
        <f t="shared" si="1"/>
        <v>118.32</v>
      </c>
    </row>
    <row r="78" spans="1:12" ht="15" thickBot="1" x14ac:dyDescent="0.4">
      <c r="A78" s="5">
        <v>1256</v>
      </c>
      <c r="B78" s="5" t="s">
        <v>48</v>
      </c>
      <c r="C78" s="5" t="s">
        <v>31</v>
      </c>
      <c r="D78" s="5" t="s">
        <v>13</v>
      </c>
      <c r="E78" s="5" t="s">
        <v>50</v>
      </c>
      <c r="F78" s="5">
        <v>19</v>
      </c>
      <c r="G78" s="5">
        <v>406</v>
      </c>
      <c r="H78" s="5">
        <v>7</v>
      </c>
      <c r="I78" s="6">
        <v>46057</v>
      </c>
      <c r="J78" s="6">
        <v>46061</v>
      </c>
      <c r="K78" s="10" t="s">
        <v>15</v>
      </c>
      <c r="L78" s="16">
        <f t="shared" si="1"/>
        <v>539.98</v>
      </c>
    </row>
    <row r="79" spans="1:12" ht="15" thickBot="1" x14ac:dyDescent="0.4">
      <c r="A79" s="5">
        <v>1081</v>
      </c>
      <c r="B79" s="5" t="s">
        <v>47</v>
      </c>
      <c r="C79" s="5" t="s">
        <v>12</v>
      </c>
      <c r="D79" s="5" t="s">
        <v>34</v>
      </c>
      <c r="E79" s="5" t="s">
        <v>35</v>
      </c>
      <c r="F79" s="5">
        <v>15</v>
      </c>
      <c r="G79" s="5">
        <v>59912</v>
      </c>
      <c r="H79" s="5">
        <v>7</v>
      </c>
      <c r="I79" s="6">
        <v>46058</v>
      </c>
      <c r="J79" s="6">
        <v>46060</v>
      </c>
      <c r="K79" s="10" t="s">
        <v>51</v>
      </c>
      <c r="L79" s="16">
        <f t="shared" si="1"/>
        <v>62907.6</v>
      </c>
    </row>
    <row r="80" spans="1:12" ht="15" thickBot="1" x14ac:dyDescent="0.4">
      <c r="A80" s="5">
        <v>1067</v>
      </c>
      <c r="B80" s="5" t="s">
        <v>32</v>
      </c>
      <c r="C80" s="5" t="s">
        <v>43</v>
      </c>
      <c r="D80" s="5" t="s">
        <v>18</v>
      </c>
      <c r="E80" s="5" t="s">
        <v>56</v>
      </c>
      <c r="F80" s="5">
        <v>14</v>
      </c>
      <c r="G80" s="5">
        <v>10869</v>
      </c>
      <c r="H80" s="5">
        <v>0</v>
      </c>
      <c r="I80" s="6">
        <v>46058</v>
      </c>
      <c r="J80" s="6">
        <v>46062</v>
      </c>
      <c r="K80" s="10" t="s">
        <v>29</v>
      </c>
      <c r="L80" s="16">
        <f t="shared" si="1"/>
        <v>0</v>
      </c>
    </row>
    <row r="81" spans="1:12" ht="15" thickBot="1" x14ac:dyDescent="0.4">
      <c r="A81" s="5">
        <v>1099</v>
      </c>
      <c r="B81" s="5" t="s">
        <v>26</v>
      </c>
      <c r="C81" s="5" t="s">
        <v>31</v>
      </c>
      <c r="D81" s="5" t="s">
        <v>18</v>
      </c>
      <c r="E81" s="5" t="s">
        <v>19</v>
      </c>
      <c r="F81" s="5">
        <v>1</v>
      </c>
      <c r="G81" s="5">
        <v>5165</v>
      </c>
      <c r="H81" s="5">
        <v>2</v>
      </c>
      <c r="I81" s="6">
        <v>46058</v>
      </c>
      <c r="J81" s="6">
        <v>46060</v>
      </c>
      <c r="K81" s="10" t="s">
        <v>15</v>
      </c>
      <c r="L81" s="16">
        <f t="shared" si="1"/>
        <v>103.3</v>
      </c>
    </row>
    <row r="82" spans="1:12" ht="15" thickBot="1" x14ac:dyDescent="0.4">
      <c r="A82" s="5">
        <v>1061</v>
      </c>
      <c r="B82" s="5" t="s">
        <v>57</v>
      </c>
      <c r="C82" s="5" t="s">
        <v>12</v>
      </c>
      <c r="D82" s="5" t="s">
        <v>34</v>
      </c>
      <c r="E82" s="5" t="s">
        <v>41</v>
      </c>
      <c r="F82" s="5">
        <v>16</v>
      </c>
      <c r="G82" s="5">
        <v>59084</v>
      </c>
      <c r="H82" s="5">
        <v>0</v>
      </c>
      <c r="I82" s="6">
        <v>46060</v>
      </c>
      <c r="J82" s="6">
        <v>46069</v>
      </c>
      <c r="K82" s="10" t="s">
        <v>20</v>
      </c>
      <c r="L82" s="16">
        <f t="shared" si="1"/>
        <v>0</v>
      </c>
    </row>
    <row r="83" spans="1:12" ht="15" thickBot="1" x14ac:dyDescent="0.4">
      <c r="A83" s="5">
        <v>1232</v>
      </c>
      <c r="B83" s="5" t="s">
        <v>21</v>
      </c>
      <c r="C83" s="5" t="s">
        <v>12</v>
      </c>
      <c r="D83" s="5" t="s">
        <v>34</v>
      </c>
      <c r="E83" s="5" t="s">
        <v>60</v>
      </c>
      <c r="F83" s="5">
        <v>3</v>
      </c>
      <c r="G83" s="5">
        <v>13272</v>
      </c>
      <c r="H83" s="5">
        <v>2</v>
      </c>
      <c r="I83" s="6">
        <v>46060</v>
      </c>
      <c r="J83" s="6">
        <v>46065</v>
      </c>
      <c r="K83" s="10" t="s">
        <v>15</v>
      </c>
      <c r="L83" s="16">
        <f t="shared" si="1"/>
        <v>796.32</v>
      </c>
    </row>
    <row r="84" spans="1:12" ht="15" thickBot="1" x14ac:dyDescent="0.4">
      <c r="A84" s="5">
        <v>1104</v>
      </c>
      <c r="B84" s="5" t="s">
        <v>16</v>
      </c>
      <c r="C84" s="5" t="s">
        <v>43</v>
      </c>
      <c r="D84" s="5" t="s">
        <v>18</v>
      </c>
      <c r="E84" s="5" t="s">
        <v>19</v>
      </c>
      <c r="F84" s="5">
        <v>10</v>
      </c>
      <c r="G84" s="5">
        <v>12848</v>
      </c>
      <c r="H84" s="5">
        <v>15</v>
      </c>
      <c r="I84" s="6">
        <v>46060</v>
      </c>
      <c r="J84" s="6">
        <v>46064</v>
      </c>
      <c r="K84" s="10" t="s">
        <v>29</v>
      </c>
      <c r="L84" s="16">
        <f t="shared" si="1"/>
        <v>19272</v>
      </c>
    </row>
    <row r="85" spans="1:12" ht="15" thickBot="1" x14ac:dyDescent="0.4">
      <c r="A85" s="5">
        <v>1140</v>
      </c>
      <c r="B85" s="5" t="s">
        <v>57</v>
      </c>
      <c r="C85" s="5" t="s">
        <v>38</v>
      </c>
      <c r="D85" s="5" t="s">
        <v>34</v>
      </c>
      <c r="E85" s="5" t="s">
        <v>41</v>
      </c>
      <c r="F85" s="5">
        <v>5</v>
      </c>
      <c r="G85" s="5">
        <v>68012</v>
      </c>
      <c r="H85" s="5">
        <v>5</v>
      </c>
      <c r="I85" s="6">
        <v>46061</v>
      </c>
      <c r="J85" s="6">
        <v>46065</v>
      </c>
      <c r="K85" s="10" t="s">
        <v>15</v>
      </c>
      <c r="L85" s="16">
        <f t="shared" si="1"/>
        <v>17003</v>
      </c>
    </row>
    <row r="86" spans="1:12" ht="15" thickBot="1" x14ac:dyDescent="0.4">
      <c r="A86" s="5">
        <v>1120</v>
      </c>
      <c r="B86" s="5" t="s">
        <v>32</v>
      </c>
      <c r="C86" s="5" t="s">
        <v>38</v>
      </c>
      <c r="D86" s="5" t="s">
        <v>13</v>
      </c>
      <c r="E86" s="5" t="s">
        <v>36</v>
      </c>
      <c r="F86" s="5">
        <v>10</v>
      </c>
      <c r="G86" s="5">
        <v>438</v>
      </c>
      <c r="H86" s="5">
        <v>10</v>
      </c>
      <c r="I86" s="6">
        <v>46061</v>
      </c>
      <c r="J86" s="6">
        <v>46065</v>
      </c>
      <c r="K86" s="10" t="s">
        <v>51</v>
      </c>
      <c r="L86" s="16">
        <f t="shared" si="1"/>
        <v>438</v>
      </c>
    </row>
    <row r="87" spans="1:12" ht="15" thickBot="1" x14ac:dyDescent="0.4">
      <c r="A87" s="5">
        <v>1395</v>
      </c>
      <c r="B87" s="5" t="s">
        <v>54</v>
      </c>
      <c r="C87" s="5" t="s">
        <v>33</v>
      </c>
      <c r="D87" s="5" t="s">
        <v>18</v>
      </c>
      <c r="E87" s="5" t="s">
        <v>44</v>
      </c>
      <c r="F87" s="5">
        <v>18</v>
      </c>
      <c r="G87" s="5">
        <v>10402</v>
      </c>
      <c r="H87" s="5">
        <v>15</v>
      </c>
      <c r="I87" s="6">
        <v>46062</v>
      </c>
      <c r="J87" s="6">
        <v>46067</v>
      </c>
      <c r="K87" s="10" t="s">
        <v>29</v>
      </c>
      <c r="L87" s="16">
        <f t="shared" si="1"/>
        <v>28085.4</v>
      </c>
    </row>
    <row r="88" spans="1:12" ht="15" thickBot="1" x14ac:dyDescent="0.4">
      <c r="A88" s="5">
        <v>1152</v>
      </c>
      <c r="B88" s="5" t="s">
        <v>27</v>
      </c>
      <c r="C88" s="5" t="s">
        <v>31</v>
      </c>
      <c r="D88" s="5" t="s">
        <v>34</v>
      </c>
      <c r="E88" s="5" t="s">
        <v>61</v>
      </c>
      <c r="F88" s="5">
        <v>14</v>
      </c>
      <c r="G88" s="5">
        <v>8150</v>
      </c>
      <c r="H88" s="5">
        <v>10</v>
      </c>
      <c r="I88" s="6">
        <v>46062</v>
      </c>
      <c r="J88" s="6">
        <v>46070</v>
      </c>
      <c r="K88" s="10" t="s">
        <v>15</v>
      </c>
      <c r="L88" s="16">
        <f t="shared" si="1"/>
        <v>11410</v>
      </c>
    </row>
    <row r="89" spans="1:12" ht="15" thickBot="1" x14ac:dyDescent="0.4">
      <c r="A89" s="5">
        <v>1369</v>
      </c>
      <c r="B89" s="5" t="s">
        <v>57</v>
      </c>
      <c r="C89" s="5" t="s">
        <v>25</v>
      </c>
      <c r="D89" s="5" t="s">
        <v>18</v>
      </c>
      <c r="E89" s="5" t="s">
        <v>19</v>
      </c>
      <c r="F89" s="5">
        <v>19</v>
      </c>
      <c r="G89" s="5">
        <v>5840</v>
      </c>
      <c r="H89" s="5">
        <v>5</v>
      </c>
      <c r="I89" s="6">
        <v>46062</v>
      </c>
      <c r="J89" s="6">
        <v>46067</v>
      </c>
      <c r="K89" s="10" t="s">
        <v>15</v>
      </c>
      <c r="L89" s="16">
        <f t="shared" si="1"/>
        <v>5548</v>
      </c>
    </row>
    <row r="90" spans="1:12" ht="15" thickBot="1" x14ac:dyDescent="0.4">
      <c r="A90" s="5">
        <v>1010</v>
      </c>
      <c r="B90" s="5" t="s">
        <v>11</v>
      </c>
      <c r="C90" s="5" t="s">
        <v>17</v>
      </c>
      <c r="D90" s="5" t="s">
        <v>13</v>
      </c>
      <c r="E90" s="5" t="s">
        <v>36</v>
      </c>
      <c r="F90" s="5">
        <v>14</v>
      </c>
      <c r="G90" s="5">
        <v>470</v>
      </c>
      <c r="H90" s="5">
        <v>5</v>
      </c>
      <c r="I90" s="6">
        <v>46062</v>
      </c>
      <c r="J90" s="6">
        <v>46068</v>
      </c>
      <c r="K90" s="10" t="s">
        <v>15</v>
      </c>
      <c r="L90" s="16">
        <f t="shared" si="1"/>
        <v>329</v>
      </c>
    </row>
    <row r="91" spans="1:12" ht="15" thickBot="1" x14ac:dyDescent="0.4">
      <c r="A91" s="5">
        <v>1374</v>
      </c>
      <c r="B91" s="5" t="s">
        <v>57</v>
      </c>
      <c r="C91" s="5" t="s">
        <v>33</v>
      </c>
      <c r="D91" s="5" t="s">
        <v>34</v>
      </c>
      <c r="E91" s="5" t="s">
        <v>35</v>
      </c>
      <c r="F91" s="5">
        <v>12</v>
      </c>
      <c r="G91" s="5">
        <v>66052</v>
      </c>
      <c r="H91" s="5">
        <v>2</v>
      </c>
      <c r="I91" s="6">
        <v>46063</v>
      </c>
      <c r="J91" s="6">
        <v>46066</v>
      </c>
      <c r="K91" s="10" t="s">
        <v>51</v>
      </c>
      <c r="L91" s="16">
        <f t="shared" si="1"/>
        <v>15852.48</v>
      </c>
    </row>
    <row r="92" spans="1:12" ht="15" thickBot="1" x14ac:dyDescent="0.4">
      <c r="A92" s="5">
        <v>1296</v>
      </c>
      <c r="B92" s="5" t="s">
        <v>26</v>
      </c>
      <c r="C92" s="5" t="s">
        <v>38</v>
      </c>
      <c r="D92" s="5" t="s">
        <v>13</v>
      </c>
      <c r="E92" s="5" t="s">
        <v>50</v>
      </c>
      <c r="F92" s="5">
        <v>6</v>
      </c>
      <c r="G92" s="5">
        <v>201</v>
      </c>
      <c r="H92" s="5">
        <v>0</v>
      </c>
      <c r="I92" s="6">
        <v>46063</v>
      </c>
      <c r="J92" s="6">
        <v>46072</v>
      </c>
      <c r="K92" s="10" t="s">
        <v>51</v>
      </c>
      <c r="L92" s="16">
        <f t="shared" si="1"/>
        <v>0</v>
      </c>
    </row>
    <row r="93" spans="1:12" ht="15" thickBot="1" x14ac:dyDescent="0.4">
      <c r="A93" s="5">
        <v>1142</v>
      </c>
      <c r="B93" s="5" t="s">
        <v>40</v>
      </c>
      <c r="C93" s="5" t="s">
        <v>25</v>
      </c>
      <c r="D93" s="5" t="s">
        <v>34</v>
      </c>
      <c r="E93" s="5" t="s">
        <v>60</v>
      </c>
      <c r="F93" s="5">
        <v>9</v>
      </c>
      <c r="G93" s="5">
        <v>59788</v>
      </c>
      <c r="H93" s="5">
        <v>7</v>
      </c>
      <c r="I93" s="6">
        <v>46064</v>
      </c>
      <c r="J93" s="6">
        <v>46071</v>
      </c>
      <c r="K93" s="10" t="s">
        <v>29</v>
      </c>
      <c r="L93" s="16">
        <f t="shared" si="1"/>
        <v>37666.44</v>
      </c>
    </row>
    <row r="94" spans="1:12" ht="15" thickBot="1" x14ac:dyDescent="0.4">
      <c r="A94" s="5">
        <v>1053</v>
      </c>
      <c r="B94" s="5" t="s">
        <v>16</v>
      </c>
      <c r="C94" s="5" t="s">
        <v>33</v>
      </c>
      <c r="D94" s="5" t="s">
        <v>18</v>
      </c>
      <c r="E94" s="5" t="s">
        <v>28</v>
      </c>
      <c r="F94" s="5">
        <v>1</v>
      </c>
      <c r="G94" s="5">
        <v>9749</v>
      </c>
      <c r="H94" s="5">
        <v>15</v>
      </c>
      <c r="I94" s="6">
        <v>46064</v>
      </c>
      <c r="J94" s="6">
        <v>46070</v>
      </c>
      <c r="K94" s="10" t="s">
        <v>24</v>
      </c>
      <c r="L94" s="16">
        <f t="shared" si="1"/>
        <v>1462.35</v>
      </c>
    </row>
    <row r="95" spans="1:12" ht="15" thickBot="1" x14ac:dyDescent="0.4">
      <c r="A95" s="5">
        <v>1089</v>
      </c>
      <c r="B95" s="5" t="s">
        <v>46</v>
      </c>
      <c r="C95" s="5" t="s">
        <v>12</v>
      </c>
      <c r="D95" s="5" t="s">
        <v>34</v>
      </c>
      <c r="E95" s="5" t="s">
        <v>35</v>
      </c>
      <c r="F95" s="5">
        <v>10</v>
      </c>
      <c r="G95" s="5">
        <v>17041</v>
      </c>
      <c r="H95" s="5">
        <v>2</v>
      </c>
      <c r="I95" s="6">
        <v>46066</v>
      </c>
      <c r="J95" s="6">
        <v>46071</v>
      </c>
      <c r="K95" s="10" t="s">
        <v>24</v>
      </c>
      <c r="L95" s="16">
        <f t="shared" si="1"/>
        <v>3408.2</v>
      </c>
    </row>
    <row r="96" spans="1:12" ht="15" thickBot="1" x14ac:dyDescent="0.4">
      <c r="A96" s="5">
        <v>1174</v>
      </c>
      <c r="B96" s="5" t="s">
        <v>58</v>
      </c>
      <c r="C96" s="5" t="s">
        <v>38</v>
      </c>
      <c r="D96" s="5" t="s">
        <v>13</v>
      </c>
      <c r="E96" s="5" t="s">
        <v>14</v>
      </c>
      <c r="F96" s="5">
        <v>13</v>
      </c>
      <c r="G96" s="5">
        <v>155</v>
      </c>
      <c r="H96" s="5">
        <v>2</v>
      </c>
      <c r="I96" s="6">
        <v>46066</v>
      </c>
      <c r="J96" s="6">
        <v>46069</v>
      </c>
      <c r="K96" s="10" t="s">
        <v>24</v>
      </c>
      <c r="L96" s="16">
        <f t="shared" si="1"/>
        <v>40.299999999999997</v>
      </c>
    </row>
    <row r="97" spans="1:12" ht="15" thickBot="1" x14ac:dyDescent="0.4">
      <c r="A97" s="5">
        <v>1114</v>
      </c>
      <c r="B97" s="5" t="s">
        <v>16</v>
      </c>
      <c r="C97" s="5" t="s">
        <v>25</v>
      </c>
      <c r="D97" s="5" t="s">
        <v>13</v>
      </c>
      <c r="E97" s="5" t="s">
        <v>50</v>
      </c>
      <c r="F97" s="5">
        <v>13</v>
      </c>
      <c r="G97" s="5">
        <v>32</v>
      </c>
      <c r="H97" s="5">
        <v>15</v>
      </c>
      <c r="I97" s="6">
        <v>46066</v>
      </c>
      <c r="J97" s="6">
        <v>46069</v>
      </c>
      <c r="K97" s="10" t="s">
        <v>15</v>
      </c>
      <c r="L97" s="16">
        <f t="shared" si="1"/>
        <v>62.4</v>
      </c>
    </row>
    <row r="98" spans="1:12" ht="15" thickBot="1" x14ac:dyDescent="0.4">
      <c r="A98" s="5">
        <v>1057</v>
      </c>
      <c r="B98" s="5" t="s">
        <v>59</v>
      </c>
      <c r="C98" s="5" t="s">
        <v>22</v>
      </c>
      <c r="D98" s="5" t="s">
        <v>18</v>
      </c>
      <c r="E98" s="5" t="s">
        <v>28</v>
      </c>
      <c r="F98" s="5">
        <v>2</v>
      </c>
      <c r="G98" s="5">
        <v>9531</v>
      </c>
      <c r="H98" s="5">
        <v>15</v>
      </c>
      <c r="I98" s="6">
        <v>46067</v>
      </c>
      <c r="J98" s="6">
        <v>46076</v>
      </c>
      <c r="K98" s="10" t="s">
        <v>51</v>
      </c>
      <c r="L98" s="16">
        <f t="shared" si="1"/>
        <v>2859.3</v>
      </c>
    </row>
    <row r="99" spans="1:12" ht="15" thickBot="1" x14ac:dyDescent="0.4">
      <c r="A99" s="5">
        <v>1088</v>
      </c>
      <c r="B99" s="5" t="s">
        <v>40</v>
      </c>
      <c r="C99" s="5" t="s">
        <v>33</v>
      </c>
      <c r="D99" s="5" t="s">
        <v>34</v>
      </c>
      <c r="E99" s="5" t="s">
        <v>41</v>
      </c>
      <c r="F99" s="5">
        <v>20</v>
      </c>
      <c r="G99" s="5">
        <v>41165</v>
      </c>
      <c r="H99" s="5">
        <v>0</v>
      </c>
      <c r="I99" s="6">
        <v>46068</v>
      </c>
      <c r="J99" s="6">
        <v>46069</v>
      </c>
      <c r="K99" s="10" t="s">
        <v>20</v>
      </c>
      <c r="L99" s="16">
        <f t="shared" si="1"/>
        <v>0</v>
      </c>
    </row>
    <row r="100" spans="1:12" ht="15" thickBot="1" x14ac:dyDescent="0.4">
      <c r="A100" s="5">
        <v>1243</v>
      </c>
      <c r="B100" s="5" t="s">
        <v>30</v>
      </c>
      <c r="C100" s="5" t="s">
        <v>31</v>
      </c>
      <c r="D100" s="5" t="s">
        <v>34</v>
      </c>
      <c r="E100" s="5" t="s">
        <v>41</v>
      </c>
      <c r="F100" s="5">
        <v>5</v>
      </c>
      <c r="G100" s="5">
        <v>11570</v>
      </c>
      <c r="H100" s="5">
        <v>15</v>
      </c>
      <c r="I100" s="6">
        <v>46069</v>
      </c>
      <c r="J100" s="6">
        <v>46077</v>
      </c>
      <c r="K100" s="10" t="s">
        <v>24</v>
      </c>
      <c r="L100" s="16">
        <f t="shared" si="1"/>
        <v>8677.5</v>
      </c>
    </row>
    <row r="101" spans="1:12" ht="15" thickBot="1" x14ac:dyDescent="0.4">
      <c r="A101" s="5">
        <v>1153</v>
      </c>
      <c r="B101" s="5" t="s">
        <v>42</v>
      </c>
      <c r="C101" s="5" t="s">
        <v>25</v>
      </c>
      <c r="D101" s="5" t="s">
        <v>18</v>
      </c>
      <c r="E101" s="5" t="s">
        <v>23</v>
      </c>
      <c r="F101" s="5">
        <v>19</v>
      </c>
      <c r="G101" s="5">
        <v>10273</v>
      </c>
      <c r="H101" s="5">
        <v>12</v>
      </c>
      <c r="I101" s="6">
        <v>46069</v>
      </c>
      <c r="J101" s="6">
        <v>46072</v>
      </c>
      <c r="K101" s="10" t="s">
        <v>29</v>
      </c>
      <c r="L101" s="16">
        <f t="shared" si="1"/>
        <v>23422.44</v>
      </c>
    </row>
    <row r="102" spans="1:12" ht="15" thickBot="1" x14ac:dyDescent="0.4">
      <c r="A102" s="5">
        <v>1365</v>
      </c>
      <c r="B102" s="5" t="s">
        <v>46</v>
      </c>
      <c r="C102" s="5" t="s">
        <v>33</v>
      </c>
      <c r="D102" s="5" t="s">
        <v>13</v>
      </c>
      <c r="E102" s="5" t="s">
        <v>50</v>
      </c>
      <c r="F102" s="5">
        <v>17</v>
      </c>
      <c r="G102" s="5">
        <v>119</v>
      </c>
      <c r="H102" s="5">
        <v>7</v>
      </c>
      <c r="I102" s="6">
        <v>46070</v>
      </c>
      <c r="J102" s="6">
        <v>46072</v>
      </c>
      <c r="K102" s="10" t="s">
        <v>20</v>
      </c>
      <c r="L102" s="16">
        <f t="shared" si="1"/>
        <v>141.61000000000001</v>
      </c>
    </row>
    <row r="103" spans="1:12" ht="15" thickBot="1" x14ac:dyDescent="0.4">
      <c r="A103" s="5">
        <v>1036</v>
      </c>
      <c r="B103" s="5" t="s">
        <v>11</v>
      </c>
      <c r="C103" s="5" t="s">
        <v>25</v>
      </c>
      <c r="D103" s="5" t="s">
        <v>13</v>
      </c>
      <c r="E103" s="5" t="s">
        <v>36</v>
      </c>
      <c r="F103" s="5">
        <v>20</v>
      </c>
      <c r="G103" s="5">
        <v>161</v>
      </c>
      <c r="H103" s="5">
        <v>7</v>
      </c>
      <c r="I103" s="6">
        <v>46071</v>
      </c>
      <c r="J103" s="6">
        <v>46077</v>
      </c>
      <c r="K103" s="10" t="s">
        <v>24</v>
      </c>
      <c r="L103" s="16">
        <f t="shared" si="1"/>
        <v>225.4</v>
      </c>
    </row>
    <row r="104" spans="1:12" ht="15" thickBot="1" x14ac:dyDescent="0.4">
      <c r="A104" s="5">
        <v>1371</v>
      </c>
      <c r="B104" s="5" t="s">
        <v>48</v>
      </c>
      <c r="C104" s="5" t="s">
        <v>38</v>
      </c>
      <c r="D104" s="5" t="s">
        <v>18</v>
      </c>
      <c r="E104" s="5" t="s">
        <v>19</v>
      </c>
      <c r="F104" s="5">
        <v>19</v>
      </c>
      <c r="G104" s="5">
        <v>1087</v>
      </c>
      <c r="H104" s="5">
        <v>15</v>
      </c>
      <c r="I104" s="6">
        <v>46072</v>
      </c>
      <c r="J104" s="6">
        <v>46082</v>
      </c>
      <c r="K104" s="10" t="s">
        <v>20</v>
      </c>
      <c r="L104" s="16">
        <f t="shared" si="1"/>
        <v>3097.95</v>
      </c>
    </row>
    <row r="105" spans="1:12" ht="15" thickBot="1" x14ac:dyDescent="0.4">
      <c r="A105" s="5">
        <v>1323</v>
      </c>
      <c r="B105" s="5" t="s">
        <v>57</v>
      </c>
      <c r="C105" s="5" t="s">
        <v>38</v>
      </c>
      <c r="D105" s="5" t="s">
        <v>34</v>
      </c>
      <c r="E105" s="5" t="s">
        <v>61</v>
      </c>
      <c r="F105" s="5">
        <v>2</v>
      </c>
      <c r="G105" s="5">
        <v>32074</v>
      </c>
      <c r="H105" s="5">
        <v>10</v>
      </c>
      <c r="I105" s="6">
        <v>46073</v>
      </c>
      <c r="J105" s="6">
        <v>46078</v>
      </c>
      <c r="K105" s="10" t="s">
        <v>15</v>
      </c>
      <c r="L105" s="16">
        <f t="shared" si="1"/>
        <v>6414.8</v>
      </c>
    </row>
    <row r="106" spans="1:12" ht="15" thickBot="1" x14ac:dyDescent="0.4">
      <c r="A106" s="5">
        <v>1253</v>
      </c>
      <c r="B106" s="5" t="s">
        <v>21</v>
      </c>
      <c r="C106" s="5" t="s">
        <v>31</v>
      </c>
      <c r="D106" s="5" t="s">
        <v>34</v>
      </c>
      <c r="E106" s="5" t="s">
        <v>45</v>
      </c>
      <c r="F106" s="5">
        <v>20</v>
      </c>
      <c r="G106" s="5">
        <v>47880</v>
      </c>
      <c r="H106" s="5">
        <v>7</v>
      </c>
      <c r="I106" s="6">
        <v>46074</v>
      </c>
      <c r="J106" s="6">
        <v>46075</v>
      </c>
      <c r="K106" s="10" t="s">
        <v>29</v>
      </c>
      <c r="L106" s="16">
        <f t="shared" si="1"/>
        <v>67032</v>
      </c>
    </row>
    <row r="107" spans="1:12" ht="15" thickBot="1" x14ac:dyDescent="0.4">
      <c r="A107" s="5">
        <v>1384</v>
      </c>
      <c r="B107" s="5" t="s">
        <v>59</v>
      </c>
      <c r="C107" s="5" t="s">
        <v>12</v>
      </c>
      <c r="D107" s="5" t="s">
        <v>34</v>
      </c>
      <c r="E107" s="5" t="s">
        <v>39</v>
      </c>
      <c r="F107" s="5">
        <v>15</v>
      </c>
      <c r="G107" s="5">
        <v>38116</v>
      </c>
      <c r="H107" s="5">
        <v>0</v>
      </c>
      <c r="I107" s="6">
        <v>46074</v>
      </c>
      <c r="J107" s="6">
        <v>46078</v>
      </c>
      <c r="K107" s="10" t="s">
        <v>29</v>
      </c>
      <c r="L107" s="16">
        <f t="shared" si="1"/>
        <v>0</v>
      </c>
    </row>
    <row r="108" spans="1:12" ht="15" thickBot="1" x14ac:dyDescent="0.4">
      <c r="A108" s="5">
        <v>1378</v>
      </c>
      <c r="B108" s="5" t="s">
        <v>55</v>
      </c>
      <c r="C108" s="5" t="s">
        <v>22</v>
      </c>
      <c r="D108" s="5" t="s">
        <v>34</v>
      </c>
      <c r="E108" s="5" t="s">
        <v>45</v>
      </c>
      <c r="F108" s="5">
        <v>15</v>
      </c>
      <c r="G108" s="5">
        <v>22693</v>
      </c>
      <c r="H108" s="5">
        <v>12</v>
      </c>
      <c r="I108" s="6">
        <v>46074</v>
      </c>
      <c r="J108" s="6">
        <v>46080</v>
      </c>
      <c r="K108" s="10" t="s">
        <v>51</v>
      </c>
      <c r="L108" s="16">
        <f t="shared" si="1"/>
        <v>40847.4</v>
      </c>
    </row>
    <row r="109" spans="1:12" ht="15" thickBot="1" x14ac:dyDescent="0.4">
      <c r="A109" s="5">
        <v>1058</v>
      </c>
      <c r="B109" s="5" t="s">
        <v>52</v>
      </c>
      <c r="C109" s="5" t="s">
        <v>38</v>
      </c>
      <c r="D109" s="5" t="s">
        <v>18</v>
      </c>
      <c r="E109" s="5" t="s">
        <v>28</v>
      </c>
      <c r="F109" s="5">
        <v>10</v>
      </c>
      <c r="G109" s="5">
        <v>5532</v>
      </c>
      <c r="H109" s="5">
        <v>7</v>
      </c>
      <c r="I109" s="6">
        <v>46074</v>
      </c>
      <c r="J109" s="6">
        <v>46084</v>
      </c>
      <c r="K109" s="10" t="s">
        <v>24</v>
      </c>
      <c r="L109" s="16">
        <f t="shared" si="1"/>
        <v>3872.4</v>
      </c>
    </row>
    <row r="110" spans="1:12" ht="15" thickBot="1" x14ac:dyDescent="0.4">
      <c r="A110" s="5">
        <v>1337</v>
      </c>
      <c r="B110" s="5" t="s">
        <v>16</v>
      </c>
      <c r="C110" s="5" t="s">
        <v>12</v>
      </c>
      <c r="D110" s="5" t="s">
        <v>13</v>
      </c>
      <c r="E110" s="5" t="s">
        <v>53</v>
      </c>
      <c r="F110" s="5">
        <v>14</v>
      </c>
      <c r="G110" s="5">
        <v>373</v>
      </c>
      <c r="H110" s="5">
        <v>10</v>
      </c>
      <c r="I110" s="6">
        <v>46074</v>
      </c>
      <c r="J110" s="6">
        <v>46080</v>
      </c>
      <c r="K110" s="10" t="s">
        <v>29</v>
      </c>
      <c r="L110" s="16">
        <f t="shared" si="1"/>
        <v>522.20000000000005</v>
      </c>
    </row>
    <row r="111" spans="1:12" ht="15" thickBot="1" x14ac:dyDescent="0.4">
      <c r="A111" s="5">
        <v>1201</v>
      </c>
      <c r="B111" s="5" t="s">
        <v>54</v>
      </c>
      <c r="C111" s="5" t="s">
        <v>31</v>
      </c>
      <c r="D111" s="5" t="s">
        <v>13</v>
      </c>
      <c r="E111" s="5" t="s">
        <v>53</v>
      </c>
      <c r="F111" s="5">
        <v>18</v>
      </c>
      <c r="G111" s="5">
        <v>139</v>
      </c>
      <c r="H111" s="5">
        <v>12</v>
      </c>
      <c r="I111" s="6">
        <v>46075</v>
      </c>
      <c r="J111" s="6">
        <v>46076</v>
      </c>
      <c r="K111" s="10" t="s">
        <v>20</v>
      </c>
      <c r="L111" s="16">
        <f t="shared" si="1"/>
        <v>300.24</v>
      </c>
    </row>
    <row r="112" spans="1:12" ht="15" thickBot="1" x14ac:dyDescent="0.4">
      <c r="A112" s="5">
        <v>1082</v>
      </c>
      <c r="B112" s="5" t="s">
        <v>21</v>
      </c>
      <c r="C112" s="5" t="s">
        <v>12</v>
      </c>
      <c r="D112" s="5" t="s">
        <v>13</v>
      </c>
      <c r="E112" s="5" t="s">
        <v>14</v>
      </c>
      <c r="F112" s="5">
        <v>7</v>
      </c>
      <c r="G112" s="5">
        <v>133</v>
      </c>
      <c r="H112" s="5">
        <v>10</v>
      </c>
      <c r="I112" s="6">
        <v>46075</v>
      </c>
      <c r="J112" s="6">
        <v>46085</v>
      </c>
      <c r="K112" s="10" t="s">
        <v>51</v>
      </c>
      <c r="L112" s="16">
        <f t="shared" si="1"/>
        <v>93.1</v>
      </c>
    </row>
    <row r="113" spans="1:12" ht="15" thickBot="1" x14ac:dyDescent="0.4">
      <c r="A113" s="5">
        <v>1325</v>
      </c>
      <c r="B113" s="5" t="s">
        <v>48</v>
      </c>
      <c r="C113" s="5" t="s">
        <v>43</v>
      </c>
      <c r="D113" s="5" t="s">
        <v>34</v>
      </c>
      <c r="E113" s="5" t="s">
        <v>39</v>
      </c>
      <c r="F113" s="5">
        <v>9</v>
      </c>
      <c r="G113" s="5">
        <v>58442</v>
      </c>
      <c r="H113" s="5">
        <v>12</v>
      </c>
      <c r="I113" s="6">
        <v>46076</v>
      </c>
      <c r="J113" s="6">
        <v>46085</v>
      </c>
      <c r="K113" s="10" t="s">
        <v>20</v>
      </c>
      <c r="L113" s="16">
        <f t="shared" si="1"/>
        <v>63117.36</v>
      </c>
    </row>
    <row r="114" spans="1:12" ht="15" thickBot="1" x14ac:dyDescent="0.4">
      <c r="A114" s="5">
        <v>1107</v>
      </c>
      <c r="B114" s="5" t="s">
        <v>52</v>
      </c>
      <c r="C114" s="5" t="s">
        <v>17</v>
      </c>
      <c r="D114" s="5" t="s">
        <v>34</v>
      </c>
      <c r="E114" s="5" t="s">
        <v>60</v>
      </c>
      <c r="F114" s="5">
        <v>4</v>
      </c>
      <c r="G114" s="5">
        <v>14291</v>
      </c>
      <c r="H114" s="5">
        <v>2</v>
      </c>
      <c r="I114" s="6">
        <v>46076</v>
      </c>
      <c r="J114" s="6">
        <v>46078</v>
      </c>
      <c r="K114" s="10" t="s">
        <v>15</v>
      </c>
      <c r="L114" s="16">
        <f t="shared" si="1"/>
        <v>1143.28</v>
      </c>
    </row>
    <row r="115" spans="1:12" ht="15" thickBot="1" x14ac:dyDescent="0.4">
      <c r="A115" s="5">
        <v>1390</v>
      </c>
      <c r="B115" s="5" t="s">
        <v>58</v>
      </c>
      <c r="C115" s="5" t="s">
        <v>43</v>
      </c>
      <c r="D115" s="5" t="s">
        <v>18</v>
      </c>
      <c r="E115" s="5" t="s">
        <v>19</v>
      </c>
      <c r="F115" s="5">
        <v>9</v>
      </c>
      <c r="G115" s="5">
        <v>7670</v>
      </c>
      <c r="H115" s="5">
        <v>0</v>
      </c>
      <c r="I115" s="6">
        <v>46076</v>
      </c>
      <c r="J115" s="6">
        <v>46081</v>
      </c>
      <c r="K115" s="10" t="s">
        <v>51</v>
      </c>
      <c r="L115" s="16">
        <f t="shared" si="1"/>
        <v>0</v>
      </c>
    </row>
    <row r="116" spans="1:12" ht="15" thickBot="1" x14ac:dyDescent="0.4">
      <c r="A116" s="5">
        <v>1113</v>
      </c>
      <c r="B116" s="5" t="s">
        <v>26</v>
      </c>
      <c r="C116" s="5" t="s">
        <v>43</v>
      </c>
      <c r="D116" s="5" t="s">
        <v>18</v>
      </c>
      <c r="E116" s="5" t="s">
        <v>56</v>
      </c>
      <c r="F116" s="5">
        <v>13</v>
      </c>
      <c r="G116" s="5">
        <v>6719</v>
      </c>
      <c r="H116" s="5">
        <v>15</v>
      </c>
      <c r="I116" s="6">
        <v>46076</v>
      </c>
      <c r="J116" s="6">
        <v>46081</v>
      </c>
      <c r="K116" s="10" t="s">
        <v>24</v>
      </c>
      <c r="L116" s="16">
        <f t="shared" si="1"/>
        <v>13102.05</v>
      </c>
    </row>
    <row r="117" spans="1:12" ht="15" thickBot="1" x14ac:dyDescent="0.4">
      <c r="A117" s="5">
        <v>1070</v>
      </c>
      <c r="B117" s="5" t="s">
        <v>52</v>
      </c>
      <c r="C117" s="5" t="s">
        <v>43</v>
      </c>
      <c r="D117" s="5" t="s">
        <v>13</v>
      </c>
      <c r="E117" s="5" t="s">
        <v>36</v>
      </c>
      <c r="F117" s="5">
        <v>10</v>
      </c>
      <c r="G117" s="5">
        <v>233</v>
      </c>
      <c r="H117" s="5">
        <v>7</v>
      </c>
      <c r="I117" s="6">
        <v>46076</v>
      </c>
      <c r="J117" s="6">
        <v>46077</v>
      </c>
      <c r="K117" s="10" t="s">
        <v>29</v>
      </c>
      <c r="L117" s="16">
        <f t="shared" si="1"/>
        <v>163.1</v>
      </c>
    </row>
    <row r="118" spans="1:12" ht="15" thickBot="1" x14ac:dyDescent="0.4">
      <c r="A118" s="5">
        <v>1157</v>
      </c>
      <c r="B118" s="5" t="s">
        <v>52</v>
      </c>
      <c r="C118" s="5" t="s">
        <v>33</v>
      </c>
      <c r="D118" s="5" t="s">
        <v>13</v>
      </c>
      <c r="E118" s="5" t="s">
        <v>50</v>
      </c>
      <c r="F118" s="5">
        <v>3</v>
      </c>
      <c r="G118" s="5">
        <v>203</v>
      </c>
      <c r="H118" s="5">
        <v>15</v>
      </c>
      <c r="I118" s="6">
        <v>46076</v>
      </c>
      <c r="J118" s="6">
        <v>46080</v>
      </c>
      <c r="K118" s="10" t="s">
        <v>29</v>
      </c>
      <c r="L118" s="16">
        <f t="shared" si="1"/>
        <v>91.35</v>
      </c>
    </row>
    <row r="119" spans="1:12" ht="15" thickBot="1" x14ac:dyDescent="0.4">
      <c r="A119" s="5">
        <v>1110</v>
      </c>
      <c r="B119" s="5" t="s">
        <v>49</v>
      </c>
      <c r="C119" s="5" t="s">
        <v>38</v>
      </c>
      <c r="D119" s="5" t="s">
        <v>18</v>
      </c>
      <c r="E119" s="5" t="s">
        <v>23</v>
      </c>
      <c r="F119" s="5">
        <v>14</v>
      </c>
      <c r="G119" s="5">
        <v>6793</v>
      </c>
      <c r="H119" s="5">
        <v>7</v>
      </c>
      <c r="I119" s="6">
        <v>46077</v>
      </c>
      <c r="J119" s="6">
        <v>46082</v>
      </c>
      <c r="K119" s="10" t="s">
        <v>29</v>
      </c>
      <c r="L119" s="16">
        <f t="shared" si="1"/>
        <v>6657.14</v>
      </c>
    </row>
    <row r="120" spans="1:12" ht="15" thickBot="1" x14ac:dyDescent="0.4">
      <c r="A120" s="5">
        <v>1223</v>
      </c>
      <c r="B120" s="5" t="s">
        <v>59</v>
      </c>
      <c r="C120" s="5" t="s">
        <v>17</v>
      </c>
      <c r="D120" s="5" t="s">
        <v>18</v>
      </c>
      <c r="E120" s="5" t="s">
        <v>23</v>
      </c>
      <c r="F120" s="5">
        <v>4</v>
      </c>
      <c r="G120" s="5">
        <v>2249</v>
      </c>
      <c r="H120" s="5">
        <v>7</v>
      </c>
      <c r="I120" s="6">
        <v>46077</v>
      </c>
      <c r="J120" s="6">
        <v>46084</v>
      </c>
      <c r="K120" s="10" t="s">
        <v>15</v>
      </c>
      <c r="L120" s="16">
        <f t="shared" si="1"/>
        <v>629.72</v>
      </c>
    </row>
    <row r="121" spans="1:12" ht="15" thickBot="1" x14ac:dyDescent="0.4">
      <c r="A121" s="5">
        <v>1055</v>
      </c>
      <c r="B121" s="5" t="s">
        <v>48</v>
      </c>
      <c r="C121" s="5" t="s">
        <v>12</v>
      </c>
      <c r="D121" s="5" t="s">
        <v>13</v>
      </c>
      <c r="E121" s="5" t="s">
        <v>37</v>
      </c>
      <c r="F121" s="5">
        <v>18</v>
      </c>
      <c r="G121" s="5">
        <v>185</v>
      </c>
      <c r="H121" s="5">
        <v>15</v>
      </c>
      <c r="I121" s="6">
        <v>46077</v>
      </c>
      <c r="J121" s="6">
        <v>46078</v>
      </c>
      <c r="K121" s="10" t="s">
        <v>15</v>
      </c>
      <c r="L121" s="16">
        <f t="shared" si="1"/>
        <v>499.5</v>
      </c>
    </row>
    <row r="122" spans="1:12" ht="15" thickBot="1" x14ac:dyDescent="0.4">
      <c r="A122" s="5">
        <v>1272</v>
      </c>
      <c r="B122" s="5" t="s">
        <v>52</v>
      </c>
      <c r="C122" s="5" t="s">
        <v>38</v>
      </c>
      <c r="D122" s="5" t="s">
        <v>34</v>
      </c>
      <c r="E122" s="5" t="s">
        <v>41</v>
      </c>
      <c r="F122" s="5">
        <v>13</v>
      </c>
      <c r="G122" s="5">
        <v>42179</v>
      </c>
      <c r="H122" s="5">
        <v>0</v>
      </c>
      <c r="I122" s="6">
        <v>46078</v>
      </c>
      <c r="J122" s="6">
        <v>46084</v>
      </c>
      <c r="K122" s="10" t="s">
        <v>20</v>
      </c>
      <c r="L122" s="16">
        <f t="shared" si="1"/>
        <v>0</v>
      </c>
    </row>
    <row r="123" spans="1:12" ht="15" thickBot="1" x14ac:dyDescent="0.4">
      <c r="A123" s="5">
        <v>1316</v>
      </c>
      <c r="B123" s="5" t="s">
        <v>46</v>
      </c>
      <c r="C123" s="5" t="s">
        <v>12</v>
      </c>
      <c r="D123" s="5" t="s">
        <v>18</v>
      </c>
      <c r="E123" s="5" t="s">
        <v>28</v>
      </c>
      <c r="F123" s="5">
        <v>7</v>
      </c>
      <c r="G123" s="5">
        <v>9838</v>
      </c>
      <c r="H123" s="5">
        <v>7</v>
      </c>
      <c r="I123" s="6">
        <v>46078</v>
      </c>
      <c r="J123" s="6">
        <v>46085</v>
      </c>
      <c r="K123" s="10" t="s">
        <v>20</v>
      </c>
      <c r="L123" s="16">
        <f t="shared" si="1"/>
        <v>4820.62</v>
      </c>
    </row>
    <row r="124" spans="1:12" ht="15" thickBot="1" x14ac:dyDescent="0.4">
      <c r="A124" s="5">
        <v>1020</v>
      </c>
      <c r="B124" s="5" t="s">
        <v>46</v>
      </c>
      <c r="C124" s="5" t="s">
        <v>12</v>
      </c>
      <c r="D124" s="5" t="s">
        <v>18</v>
      </c>
      <c r="E124" s="5" t="s">
        <v>19</v>
      </c>
      <c r="F124" s="5">
        <v>5</v>
      </c>
      <c r="G124" s="5">
        <v>4582</v>
      </c>
      <c r="H124" s="5">
        <v>5</v>
      </c>
      <c r="I124" s="6">
        <v>46078</v>
      </c>
      <c r="J124" s="6">
        <v>46083</v>
      </c>
      <c r="K124" s="10" t="s">
        <v>15</v>
      </c>
      <c r="L124" s="16">
        <f t="shared" si="1"/>
        <v>1145.5</v>
      </c>
    </row>
    <row r="125" spans="1:12" ht="15" thickBot="1" x14ac:dyDescent="0.4">
      <c r="A125" s="5">
        <v>1349</v>
      </c>
      <c r="B125" s="5" t="s">
        <v>40</v>
      </c>
      <c r="C125" s="5" t="s">
        <v>33</v>
      </c>
      <c r="D125" s="5" t="s">
        <v>34</v>
      </c>
      <c r="E125" s="5" t="s">
        <v>35</v>
      </c>
      <c r="F125" s="5">
        <v>20</v>
      </c>
      <c r="G125" s="5">
        <v>62721</v>
      </c>
      <c r="H125" s="5">
        <v>7</v>
      </c>
      <c r="I125" s="6">
        <v>46079</v>
      </c>
      <c r="J125" s="6">
        <v>46083</v>
      </c>
      <c r="K125" s="10" t="s">
        <v>20</v>
      </c>
      <c r="L125" s="16">
        <f t="shared" si="1"/>
        <v>87809.4</v>
      </c>
    </row>
    <row r="126" spans="1:12" ht="15" thickBot="1" x14ac:dyDescent="0.4">
      <c r="A126" s="5">
        <v>1158</v>
      </c>
      <c r="B126" s="5" t="s">
        <v>26</v>
      </c>
      <c r="C126" s="5" t="s">
        <v>38</v>
      </c>
      <c r="D126" s="5" t="s">
        <v>34</v>
      </c>
      <c r="E126" s="5" t="s">
        <v>41</v>
      </c>
      <c r="F126" s="5">
        <v>13</v>
      </c>
      <c r="G126" s="5">
        <v>12518</v>
      </c>
      <c r="H126" s="5">
        <v>2</v>
      </c>
      <c r="I126" s="6">
        <v>46079</v>
      </c>
      <c r="J126" s="6">
        <v>46082</v>
      </c>
      <c r="K126" s="10" t="s">
        <v>51</v>
      </c>
      <c r="L126" s="16">
        <f t="shared" si="1"/>
        <v>3254.68</v>
      </c>
    </row>
    <row r="127" spans="1:12" ht="15" thickBot="1" x14ac:dyDescent="0.4">
      <c r="A127" s="5">
        <v>1163</v>
      </c>
      <c r="B127" s="5" t="s">
        <v>29</v>
      </c>
      <c r="C127" s="5" t="s">
        <v>38</v>
      </c>
      <c r="D127" s="5" t="s">
        <v>34</v>
      </c>
      <c r="E127" s="5" t="s">
        <v>39</v>
      </c>
      <c r="F127" s="5">
        <v>9</v>
      </c>
      <c r="G127" s="5">
        <v>62440</v>
      </c>
      <c r="H127" s="5">
        <v>2</v>
      </c>
      <c r="I127" s="6">
        <v>46081</v>
      </c>
      <c r="J127" s="6">
        <v>46086</v>
      </c>
      <c r="K127" s="10" t="s">
        <v>29</v>
      </c>
      <c r="L127" s="16">
        <f t="shared" si="1"/>
        <v>11239.2</v>
      </c>
    </row>
    <row r="128" spans="1:12" ht="15" thickBot="1" x14ac:dyDescent="0.4">
      <c r="A128" s="5">
        <v>1042</v>
      </c>
      <c r="B128" s="5" t="s">
        <v>46</v>
      </c>
      <c r="C128" s="5" t="s">
        <v>33</v>
      </c>
      <c r="D128" s="5" t="s">
        <v>13</v>
      </c>
      <c r="E128" s="5" t="s">
        <v>53</v>
      </c>
      <c r="F128" s="5">
        <v>16</v>
      </c>
      <c r="G128" s="5">
        <v>232</v>
      </c>
      <c r="H128" s="5">
        <v>0</v>
      </c>
      <c r="I128" s="6">
        <v>46081</v>
      </c>
      <c r="J128" s="6">
        <v>46088</v>
      </c>
      <c r="K128" s="10" t="s">
        <v>29</v>
      </c>
      <c r="L128" s="16">
        <f t="shared" si="1"/>
        <v>0</v>
      </c>
    </row>
    <row r="129" spans="1:12" ht="15" thickBot="1" x14ac:dyDescent="0.4">
      <c r="A129" s="5">
        <v>1001</v>
      </c>
      <c r="B129" s="5" t="s">
        <v>11</v>
      </c>
      <c r="C129" s="5" t="s">
        <v>12</v>
      </c>
      <c r="D129" s="5" t="s">
        <v>13</v>
      </c>
      <c r="E129" s="5" t="s">
        <v>14</v>
      </c>
      <c r="F129" s="5">
        <v>3</v>
      </c>
      <c r="G129" s="5">
        <v>222</v>
      </c>
      <c r="H129" s="5">
        <v>15</v>
      </c>
      <c r="I129" s="6">
        <v>46081</v>
      </c>
      <c r="J129" s="6">
        <v>46083</v>
      </c>
      <c r="K129" s="10" t="s">
        <v>15</v>
      </c>
      <c r="L129" s="16">
        <f t="shared" si="1"/>
        <v>99.9</v>
      </c>
    </row>
    <row r="130" spans="1:12" ht="15" thickBot="1" x14ac:dyDescent="0.4">
      <c r="A130" s="5">
        <v>1202</v>
      </c>
      <c r="B130" s="5" t="s">
        <v>57</v>
      </c>
      <c r="C130" s="5" t="s">
        <v>22</v>
      </c>
      <c r="D130" s="5" t="s">
        <v>34</v>
      </c>
      <c r="E130" s="5" t="s">
        <v>35</v>
      </c>
      <c r="F130" s="5">
        <v>2</v>
      </c>
      <c r="G130" s="5">
        <v>20312</v>
      </c>
      <c r="H130" s="5">
        <v>12</v>
      </c>
      <c r="I130" s="6">
        <v>46082</v>
      </c>
      <c r="J130" s="6">
        <v>46091</v>
      </c>
      <c r="K130" s="10" t="s">
        <v>15</v>
      </c>
      <c r="L130" s="16">
        <f t="shared" si="1"/>
        <v>4874.88</v>
      </c>
    </row>
    <row r="131" spans="1:12" ht="15" thickBot="1" x14ac:dyDescent="0.4">
      <c r="A131" s="5">
        <v>1066</v>
      </c>
      <c r="B131" s="5" t="s">
        <v>47</v>
      </c>
      <c r="C131" s="5" t="s">
        <v>25</v>
      </c>
      <c r="D131" s="5" t="s">
        <v>18</v>
      </c>
      <c r="E131" s="5" t="s">
        <v>44</v>
      </c>
      <c r="F131" s="5">
        <v>15</v>
      </c>
      <c r="G131" s="5">
        <v>11987</v>
      </c>
      <c r="H131" s="5">
        <v>5</v>
      </c>
      <c r="I131" s="6">
        <v>46082</v>
      </c>
      <c r="J131" s="6">
        <v>46083</v>
      </c>
      <c r="K131" s="10" t="s">
        <v>15</v>
      </c>
      <c r="L131" s="16">
        <f t="shared" ref="L131:L194" si="2">(F131*G131)*H131/100</f>
        <v>8990.25</v>
      </c>
    </row>
    <row r="132" spans="1:12" ht="15" thickBot="1" x14ac:dyDescent="0.4">
      <c r="A132" s="5">
        <v>1033</v>
      </c>
      <c r="B132" s="5" t="s">
        <v>11</v>
      </c>
      <c r="C132" s="5" t="s">
        <v>43</v>
      </c>
      <c r="D132" s="5" t="s">
        <v>18</v>
      </c>
      <c r="E132" s="5" t="s">
        <v>19</v>
      </c>
      <c r="F132" s="5">
        <v>9</v>
      </c>
      <c r="G132" s="5">
        <v>4895</v>
      </c>
      <c r="H132" s="5">
        <v>2</v>
      </c>
      <c r="I132" s="6">
        <v>46082</v>
      </c>
      <c r="J132" s="6">
        <v>46084</v>
      </c>
      <c r="K132" s="10" t="s">
        <v>29</v>
      </c>
      <c r="L132" s="16">
        <f t="shared" si="2"/>
        <v>881.1</v>
      </c>
    </row>
    <row r="133" spans="1:12" ht="15" thickBot="1" x14ac:dyDescent="0.4">
      <c r="A133" s="5">
        <v>1284</v>
      </c>
      <c r="B133" s="5" t="s">
        <v>40</v>
      </c>
      <c r="C133" s="5" t="s">
        <v>25</v>
      </c>
      <c r="D133" s="5" t="s">
        <v>13</v>
      </c>
      <c r="E133" s="5" t="s">
        <v>37</v>
      </c>
      <c r="F133" s="5">
        <v>16</v>
      </c>
      <c r="G133" s="5">
        <v>419</v>
      </c>
      <c r="H133" s="5">
        <v>2</v>
      </c>
      <c r="I133" s="6">
        <v>46082</v>
      </c>
      <c r="J133" s="6">
        <v>46090</v>
      </c>
      <c r="K133" s="10" t="s">
        <v>15</v>
      </c>
      <c r="L133" s="16">
        <f t="shared" si="2"/>
        <v>134.08000000000001</v>
      </c>
    </row>
    <row r="134" spans="1:12" ht="15" thickBot="1" x14ac:dyDescent="0.4">
      <c r="A134" s="5">
        <v>1017</v>
      </c>
      <c r="B134" s="5" t="s">
        <v>46</v>
      </c>
      <c r="C134" s="5" t="s">
        <v>38</v>
      </c>
      <c r="D134" s="5" t="s">
        <v>13</v>
      </c>
      <c r="E134" s="5" t="s">
        <v>36</v>
      </c>
      <c r="F134" s="5">
        <v>8</v>
      </c>
      <c r="G134" s="5">
        <v>179</v>
      </c>
      <c r="H134" s="5">
        <v>15</v>
      </c>
      <c r="I134" s="6">
        <v>46082</v>
      </c>
      <c r="J134" s="6">
        <v>46084</v>
      </c>
      <c r="K134" s="10" t="s">
        <v>15</v>
      </c>
      <c r="L134" s="16">
        <f t="shared" si="2"/>
        <v>214.8</v>
      </c>
    </row>
    <row r="135" spans="1:12" ht="15" thickBot="1" x14ac:dyDescent="0.4">
      <c r="A135" s="5">
        <v>1271</v>
      </c>
      <c r="B135" s="5" t="s">
        <v>40</v>
      </c>
      <c r="C135" s="5" t="s">
        <v>33</v>
      </c>
      <c r="D135" s="5" t="s">
        <v>34</v>
      </c>
      <c r="E135" s="5" t="s">
        <v>60</v>
      </c>
      <c r="F135" s="5">
        <v>20</v>
      </c>
      <c r="G135" s="5">
        <v>36941</v>
      </c>
      <c r="H135" s="5">
        <v>15</v>
      </c>
      <c r="I135" s="6">
        <v>46083</v>
      </c>
      <c r="J135" s="6">
        <v>46085</v>
      </c>
      <c r="K135" s="10" t="s">
        <v>29</v>
      </c>
      <c r="L135" s="16">
        <f t="shared" si="2"/>
        <v>110823</v>
      </c>
    </row>
    <row r="136" spans="1:12" ht="15" thickBot="1" x14ac:dyDescent="0.4">
      <c r="A136" s="5">
        <v>1298</v>
      </c>
      <c r="B136" s="5" t="s">
        <v>21</v>
      </c>
      <c r="C136" s="5" t="s">
        <v>12</v>
      </c>
      <c r="D136" s="5" t="s">
        <v>34</v>
      </c>
      <c r="E136" s="5" t="s">
        <v>61</v>
      </c>
      <c r="F136" s="5">
        <v>19</v>
      </c>
      <c r="G136" s="5">
        <v>20745</v>
      </c>
      <c r="H136" s="5">
        <v>2</v>
      </c>
      <c r="I136" s="6">
        <v>46083</v>
      </c>
      <c r="J136" s="6">
        <v>46093</v>
      </c>
      <c r="K136" s="10" t="s">
        <v>24</v>
      </c>
      <c r="L136" s="16">
        <f t="shared" si="2"/>
        <v>7883.1</v>
      </c>
    </row>
    <row r="137" spans="1:12" ht="15" thickBot="1" x14ac:dyDescent="0.4">
      <c r="A137" s="5">
        <v>1078</v>
      </c>
      <c r="B137" s="5" t="s">
        <v>52</v>
      </c>
      <c r="C137" s="5" t="s">
        <v>17</v>
      </c>
      <c r="D137" s="5" t="s">
        <v>34</v>
      </c>
      <c r="E137" s="5" t="s">
        <v>39</v>
      </c>
      <c r="F137" s="5">
        <v>11</v>
      </c>
      <c r="G137" s="5">
        <v>24278</v>
      </c>
      <c r="H137" s="5">
        <v>12</v>
      </c>
      <c r="I137" s="6">
        <v>46084</v>
      </c>
      <c r="J137" s="6">
        <v>46090</v>
      </c>
      <c r="K137" s="10" t="s">
        <v>29</v>
      </c>
      <c r="L137" s="16">
        <f t="shared" si="2"/>
        <v>32046.959999999999</v>
      </c>
    </row>
    <row r="138" spans="1:12" ht="15" thickBot="1" x14ac:dyDescent="0.4">
      <c r="A138" s="5">
        <v>1138</v>
      </c>
      <c r="B138" s="5" t="s">
        <v>55</v>
      </c>
      <c r="C138" s="5" t="s">
        <v>43</v>
      </c>
      <c r="D138" s="5" t="s">
        <v>18</v>
      </c>
      <c r="E138" s="5" t="s">
        <v>19</v>
      </c>
      <c r="F138" s="5">
        <v>5</v>
      </c>
      <c r="G138" s="5">
        <v>14466</v>
      </c>
      <c r="H138" s="5">
        <v>2</v>
      </c>
      <c r="I138" s="6">
        <v>46084</v>
      </c>
      <c r="J138" s="6">
        <v>46092</v>
      </c>
      <c r="K138" s="10" t="s">
        <v>51</v>
      </c>
      <c r="L138" s="16">
        <f t="shared" si="2"/>
        <v>1446.6</v>
      </c>
    </row>
    <row r="139" spans="1:12" ht="15" thickBot="1" x14ac:dyDescent="0.4">
      <c r="A139" s="5">
        <v>1280</v>
      </c>
      <c r="B139" s="5" t="s">
        <v>59</v>
      </c>
      <c r="C139" s="5" t="s">
        <v>38</v>
      </c>
      <c r="D139" s="5" t="s">
        <v>13</v>
      </c>
      <c r="E139" s="5" t="s">
        <v>53</v>
      </c>
      <c r="F139" s="5">
        <v>9</v>
      </c>
      <c r="G139" s="5">
        <v>50</v>
      </c>
      <c r="H139" s="5">
        <v>7</v>
      </c>
      <c r="I139" s="6">
        <v>46085</v>
      </c>
      <c r="J139" s="6">
        <v>46095</v>
      </c>
      <c r="K139" s="10" t="s">
        <v>51</v>
      </c>
      <c r="L139" s="16">
        <f t="shared" si="2"/>
        <v>31.5</v>
      </c>
    </row>
    <row r="140" spans="1:12" ht="15" thickBot="1" x14ac:dyDescent="0.4">
      <c r="A140" s="5">
        <v>1012</v>
      </c>
      <c r="B140" s="5" t="s">
        <v>26</v>
      </c>
      <c r="C140" s="5" t="s">
        <v>38</v>
      </c>
      <c r="D140" s="5" t="s">
        <v>34</v>
      </c>
      <c r="E140" s="5" t="s">
        <v>39</v>
      </c>
      <c r="F140" s="5">
        <v>3</v>
      </c>
      <c r="G140" s="5">
        <v>64615</v>
      </c>
      <c r="H140" s="5">
        <v>10</v>
      </c>
      <c r="I140" s="6">
        <v>46086</v>
      </c>
      <c r="J140" s="6">
        <v>46095</v>
      </c>
      <c r="K140" s="10" t="s">
        <v>29</v>
      </c>
      <c r="L140" s="16">
        <f t="shared" si="2"/>
        <v>19384.5</v>
      </c>
    </row>
    <row r="141" spans="1:12" ht="15" thickBot="1" x14ac:dyDescent="0.4">
      <c r="A141" s="5">
        <v>1336</v>
      </c>
      <c r="B141" s="5" t="s">
        <v>16</v>
      </c>
      <c r="C141" s="5" t="s">
        <v>25</v>
      </c>
      <c r="D141" s="5" t="s">
        <v>18</v>
      </c>
      <c r="E141" s="5" t="s">
        <v>56</v>
      </c>
      <c r="F141" s="5">
        <v>10</v>
      </c>
      <c r="G141" s="5">
        <v>5624</v>
      </c>
      <c r="H141" s="5">
        <v>0</v>
      </c>
      <c r="I141" s="6">
        <v>46086</v>
      </c>
      <c r="J141" s="6">
        <v>46092</v>
      </c>
      <c r="K141" s="10" t="s">
        <v>29</v>
      </c>
      <c r="L141" s="16">
        <f t="shared" si="2"/>
        <v>0</v>
      </c>
    </row>
    <row r="142" spans="1:12" ht="15" thickBot="1" x14ac:dyDescent="0.4">
      <c r="A142" s="5">
        <v>1277</v>
      </c>
      <c r="B142" s="5" t="s">
        <v>59</v>
      </c>
      <c r="C142" s="5" t="s">
        <v>17</v>
      </c>
      <c r="D142" s="5" t="s">
        <v>13</v>
      </c>
      <c r="E142" s="5" t="s">
        <v>36</v>
      </c>
      <c r="F142" s="5">
        <v>14</v>
      </c>
      <c r="G142" s="5">
        <v>276</v>
      </c>
      <c r="H142" s="5">
        <v>0</v>
      </c>
      <c r="I142" s="6">
        <v>46086</v>
      </c>
      <c r="J142" s="6">
        <v>46089</v>
      </c>
      <c r="K142" s="10" t="s">
        <v>15</v>
      </c>
      <c r="L142" s="16">
        <f t="shared" si="2"/>
        <v>0</v>
      </c>
    </row>
    <row r="143" spans="1:12" ht="15" thickBot="1" x14ac:dyDescent="0.4">
      <c r="A143" s="5">
        <v>1090</v>
      </c>
      <c r="B143" s="5" t="s">
        <v>49</v>
      </c>
      <c r="C143" s="5" t="s">
        <v>31</v>
      </c>
      <c r="D143" s="5" t="s">
        <v>34</v>
      </c>
      <c r="E143" s="5" t="s">
        <v>45</v>
      </c>
      <c r="F143" s="5">
        <v>19</v>
      </c>
      <c r="G143" s="5">
        <v>66139</v>
      </c>
      <c r="H143" s="5">
        <v>5</v>
      </c>
      <c r="I143" s="6">
        <v>46088</v>
      </c>
      <c r="J143" s="6">
        <v>46095</v>
      </c>
      <c r="K143" s="10" t="s">
        <v>24</v>
      </c>
      <c r="L143" s="16">
        <f t="shared" si="2"/>
        <v>62832.05</v>
      </c>
    </row>
    <row r="144" spans="1:12" ht="15" thickBot="1" x14ac:dyDescent="0.4">
      <c r="A144" s="5">
        <v>1175</v>
      </c>
      <c r="B144" s="5" t="s">
        <v>26</v>
      </c>
      <c r="C144" s="5" t="s">
        <v>17</v>
      </c>
      <c r="D144" s="5" t="s">
        <v>34</v>
      </c>
      <c r="E144" s="5" t="s">
        <v>41</v>
      </c>
      <c r="F144" s="5">
        <v>10</v>
      </c>
      <c r="G144" s="5">
        <v>20339</v>
      </c>
      <c r="H144" s="5">
        <v>2</v>
      </c>
      <c r="I144" s="6">
        <v>46088</v>
      </c>
      <c r="J144" s="6">
        <v>46094</v>
      </c>
      <c r="K144" s="10" t="s">
        <v>20</v>
      </c>
      <c r="L144" s="16">
        <f t="shared" si="2"/>
        <v>4067.8</v>
      </c>
    </row>
    <row r="145" spans="1:12" ht="15" thickBot="1" x14ac:dyDescent="0.4">
      <c r="A145" s="5">
        <v>1097</v>
      </c>
      <c r="B145" s="5" t="s">
        <v>52</v>
      </c>
      <c r="C145" s="5" t="s">
        <v>22</v>
      </c>
      <c r="D145" s="5" t="s">
        <v>34</v>
      </c>
      <c r="E145" s="5" t="s">
        <v>61</v>
      </c>
      <c r="F145" s="5">
        <v>10</v>
      </c>
      <c r="G145" s="5">
        <v>28980</v>
      </c>
      <c r="H145" s="5">
        <v>10</v>
      </c>
      <c r="I145" s="6">
        <v>46089</v>
      </c>
      <c r="J145" s="6">
        <v>46094</v>
      </c>
      <c r="K145" s="10" t="s">
        <v>24</v>
      </c>
      <c r="L145" s="16">
        <f t="shared" si="2"/>
        <v>28980</v>
      </c>
    </row>
    <row r="146" spans="1:12" ht="15" thickBot="1" x14ac:dyDescent="0.4">
      <c r="A146" s="5">
        <v>1381</v>
      </c>
      <c r="B146" s="5" t="s">
        <v>55</v>
      </c>
      <c r="C146" s="5" t="s">
        <v>33</v>
      </c>
      <c r="D146" s="5" t="s">
        <v>18</v>
      </c>
      <c r="E146" s="5" t="s">
        <v>28</v>
      </c>
      <c r="F146" s="5">
        <v>5</v>
      </c>
      <c r="G146" s="5">
        <v>7484</v>
      </c>
      <c r="H146" s="5">
        <v>2</v>
      </c>
      <c r="I146" s="6">
        <v>46089</v>
      </c>
      <c r="J146" s="6">
        <v>46093</v>
      </c>
      <c r="K146" s="10" t="s">
        <v>20</v>
      </c>
      <c r="L146" s="16">
        <f t="shared" si="2"/>
        <v>748.4</v>
      </c>
    </row>
    <row r="147" spans="1:12" ht="15" thickBot="1" x14ac:dyDescent="0.4">
      <c r="A147" s="5">
        <v>1018</v>
      </c>
      <c r="B147" s="5" t="s">
        <v>47</v>
      </c>
      <c r="C147" s="5" t="s">
        <v>25</v>
      </c>
      <c r="D147" s="5" t="s">
        <v>13</v>
      </c>
      <c r="E147" s="5" t="s">
        <v>14</v>
      </c>
      <c r="F147" s="5">
        <v>20</v>
      </c>
      <c r="G147" s="5">
        <v>301</v>
      </c>
      <c r="H147" s="5">
        <v>0</v>
      </c>
      <c r="I147" s="6">
        <v>46089</v>
      </c>
      <c r="J147" s="6">
        <v>46094</v>
      </c>
      <c r="K147" s="10" t="s">
        <v>29</v>
      </c>
      <c r="L147" s="16">
        <f t="shared" si="2"/>
        <v>0</v>
      </c>
    </row>
    <row r="148" spans="1:12" ht="15" thickBot="1" x14ac:dyDescent="0.4">
      <c r="A148" s="5">
        <v>1031</v>
      </c>
      <c r="B148" s="5" t="s">
        <v>54</v>
      </c>
      <c r="C148" s="5" t="s">
        <v>31</v>
      </c>
      <c r="D148" s="5" t="s">
        <v>13</v>
      </c>
      <c r="E148" s="5" t="s">
        <v>53</v>
      </c>
      <c r="F148" s="5">
        <v>2</v>
      </c>
      <c r="G148" s="5">
        <v>184</v>
      </c>
      <c r="H148" s="5">
        <v>5</v>
      </c>
      <c r="I148" s="6">
        <v>46089</v>
      </c>
      <c r="J148" s="6">
        <v>46093</v>
      </c>
      <c r="K148" s="10" t="s">
        <v>20</v>
      </c>
      <c r="L148" s="16">
        <f t="shared" si="2"/>
        <v>18.399999999999999</v>
      </c>
    </row>
    <row r="149" spans="1:12" ht="15" thickBot="1" x14ac:dyDescent="0.4">
      <c r="A149" s="5">
        <v>1399</v>
      </c>
      <c r="B149" s="5" t="s">
        <v>48</v>
      </c>
      <c r="C149" s="5" t="s">
        <v>31</v>
      </c>
      <c r="D149" s="5" t="s">
        <v>13</v>
      </c>
      <c r="E149" s="5" t="s">
        <v>14</v>
      </c>
      <c r="F149" s="5">
        <v>15</v>
      </c>
      <c r="G149" s="5">
        <v>87</v>
      </c>
      <c r="H149" s="5">
        <v>15</v>
      </c>
      <c r="I149" s="6">
        <v>46089</v>
      </c>
      <c r="J149" s="6">
        <v>46093</v>
      </c>
      <c r="K149" s="10" t="s">
        <v>20</v>
      </c>
      <c r="L149" s="16">
        <f t="shared" si="2"/>
        <v>195.75</v>
      </c>
    </row>
    <row r="150" spans="1:12" ht="15" thickBot="1" x14ac:dyDescent="0.4">
      <c r="A150" s="5">
        <v>1192</v>
      </c>
      <c r="B150" s="5" t="s">
        <v>21</v>
      </c>
      <c r="C150" s="5" t="s">
        <v>33</v>
      </c>
      <c r="D150" s="5" t="s">
        <v>13</v>
      </c>
      <c r="E150" s="5" t="s">
        <v>53</v>
      </c>
      <c r="F150" s="5">
        <v>18</v>
      </c>
      <c r="G150" s="5">
        <v>49</v>
      </c>
      <c r="H150" s="5">
        <v>12</v>
      </c>
      <c r="I150" s="6">
        <v>46089</v>
      </c>
      <c r="J150" s="6">
        <v>46095</v>
      </c>
      <c r="K150" s="10" t="s">
        <v>24</v>
      </c>
      <c r="L150" s="16">
        <f t="shared" si="2"/>
        <v>105.84</v>
      </c>
    </row>
    <row r="151" spans="1:12" ht="15" thickBot="1" x14ac:dyDescent="0.4">
      <c r="A151" s="5">
        <v>1400</v>
      </c>
      <c r="B151" s="5" t="s">
        <v>40</v>
      </c>
      <c r="C151" s="5" t="s">
        <v>22</v>
      </c>
      <c r="D151" s="5" t="s">
        <v>34</v>
      </c>
      <c r="E151" s="5" t="s">
        <v>35</v>
      </c>
      <c r="F151" s="5">
        <v>13</v>
      </c>
      <c r="G151" s="5">
        <v>52411</v>
      </c>
      <c r="H151" s="5">
        <v>15</v>
      </c>
      <c r="I151" s="6">
        <v>46090</v>
      </c>
      <c r="J151" s="6">
        <v>46092</v>
      </c>
      <c r="K151" s="10" t="s">
        <v>20</v>
      </c>
      <c r="L151" s="16">
        <f t="shared" si="2"/>
        <v>102201.45</v>
      </c>
    </row>
    <row r="152" spans="1:12" ht="15" thickBot="1" x14ac:dyDescent="0.4">
      <c r="A152" s="5">
        <v>1112</v>
      </c>
      <c r="B152" s="5" t="s">
        <v>21</v>
      </c>
      <c r="C152" s="5" t="s">
        <v>43</v>
      </c>
      <c r="D152" s="5" t="s">
        <v>18</v>
      </c>
      <c r="E152" s="5" t="s">
        <v>44</v>
      </c>
      <c r="F152" s="5">
        <v>7</v>
      </c>
      <c r="G152" s="5">
        <v>1959</v>
      </c>
      <c r="H152" s="5">
        <v>15</v>
      </c>
      <c r="I152" s="6">
        <v>46090</v>
      </c>
      <c r="J152" s="6">
        <v>46100</v>
      </c>
      <c r="K152" s="10" t="s">
        <v>15</v>
      </c>
      <c r="L152" s="16">
        <f t="shared" si="2"/>
        <v>2056.9499999999998</v>
      </c>
    </row>
    <row r="153" spans="1:12" ht="15" thickBot="1" x14ac:dyDescent="0.4">
      <c r="A153" s="5">
        <v>1043</v>
      </c>
      <c r="B153" s="5" t="s">
        <v>49</v>
      </c>
      <c r="C153" s="5" t="s">
        <v>38</v>
      </c>
      <c r="D153" s="5" t="s">
        <v>34</v>
      </c>
      <c r="E153" s="5" t="s">
        <v>35</v>
      </c>
      <c r="F153" s="5">
        <v>20</v>
      </c>
      <c r="G153" s="5">
        <v>46093</v>
      </c>
      <c r="H153" s="5">
        <v>5</v>
      </c>
      <c r="I153" s="6">
        <v>46091</v>
      </c>
      <c r="J153" s="6">
        <v>46098</v>
      </c>
      <c r="K153" s="10" t="s">
        <v>29</v>
      </c>
      <c r="L153" s="16">
        <f t="shared" si="2"/>
        <v>46093</v>
      </c>
    </row>
    <row r="154" spans="1:12" ht="15" thickBot="1" x14ac:dyDescent="0.4">
      <c r="A154" s="5">
        <v>1255</v>
      </c>
      <c r="B154" s="5" t="s">
        <v>32</v>
      </c>
      <c r="C154" s="5" t="s">
        <v>17</v>
      </c>
      <c r="D154" s="5" t="s">
        <v>18</v>
      </c>
      <c r="E154" s="5" t="s">
        <v>19</v>
      </c>
      <c r="F154" s="5">
        <v>1</v>
      </c>
      <c r="G154" s="5">
        <v>2240</v>
      </c>
      <c r="H154" s="5">
        <v>5</v>
      </c>
      <c r="I154" s="6">
        <v>46091</v>
      </c>
      <c r="J154" s="6">
        <v>46095</v>
      </c>
      <c r="K154" s="10" t="s">
        <v>20</v>
      </c>
      <c r="L154" s="16">
        <f t="shared" si="2"/>
        <v>112</v>
      </c>
    </row>
    <row r="155" spans="1:12" ht="15" thickBot="1" x14ac:dyDescent="0.4">
      <c r="A155" s="5">
        <v>1106</v>
      </c>
      <c r="B155" s="5" t="s">
        <v>27</v>
      </c>
      <c r="C155" s="5" t="s">
        <v>43</v>
      </c>
      <c r="D155" s="5" t="s">
        <v>18</v>
      </c>
      <c r="E155" s="5" t="s">
        <v>23</v>
      </c>
      <c r="F155" s="5">
        <v>20</v>
      </c>
      <c r="G155" s="5">
        <v>2141</v>
      </c>
      <c r="H155" s="5">
        <v>2</v>
      </c>
      <c r="I155" s="6">
        <v>46091</v>
      </c>
      <c r="J155" s="6">
        <v>46097</v>
      </c>
      <c r="K155" s="10" t="s">
        <v>29</v>
      </c>
      <c r="L155" s="16">
        <f t="shared" si="2"/>
        <v>856.4</v>
      </c>
    </row>
    <row r="156" spans="1:12" ht="15" thickBot="1" x14ac:dyDescent="0.4">
      <c r="A156" s="5">
        <v>1275</v>
      </c>
      <c r="B156" s="5" t="s">
        <v>16</v>
      </c>
      <c r="C156" s="5" t="s">
        <v>31</v>
      </c>
      <c r="D156" s="5" t="s">
        <v>13</v>
      </c>
      <c r="E156" s="5" t="s">
        <v>50</v>
      </c>
      <c r="F156" s="5">
        <v>20</v>
      </c>
      <c r="G156" s="5">
        <v>451</v>
      </c>
      <c r="H156" s="5">
        <v>15</v>
      </c>
      <c r="I156" s="6">
        <v>46092</v>
      </c>
      <c r="J156" s="6">
        <v>46094</v>
      </c>
      <c r="K156" s="10" t="s">
        <v>20</v>
      </c>
      <c r="L156" s="16">
        <f t="shared" si="2"/>
        <v>1353</v>
      </c>
    </row>
    <row r="157" spans="1:12" ht="15" thickBot="1" x14ac:dyDescent="0.4">
      <c r="A157" s="5">
        <v>1166</v>
      </c>
      <c r="B157" s="5" t="s">
        <v>32</v>
      </c>
      <c r="C157" s="5" t="s">
        <v>31</v>
      </c>
      <c r="D157" s="5" t="s">
        <v>13</v>
      </c>
      <c r="E157" s="5" t="s">
        <v>37</v>
      </c>
      <c r="F157" s="5">
        <v>1</v>
      </c>
      <c r="G157" s="5">
        <v>396</v>
      </c>
      <c r="H157" s="5">
        <v>5</v>
      </c>
      <c r="I157" s="6">
        <v>46092</v>
      </c>
      <c r="J157" s="6">
        <v>46093</v>
      </c>
      <c r="K157" s="10" t="s">
        <v>20</v>
      </c>
      <c r="L157" s="16">
        <f t="shared" si="2"/>
        <v>19.8</v>
      </c>
    </row>
    <row r="158" spans="1:12" ht="15" thickBot="1" x14ac:dyDescent="0.4">
      <c r="A158" s="5">
        <v>1139</v>
      </c>
      <c r="B158" s="5" t="s">
        <v>55</v>
      </c>
      <c r="C158" s="5" t="s">
        <v>33</v>
      </c>
      <c r="D158" s="5" t="s">
        <v>34</v>
      </c>
      <c r="E158" s="5" t="s">
        <v>61</v>
      </c>
      <c r="F158" s="5">
        <v>17</v>
      </c>
      <c r="G158" s="5">
        <v>28839</v>
      </c>
      <c r="H158" s="5">
        <v>10</v>
      </c>
      <c r="I158" s="6">
        <v>46093</v>
      </c>
      <c r="J158" s="6">
        <v>46099</v>
      </c>
      <c r="K158" s="10" t="s">
        <v>15</v>
      </c>
      <c r="L158" s="16">
        <f t="shared" si="2"/>
        <v>49026.3</v>
      </c>
    </row>
    <row r="159" spans="1:12" ht="15" thickBot="1" x14ac:dyDescent="0.4">
      <c r="A159" s="5">
        <v>1155</v>
      </c>
      <c r="B159" s="5" t="s">
        <v>11</v>
      </c>
      <c r="C159" s="5" t="s">
        <v>31</v>
      </c>
      <c r="D159" s="5" t="s">
        <v>18</v>
      </c>
      <c r="E159" s="5" t="s">
        <v>28</v>
      </c>
      <c r="F159" s="5">
        <v>13</v>
      </c>
      <c r="G159" s="5">
        <v>4341</v>
      </c>
      <c r="H159" s="5">
        <v>15</v>
      </c>
      <c r="I159" s="6">
        <v>46093</v>
      </c>
      <c r="J159" s="6">
        <v>46096</v>
      </c>
      <c r="K159" s="10" t="s">
        <v>24</v>
      </c>
      <c r="L159" s="16">
        <f t="shared" si="2"/>
        <v>8464.9500000000007</v>
      </c>
    </row>
    <row r="160" spans="1:12" ht="15" thickBot="1" x14ac:dyDescent="0.4">
      <c r="A160" s="5">
        <v>1319</v>
      </c>
      <c r="B160" s="5" t="s">
        <v>21</v>
      </c>
      <c r="C160" s="5" t="s">
        <v>17</v>
      </c>
      <c r="D160" s="5" t="s">
        <v>34</v>
      </c>
      <c r="E160" s="5" t="s">
        <v>61</v>
      </c>
      <c r="F160" s="5">
        <v>17</v>
      </c>
      <c r="G160" s="5">
        <v>58407</v>
      </c>
      <c r="H160" s="5">
        <v>7</v>
      </c>
      <c r="I160" s="6">
        <v>46094</v>
      </c>
      <c r="J160" s="6">
        <v>46102</v>
      </c>
      <c r="K160" s="10" t="s">
        <v>15</v>
      </c>
      <c r="L160" s="16">
        <f t="shared" si="2"/>
        <v>69504.33</v>
      </c>
    </row>
    <row r="161" spans="1:12" ht="15" thickBot="1" x14ac:dyDescent="0.4">
      <c r="A161" s="5">
        <v>1388</v>
      </c>
      <c r="B161" s="5" t="s">
        <v>55</v>
      </c>
      <c r="C161" s="5" t="s">
        <v>31</v>
      </c>
      <c r="D161" s="5" t="s">
        <v>18</v>
      </c>
      <c r="E161" s="5" t="s">
        <v>28</v>
      </c>
      <c r="F161" s="5">
        <v>12</v>
      </c>
      <c r="G161" s="5">
        <v>11662</v>
      </c>
      <c r="H161" s="5">
        <v>12</v>
      </c>
      <c r="I161" s="6">
        <v>46094</v>
      </c>
      <c r="J161" s="6">
        <v>46096</v>
      </c>
      <c r="K161" s="10" t="s">
        <v>20</v>
      </c>
      <c r="L161" s="16">
        <f t="shared" si="2"/>
        <v>16793.28</v>
      </c>
    </row>
    <row r="162" spans="1:12" ht="15" thickBot="1" x14ac:dyDescent="0.4">
      <c r="A162" s="5">
        <v>1362</v>
      </c>
      <c r="B162" s="5" t="s">
        <v>16</v>
      </c>
      <c r="C162" s="5" t="s">
        <v>12</v>
      </c>
      <c r="D162" s="5" t="s">
        <v>18</v>
      </c>
      <c r="E162" s="5" t="s">
        <v>28</v>
      </c>
      <c r="F162" s="5">
        <v>1</v>
      </c>
      <c r="G162" s="5">
        <v>10474</v>
      </c>
      <c r="H162" s="5">
        <v>0</v>
      </c>
      <c r="I162" s="6">
        <v>46094</v>
      </c>
      <c r="J162" s="6">
        <v>46096</v>
      </c>
      <c r="K162" s="10" t="s">
        <v>29</v>
      </c>
      <c r="L162" s="16">
        <f t="shared" si="2"/>
        <v>0</v>
      </c>
    </row>
    <row r="163" spans="1:12" ht="15" thickBot="1" x14ac:dyDescent="0.4">
      <c r="A163" s="5">
        <v>1345</v>
      </c>
      <c r="B163" s="5" t="s">
        <v>32</v>
      </c>
      <c r="C163" s="5" t="s">
        <v>12</v>
      </c>
      <c r="D163" s="5" t="s">
        <v>34</v>
      </c>
      <c r="E163" s="5" t="s">
        <v>45</v>
      </c>
      <c r="F163" s="5">
        <v>12</v>
      </c>
      <c r="G163" s="5">
        <v>50544</v>
      </c>
      <c r="H163" s="5">
        <v>10</v>
      </c>
      <c r="I163" s="6">
        <v>46095</v>
      </c>
      <c r="J163" s="6">
        <v>46097</v>
      </c>
      <c r="K163" s="10" t="s">
        <v>29</v>
      </c>
      <c r="L163" s="16">
        <f t="shared" si="2"/>
        <v>60652.800000000003</v>
      </c>
    </row>
    <row r="164" spans="1:12" ht="15" thickBot="1" x14ac:dyDescent="0.4">
      <c r="A164" s="5">
        <v>1013</v>
      </c>
      <c r="B164" s="5" t="s">
        <v>16</v>
      </c>
      <c r="C164" s="5" t="s">
        <v>31</v>
      </c>
      <c r="D164" s="5" t="s">
        <v>13</v>
      </c>
      <c r="E164" s="5" t="s">
        <v>36</v>
      </c>
      <c r="F164" s="5">
        <v>17</v>
      </c>
      <c r="G164" s="5">
        <v>459</v>
      </c>
      <c r="H164" s="5">
        <v>12</v>
      </c>
      <c r="I164" s="6">
        <v>46095</v>
      </c>
      <c r="J164" s="6">
        <v>46105</v>
      </c>
      <c r="K164" s="10" t="s">
        <v>29</v>
      </c>
      <c r="L164" s="16">
        <f t="shared" si="2"/>
        <v>936.36</v>
      </c>
    </row>
    <row r="165" spans="1:12" ht="15" thickBot="1" x14ac:dyDescent="0.4">
      <c r="A165" s="5">
        <v>1359</v>
      </c>
      <c r="B165" s="5" t="s">
        <v>54</v>
      </c>
      <c r="C165" s="5" t="s">
        <v>12</v>
      </c>
      <c r="D165" s="5" t="s">
        <v>34</v>
      </c>
      <c r="E165" s="5" t="s">
        <v>61</v>
      </c>
      <c r="F165" s="5">
        <v>9</v>
      </c>
      <c r="G165" s="5">
        <v>38179</v>
      </c>
      <c r="H165" s="5">
        <v>0</v>
      </c>
      <c r="I165" s="6">
        <v>46096</v>
      </c>
      <c r="J165" s="6">
        <v>46099</v>
      </c>
      <c r="K165" s="10" t="s">
        <v>15</v>
      </c>
      <c r="L165" s="16">
        <f t="shared" si="2"/>
        <v>0</v>
      </c>
    </row>
    <row r="166" spans="1:12" ht="15" thickBot="1" x14ac:dyDescent="0.4">
      <c r="A166" s="5">
        <v>1266</v>
      </c>
      <c r="B166" s="5" t="s">
        <v>29</v>
      </c>
      <c r="C166" s="5" t="s">
        <v>33</v>
      </c>
      <c r="D166" s="5" t="s">
        <v>13</v>
      </c>
      <c r="E166" s="5" t="s">
        <v>14</v>
      </c>
      <c r="F166" s="5">
        <v>17</v>
      </c>
      <c r="G166" s="5">
        <v>365</v>
      </c>
      <c r="H166" s="5">
        <v>2</v>
      </c>
      <c r="I166" s="6">
        <v>46096</v>
      </c>
      <c r="J166" s="6">
        <v>46104</v>
      </c>
      <c r="K166" s="10" t="s">
        <v>51</v>
      </c>
      <c r="L166" s="16">
        <f t="shared" si="2"/>
        <v>124.1</v>
      </c>
    </row>
    <row r="167" spans="1:12" ht="15" thickBot="1" x14ac:dyDescent="0.4">
      <c r="A167" s="5">
        <v>1238</v>
      </c>
      <c r="B167" s="5" t="s">
        <v>30</v>
      </c>
      <c r="C167" s="5" t="s">
        <v>31</v>
      </c>
      <c r="D167" s="5" t="s">
        <v>13</v>
      </c>
      <c r="E167" s="5" t="s">
        <v>14</v>
      </c>
      <c r="F167" s="5">
        <v>6</v>
      </c>
      <c r="G167" s="5">
        <v>180</v>
      </c>
      <c r="H167" s="5">
        <v>12</v>
      </c>
      <c r="I167" s="6">
        <v>46096</v>
      </c>
      <c r="J167" s="6">
        <v>46097</v>
      </c>
      <c r="K167" s="10" t="s">
        <v>51</v>
      </c>
      <c r="L167" s="16">
        <f t="shared" si="2"/>
        <v>129.6</v>
      </c>
    </row>
    <row r="168" spans="1:12" ht="15" thickBot="1" x14ac:dyDescent="0.4">
      <c r="A168" s="5">
        <v>1276</v>
      </c>
      <c r="B168" s="5" t="s">
        <v>40</v>
      </c>
      <c r="C168" s="5" t="s">
        <v>12</v>
      </c>
      <c r="D168" s="5" t="s">
        <v>18</v>
      </c>
      <c r="E168" s="5" t="s">
        <v>19</v>
      </c>
      <c r="F168" s="5">
        <v>1</v>
      </c>
      <c r="G168" s="5">
        <v>13437</v>
      </c>
      <c r="H168" s="5">
        <v>15</v>
      </c>
      <c r="I168" s="6">
        <v>46097</v>
      </c>
      <c r="J168" s="6">
        <v>46099</v>
      </c>
      <c r="K168" s="10" t="s">
        <v>24</v>
      </c>
      <c r="L168" s="16">
        <f t="shared" si="2"/>
        <v>2015.55</v>
      </c>
    </row>
    <row r="169" spans="1:12" ht="15" thickBot="1" x14ac:dyDescent="0.4">
      <c r="A169" s="5">
        <v>1030</v>
      </c>
      <c r="B169" s="5" t="s">
        <v>52</v>
      </c>
      <c r="C169" s="5" t="s">
        <v>12</v>
      </c>
      <c r="D169" s="5" t="s">
        <v>13</v>
      </c>
      <c r="E169" s="5" t="s">
        <v>53</v>
      </c>
      <c r="F169" s="5">
        <v>13</v>
      </c>
      <c r="G169" s="5">
        <v>336</v>
      </c>
      <c r="H169" s="5">
        <v>10</v>
      </c>
      <c r="I169" s="6">
        <v>46098</v>
      </c>
      <c r="J169" s="6">
        <v>46108</v>
      </c>
      <c r="K169" s="10" t="s">
        <v>15</v>
      </c>
      <c r="L169" s="16">
        <f t="shared" si="2"/>
        <v>436.8</v>
      </c>
    </row>
    <row r="170" spans="1:12" ht="15" thickBot="1" x14ac:dyDescent="0.4">
      <c r="A170" s="5">
        <v>1391</v>
      </c>
      <c r="B170" s="5" t="s">
        <v>30</v>
      </c>
      <c r="C170" s="5" t="s">
        <v>31</v>
      </c>
      <c r="D170" s="5" t="s">
        <v>34</v>
      </c>
      <c r="E170" s="5" t="s">
        <v>35</v>
      </c>
      <c r="F170" s="5">
        <v>5</v>
      </c>
      <c r="G170" s="5">
        <v>65270</v>
      </c>
      <c r="H170" s="5">
        <v>5</v>
      </c>
      <c r="I170" s="6">
        <v>46100</v>
      </c>
      <c r="J170" s="6">
        <v>46103</v>
      </c>
      <c r="K170" s="10" t="s">
        <v>24</v>
      </c>
      <c r="L170" s="16">
        <f t="shared" si="2"/>
        <v>16317.5</v>
      </c>
    </row>
    <row r="171" spans="1:12" ht="15" thickBot="1" x14ac:dyDescent="0.4">
      <c r="A171" s="5">
        <v>1162</v>
      </c>
      <c r="B171" s="5" t="s">
        <v>57</v>
      </c>
      <c r="C171" s="5" t="s">
        <v>31</v>
      </c>
      <c r="D171" s="5" t="s">
        <v>34</v>
      </c>
      <c r="E171" s="5" t="s">
        <v>45</v>
      </c>
      <c r="F171" s="5">
        <v>2</v>
      </c>
      <c r="G171" s="5">
        <v>28176</v>
      </c>
      <c r="H171" s="5">
        <v>10</v>
      </c>
      <c r="I171" s="6">
        <v>46100</v>
      </c>
      <c r="J171" s="6">
        <v>46101</v>
      </c>
      <c r="K171" s="10" t="s">
        <v>20</v>
      </c>
      <c r="L171" s="16">
        <f t="shared" si="2"/>
        <v>5635.2</v>
      </c>
    </row>
    <row r="172" spans="1:12" ht="15" thickBot="1" x14ac:dyDescent="0.4">
      <c r="A172" s="5">
        <v>1283</v>
      </c>
      <c r="B172" s="5" t="s">
        <v>40</v>
      </c>
      <c r="C172" s="5" t="s">
        <v>12</v>
      </c>
      <c r="D172" s="5" t="s">
        <v>18</v>
      </c>
      <c r="E172" s="5" t="s">
        <v>23</v>
      </c>
      <c r="F172" s="5">
        <v>6</v>
      </c>
      <c r="G172" s="5">
        <v>1167</v>
      </c>
      <c r="H172" s="5">
        <v>2</v>
      </c>
      <c r="I172" s="6">
        <v>46100</v>
      </c>
      <c r="J172" s="6">
        <v>46106</v>
      </c>
      <c r="K172" s="10" t="s">
        <v>15</v>
      </c>
      <c r="L172" s="16">
        <f t="shared" si="2"/>
        <v>140.04</v>
      </c>
    </row>
    <row r="173" spans="1:12" ht="15" thickBot="1" x14ac:dyDescent="0.4">
      <c r="A173" s="5">
        <v>1094</v>
      </c>
      <c r="B173" s="5" t="s">
        <v>47</v>
      </c>
      <c r="C173" s="5" t="s">
        <v>43</v>
      </c>
      <c r="D173" s="5" t="s">
        <v>34</v>
      </c>
      <c r="E173" s="5" t="s">
        <v>61</v>
      </c>
      <c r="F173" s="5">
        <v>4</v>
      </c>
      <c r="G173" s="5">
        <v>7073</v>
      </c>
      <c r="H173" s="5">
        <v>0</v>
      </c>
      <c r="I173" s="6">
        <v>46101</v>
      </c>
      <c r="J173" s="6">
        <v>46105</v>
      </c>
      <c r="K173" s="10" t="s">
        <v>29</v>
      </c>
      <c r="L173" s="16">
        <f t="shared" si="2"/>
        <v>0</v>
      </c>
    </row>
    <row r="174" spans="1:12" ht="15" thickBot="1" x14ac:dyDescent="0.4">
      <c r="A174" s="5">
        <v>1387</v>
      </c>
      <c r="B174" s="5" t="s">
        <v>54</v>
      </c>
      <c r="C174" s="5" t="s">
        <v>33</v>
      </c>
      <c r="D174" s="5" t="s">
        <v>34</v>
      </c>
      <c r="E174" s="5" t="s">
        <v>35</v>
      </c>
      <c r="F174" s="5">
        <v>11</v>
      </c>
      <c r="G174" s="5">
        <v>56515</v>
      </c>
      <c r="H174" s="5">
        <v>5</v>
      </c>
      <c r="I174" s="6">
        <v>46102</v>
      </c>
      <c r="J174" s="6">
        <v>46112</v>
      </c>
      <c r="K174" s="10" t="s">
        <v>24</v>
      </c>
      <c r="L174" s="16">
        <f t="shared" si="2"/>
        <v>31083.25</v>
      </c>
    </row>
    <row r="175" spans="1:12" ht="15" thickBot="1" x14ac:dyDescent="0.4">
      <c r="A175" s="5">
        <v>1049</v>
      </c>
      <c r="B175" s="5" t="s">
        <v>52</v>
      </c>
      <c r="C175" s="5" t="s">
        <v>25</v>
      </c>
      <c r="D175" s="5" t="s">
        <v>34</v>
      </c>
      <c r="E175" s="5" t="s">
        <v>45</v>
      </c>
      <c r="F175" s="5">
        <v>2</v>
      </c>
      <c r="G175" s="5">
        <v>40789</v>
      </c>
      <c r="H175" s="5">
        <v>0</v>
      </c>
      <c r="I175" s="6">
        <v>46102</v>
      </c>
      <c r="J175" s="6">
        <v>46108</v>
      </c>
      <c r="K175" s="10" t="s">
        <v>24</v>
      </c>
      <c r="L175" s="16">
        <f t="shared" si="2"/>
        <v>0</v>
      </c>
    </row>
    <row r="176" spans="1:12" ht="15" thickBot="1" x14ac:dyDescent="0.4">
      <c r="A176" s="5">
        <v>1145</v>
      </c>
      <c r="B176" s="5" t="s">
        <v>42</v>
      </c>
      <c r="C176" s="5" t="s">
        <v>33</v>
      </c>
      <c r="D176" s="5" t="s">
        <v>34</v>
      </c>
      <c r="E176" s="5" t="s">
        <v>39</v>
      </c>
      <c r="F176" s="5">
        <v>2</v>
      </c>
      <c r="G176" s="5">
        <v>34429</v>
      </c>
      <c r="H176" s="5">
        <v>12</v>
      </c>
      <c r="I176" s="6">
        <v>46102</v>
      </c>
      <c r="J176" s="6">
        <v>46112</v>
      </c>
      <c r="K176" s="10" t="s">
        <v>24</v>
      </c>
      <c r="L176" s="16">
        <f t="shared" si="2"/>
        <v>8262.9599999999991</v>
      </c>
    </row>
    <row r="177" spans="1:12" ht="15" thickBot="1" x14ac:dyDescent="0.4">
      <c r="A177" s="5">
        <v>1121</v>
      </c>
      <c r="B177" s="5" t="s">
        <v>29</v>
      </c>
      <c r="C177" s="5" t="s">
        <v>12</v>
      </c>
      <c r="D177" s="5" t="s">
        <v>34</v>
      </c>
      <c r="E177" s="5" t="s">
        <v>39</v>
      </c>
      <c r="F177" s="5">
        <v>4</v>
      </c>
      <c r="G177" s="5">
        <v>55809</v>
      </c>
      <c r="H177" s="5">
        <v>2</v>
      </c>
      <c r="I177" s="6">
        <v>46103</v>
      </c>
      <c r="J177" s="6">
        <v>46108</v>
      </c>
      <c r="K177" s="10" t="s">
        <v>29</v>
      </c>
      <c r="L177" s="16">
        <f t="shared" si="2"/>
        <v>4464.72</v>
      </c>
    </row>
    <row r="178" spans="1:12" ht="15" thickBot="1" x14ac:dyDescent="0.4">
      <c r="A178" s="5">
        <v>1209</v>
      </c>
      <c r="B178" s="5" t="s">
        <v>48</v>
      </c>
      <c r="C178" s="5" t="s">
        <v>38</v>
      </c>
      <c r="D178" s="5" t="s">
        <v>34</v>
      </c>
      <c r="E178" s="5" t="s">
        <v>35</v>
      </c>
      <c r="F178" s="5">
        <v>19</v>
      </c>
      <c r="G178" s="5">
        <v>20284</v>
      </c>
      <c r="H178" s="5">
        <v>10</v>
      </c>
      <c r="I178" s="6">
        <v>46103</v>
      </c>
      <c r="J178" s="6">
        <v>46110</v>
      </c>
      <c r="K178" s="10" t="s">
        <v>20</v>
      </c>
      <c r="L178" s="16">
        <f t="shared" si="2"/>
        <v>38539.599999999999</v>
      </c>
    </row>
    <row r="179" spans="1:12" ht="15" thickBot="1" x14ac:dyDescent="0.4">
      <c r="A179" s="5">
        <v>1161</v>
      </c>
      <c r="B179" s="5" t="s">
        <v>27</v>
      </c>
      <c r="C179" s="5" t="s">
        <v>25</v>
      </c>
      <c r="D179" s="5" t="s">
        <v>34</v>
      </c>
      <c r="E179" s="5" t="s">
        <v>39</v>
      </c>
      <c r="F179" s="5">
        <v>4</v>
      </c>
      <c r="G179" s="5">
        <v>54659</v>
      </c>
      <c r="H179" s="5">
        <v>7</v>
      </c>
      <c r="I179" s="6">
        <v>46105</v>
      </c>
      <c r="J179" s="6">
        <v>46109</v>
      </c>
      <c r="K179" s="10" t="s">
        <v>20</v>
      </c>
      <c r="L179" s="16">
        <f t="shared" si="2"/>
        <v>15304.52</v>
      </c>
    </row>
    <row r="180" spans="1:12" ht="15" thickBot="1" x14ac:dyDescent="0.4">
      <c r="A180" s="5">
        <v>1377</v>
      </c>
      <c r="B180" s="5" t="s">
        <v>32</v>
      </c>
      <c r="C180" s="5" t="s">
        <v>38</v>
      </c>
      <c r="D180" s="5" t="s">
        <v>18</v>
      </c>
      <c r="E180" s="5" t="s">
        <v>19</v>
      </c>
      <c r="F180" s="5">
        <v>3</v>
      </c>
      <c r="G180" s="5">
        <v>5480</v>
      </c>
      <c r="H180" s="5">
        <v>12</v>
      </c>
      <c r="I180" s="6">
        <v>46105</v>
      </c>
      <c r="J180" s="6">
        <v>46111</v>
      </c>
      <c r="K180" s="10" t="s">
        <v>24</v>
      </c>
      <c r="L180" s="16">
        <f t="shared" si="2"/>
        <v>1972.8</v>
      </c>
    </row>
    <row r="181" spans="1:12" ht="15" thickBot="1" x14ac:dyDescent="0.4">
      <c r="A181" s="5">
        <v>1170</v>
      </c>
      <c r="B181" s="5" t="s">
        <v>49</v>
      </c>
      <c r="C181" s="5" t="s">
        <v>38</v>
      </c>
      <c r="D181" s="5" t="s">
        <v>13</v>
      </c>
      <c r="E181" s="5" t="s">
        <v>14</v>
      </c>
      <c r="F181" s="5">
        <v>6</v>
      </c>
      <c r="G181" s="5">
        <v>339</v>
      </c>
      <c r="H181" s="5">
        <v>12</v>
      </c>
      <c r="I181" s="6">
        <v>46105</v>
      </c>
      <c r="J181" s="6">
        <v>46106</v>
      </c>
      <c r="K181" s="10" t="s">
        <v>24</v>
      </c>
      <c r="L181" s="16">
        <f t="shared" si="2"/>
        <v>244.08</v>
      </c>
    </row>
    <row r="182" spans="1:12" ht="15" thickBot="1" x14ac:dyDescent="0.4">
      <c r="A182" s="5">
        <v>1102</v>
      </c>
      <c r="B182" s="5" t="s">
        <v>54</v>
      </c>
      <c r="C182" s="5" t="s">
        <v>25</v>
      </c>
      <c r="D182" s="5" t="s">
        <v>34</v>
      </c>
      <c r="E182" s="5" t="s">
        <v>45</v>
      </c>
      <c r="F182" s="5">
        <v>12</v>
      </c>
      <c r="G182" s="5">
        <v>63402</v>
      </c>
      <c r="H182" s="5">
        <v>7</v>
      </c>
      <c r="I182" s="6">
        <v>46106</v>
      </c>
      <c r="J182" s="6">
        <v>46113</v>
      </c>
      <c r="K182" s="10" t="s">
        <v>51</v>
      </c>
      <c r="L182" s="16">
        <f t="shared" si="2"/>
        <v>53257.68</v>
      </c>
    </row>
    <row r="183" spans="1:12" ht="15" thickBot="1" x14ac:dyDescent="0.4">
      <c r="A183" s="5">
        <v>1198</v>
      </c>
      <c r="B183" s="5" t="s">
        <v>58</v>
      </c>
      <c r="C183" s="5" t="s">
        <v>12</v>
      </c>
      <c r="D183" s="5" t="s">
        <v>13</v>
      </c>
      <c r="E183" s="5" t="s">
        <v>14</v>
      </c>
      <c r="F183" s="5">
        <v>12</v>
      </c>
      <c r="G183" s="5">
        <v>491</v>
      </c>
      <c r="H183" s="5">
        <v>2</v>
      </c>
      <c r="I183" s="6">
        <v>46106</v>
      </c>
      <c r="J183" s="6">
        <v>46109</v>
      </c>
      <c r="K183" s="10" t="s">
        <v>51</v>
      </c>
      <c r="L183" s="16">
        <f t="shared" si="2"/>
        <v>117.84</v>
      </c>
    </row>
    <row r="184" spans="1:12" ht="15" thickBot="1" x14ac:dyDescent="0.4">
      <c r="A184" s="5">
        <v>1379</v>
      </c>
      <c r="B184" s="5" t="s">
        <v>47</v>
      </c>
      <c r="C184" s="5" t="s">
        <v>17</v>
      </c>
      <c r="D184" s="5" t="s">
        <v>13</v>
      </c>
      <c r="E184" s="5" t="s">
        <v>14</v>
      </c>
      <c r="F184" s="5">
        <v>11</v>
      </c>
      <c r="G184" s="5">
        <v>136</v>
      </c>
      <c r="H184" s="5">
        <v>15</v>
      </c>
      <c r="I184" s="6">
        <v>46106</v>
      </c>
      <c r="J184" s="6">
        <v>46107</v>
      </c>
      <c r="K184" s="10" t="s">
        <v>20</v>
      </c>
      <c r="L184" s="16">
        <f t="shared" si="2"/>
        <v>224.4</v>
      </c>
    </row>
    <row r="185" spans="1:12" ht="15" thickBot="1" x14ac:dyDescent="0.4">
      <c r="A185" s="5">
        <v>1039</v>
      </c>
      <c r="B185" s="5" t="s">
        <v>48</v>
      </c>
      <c r="C185" s="5" t="s">
        <v>38</v>
      </c>
      <c r="D185" s="5" t="s">
        <v>34</v>
      </c>
      <c r="E185" s="5" t="s">
        <v>45</v>
      </c>
      <c r="F185" s="5">
        <v>5</v>
      </c>
      <c r="G185" s="5">
        <v>60236</v>
      </c>
      <c r="H185" s="5">
        <v>10</v>
      </c>
      <c r="I185" s="6">
        <v>46107</v>
      </c>
      <c r="J185" s="6">
        <v>46110</v>
      </c>
      <c r="K185" s="10" t="s">
        <v>20</v>
      </c>
      <c r="L185" s="16">
        <f t="shared" si="2"/>
        <v>30118</v>
      </c>
    </row>
    <row r="186" spans="1:12" ht="15" thickBot="1" x14ac:dyDescent="0.4">
      <c r="A186" s="5">
        <v>1321</v>
      </c>
      <c r="B186" s="5" t="s">
        <v>32</v>
      </c>
      <c r="C186" s="5" t="s">
        <v>22</v>
      </c>
      <c r="D186" s="5" t="s">
        <v>18</v>
      </c>
      <c r="E186" s="5" t="s">
        <v>19</v>
      </c>
      <c r="F186" s="5">
        <v>8</v>
      </c>
      <c r="G186" s="5">
        <v>5619</v>
      </c>
      <c r="H186" s="5">
        <v>7</v>
      </c>
      <c r="I186" s="6">
        <v>46107</v>
      </c>
      <c r="J186" s="6">
        <v>46109</v>
      </c>
      <c r="K186" s="10" t="s">
        <v>51</v>
      </c>
      <c r="L186" s="16">
        <f t="shared" si="2"/>
        <v>3146.64</v>
      </c>
    </row>
    <row r="187" spans="1:12" ht="15" thickBot="1" x14ac:dyDescent="0.4">
      <c r="A187" s="5">
        <v>1123</v>
      </c>
      <c r="B187" s="5" t="s">
        <v>32</v>
      </c>
      <c r="C187" s="5" t="s">
        <v>31</v>
      </c>
      <c r="D187" s="5" t="s">
        <v>34</v>
      </c>
      <c r="E187" s="5" t="s">
        <v>45</v>
      </c>
      <c r="F187" s="5">
        <v>16</v>
      </c>
      <c r="G187" s="5">
        <v>1332</v>
      </c>
      <c r="H187" s="5">
        <v>7</v>
      </c>
      <c r="I187" s="6">
        <v>46107</v>
      </c>
      <c r="J187" s="6">
        <v>46109</v>
      </c>
      <c r="K187" s="10" t="s">
        <v>29</v>
      </c>
      <c r="L187" s="16">
        <f t="shared" si="2"/>
        <v>1491.84</v>
      </c>
    </row>
    <row r="188" spans="1:12" ht="15" thickBot="1" x14ac:dyDescent="0.4">
      <c r="A188" s="5">
        <v>1182</v>
      </c>
      <c r="B188" s="5" t="s">
        <v>42</v>
      </c>
      <c r="C188" s="5" t="s">
        <v>12</v>
      </c>
      <c r="D188" s="5" t="s">
        <v>34</v>
      </c>
      <c r="E188" s="5" t="s">
        <v>39</v>
      </c>
      <c r="F188" s="5">
        <v>8</v>
      </c>
      <c r="G188" s="5">
        <v>66022</v>
      </c>
      <c r="H188" s="5">
        <v>12</v>
      </c>
      <c r="I188" s="6">
        <v>46108</v>
      </c>
      <c r="J188" s="6">
        <v>46114</v>
      </c>
      <c r="K188" s="10" t="s">
        <v>24</v>
      </c>
      <c r="L188" s="16">
        <f t="shared" si="2"/>
        <v>63381.120000000003</v>
      </c>
    </row>
    <row r="189" spans="1:12" ht="15" thickBot="1" x14ac:dyDescent="0.4">
      <c r="A189" s="5">
        <v>1183</v>
      </c>
      <c r="B189" s="5" t="s">
        <v>52</v>
      </c>
      <c r="C189" s="5" t="s">
        <v>43</v>
      </c>
      <c r="D189" s="5" t="s">
        <v>13</v>
      </c>
      <c r="E189" s="5" t="s">
        <v>14</v>
      </c>
      <c r="F189" s="5">
        <v>2</v>
      </c>
      <c r="G189" s="5">
        <v>309</v>
      </c>
      <c r="H189" s="5">
        <v>2</v>
      </c>
      <c r="I189" s="6">
        <v>46109</v>
      </c>
      <c r="J189" s="6">
        <v>46111</v>
      </c>
      <c r="K189" s="10" t="s">
        <v>20</v>
      </c>
      <c r="L189" s="16">
        <f t="shared" si="2"/>
        <v>12.36</v>
      </c>
    </row>
    <row r="190" spans="1:12" ht="15" thickBot="1" x14ac:dyDescent="0.4">
      <c r="A190" s="5">
        <v>1328</v>
      </c>
      <c r="B190" s="5" t="s">
        <v>16</v>
      </c>
      <c r="C190" s="5" t="s">
        <v>38</v>
      </c>
      <c r="D190" s="5" t="s">
        <v>13</v>
      </c>
      <c r="E190" s="5" t="s">
        <v>36</v>
      </c>
      <c r="F190" s="5">
        <v>4</v>
      </c>
      <c r="G190" s="5">
        <v>132</v>
      </c>
      <c r="H190" s="5">
        <v>0</v>
      </c>
      <c r="I190" s="6">
        <v>46109</v>
      </c>
      <c r="J190" s="6">
        <v>46114</v>
      </c>
      <c r="K190" s="10" t="s">
        <v>29</v>
      </c>
      <c r="L190" s="16">
        <f t="shared" si="2"/>
        <v>0</v>
      </c>
    </row>
    <row r="191" spans="1:12" ht="15" thickBot="1" x14ac:dyDescent="0.4">
      <c r="A191" s="5">
        <v>1290</v>
      </c>
      <c r="B191" s="5" t="s">
        <v>26</v>
      </c>
      <c r="C191" s="5" t="s">
        <v>22</v>
      </c>
      <c r="D191" s="5" t="s">
        <v>34</v>
      </c>
      <c r="E191" s="5" t="s">
        <v>35</v>
      </c>
      <c r="F191" s="5">
        <v>3</v>
      </c>
      <c r="G191" s="5">
        <v>69793</v>
      </c>
      <c r="H191" s="5">
        <v>15</v>
      </c>
      <c r="I191" s="6">
        <v>46110</v>
      </c>
      <c r="J191" s="6">
        <v>46111</v>
      </c>
      <c r="K191" s="10" t="s">
        <v>29</v>
      </c>
      <c r="L191" s="16">
        <f t="shared" si="2"/>
        <v>31406.85</v>
      </c>
    </row>
    <row r="192" spans="1:12" ht="15" thickBot="1" x14ac:dyDescent="0.4">
      <c r="A192" s="5">
        <v>1193</v>
      </c>
      <c r="B192" s="5" t="s">
        <v>57</v>
      </c>
      <c r="C192" s="5" t="s">
        <v>12</v>
      </c>
      <c r="D192" s="5" t="s">
        <v>18</v>
      </c>
      <c r="E192" s="5" t="s">
        <v>23</v>
      </c>
      <c r="F192" s="5">
        <v>19</v>
      </c>
      <c r="G192" s="5">
        <v>2699</v>
      </c>
      <c r="H192" s="5">
        <v>7</v>
      </c>
      <c r="I192" s="6">
        <v>46110</v>
      </c>
      <c r="J192" s="6">
        <v>46112</v>
      </c>
      <c r="K192" s="10" t="s">
        <v>29</v>
      </c>
      <c r="L192" s="16">
        <f t="shared" si="2"/>
        <v>3589.67</v>
      </c>
    </row>
    <row r="193" spans="1:12" ht="15" thickBot="1" x14ac:dyDescent="0.4">
      <c r="A193" s="5">
        <v>1300</v>
      </c>
      <c r="B193" s="5" t="s">
        <v>47</v>
      </c>
      <c r="C193" s="5" t="s">
        <v>33</v>
      </c>
      <c r="D193" s="5" t="s">
        <v>34</v>
      </c>
      <c r="E193" s="5" t="s">
        <v>45</v>
      </c>
      <c r="F193" s="5">
        <v>20</v>
      </c>
      <c r="G193" s="5">
        <v>1392</v>
      </c>
      <c r="H193" s="5">
        <v>2</v>
      </c>
      <c r="I193" s="6">
        <v>46110</v>
      </c>
      <c r="J193" s="6">
        <v>46117</v>
      </c>
      <c r="K193" s="10" t="s">
        <v>24</v>
      </c>
      <c r="L193" s="16">
        <f t="shared" si="2"/>
        <v>556.79999999999995</v>
      </c>
    </row>
    <row r="194" spans="1:12" ht="15" thickBot="1" x14ac:dyDescent="0.4">
      <c r="A194" s="5">
        <v>1180</v>
      </c>
      <c r="B194" s="5" t="s">
        <v>40</v>
      </c>
      <c r="C194" s="5" t="s">
        <v>31</v>
      </c>
      <c r="D194" s="5" t="s">
        <v>18</v>
      </c>
      <c r="E194" s="5" t="s">
        <v>28</v>
      </c>
      <c r="F194" s="5">
        <v>2</v>
      </c>
      <c r="G194" s="5">
        <v>2076</v>
      </c>
      <c r="H194" s="5">
        <v>2</v>
      </c>
      <c r="I194" s="6">
        <v>46111</v>
      </c>
      <c r="J194" s="6">
        <v>46121</v>
      </c>
      <c r="K194" s="10" t="s">
        <v>29</v>
      </c>
      <c r="L194" s="16">
        <f t="shared" si="2"/>
        <v>83.04</v>
      </c>
    </row>
    <row r="195" spans="1:12" ht="15" thickBot="1" x14ac:dyDescent="0.4">
      <c r="A195" s="5">
        <v>1178</v>
      </c>
      <c r="B195" s="5" t="s">
        <v>57</v>
      </c>
      <c r="C195" s="5" t="s">
        <v>17</v>
      </c>
      <c r="D195" s="5" t="s">
        <v>13</v>
      </c>
      <c r="E195" s="5" t="s">
        <v>50</v>
      </c>
      <c r="F195" s="5">
        <v>5</v>
      </c>
      <c r="G195" s="5">
        <v>50</v>
      </c>
      <c r="H195" s="5">
        <v>0</v>
      </c>
      <c r="I195" s="6">
        <v>46111</v>
      </c>
      <c r="J195" s="6">
        <v>46117</v>
      </c>
      <c r="K195" s="10" t="s">
        <v>20</v>
      </c>
      <c r="L195" s="16">
        <f t="shared" ref="L195:L258" si="3">(F195*G195)*H195/100</f>
        <v>0</v>
      </c>
    </row>
    <row r="196" spans="1:12" ht="15" thickBot="1" x14ac:dyDescent="0.4">
      <c r="A196" s="5">
        <v>1251</v>
      </c>
      <c r="B196" s="5" t="s">
        <v>55</v>
      </c>
      <c r="C196" s="5" t="s">
        <v>38</v>
      </c>
      <c r="D196" s="5" t="s">
        <v>34</v>
      </c>
      <c r="E196" s="5" t="s">
        <v>61</v>
      </c>
      <c r="F196" s="5">
        <v>19</v>
      </c>
      <c r="G196" s="5">
        <v>48548</v>
      </c>
      <c r="H196" s="5">
        <v>0</v>
      </c>
      <c r="I196" s="6">
        <v>46112</v>
      </c>
      <c r="J196" s="6">
        <v>46121</v>
      </c>
      <c r="K196" s="10" t="s">
        <v>51</v>
      </c>
      <c r="L196" s="16">
        <f t="shared" si="3"/>
        <v>0</v>
      </c>
    </row>
    <row r="197" spans="1:12" ht="15" thickBot="1" x14ac:dyDescent="0.4">
      <c r="A197" s="5">
        <v>1133</v>
      </c>
      <c r="B197" s="5" t="s">
        <v>11</v>
      </c>
      <c r="C197" s="5" t="s">
        <v>12</v>
      </c>
      <c r="D197" s="5" t="s">
        <v>18</v>
      </c>
      <c r="E197" s="5" t="s">
        <v>56</v>
      </c>
      <c r="F197" s="5">
        <v>6</v>
      </c>
      <c r="G197" s="5">
        <v>9037</v>
      </c>
      <c r="H197" s="5">
        <v>2</v>
      </c>
      <c r="I197" s="6">
        <v>46112</v>
      </c>
      <c r="J197" s="6">
        <v>46121</v>
      </c>
      <c r="K197" s="10" t="s">
        <v>51</v>
      </c>
      <c r="L197" s="16">
        <f t="shared" si="3"/>
        <v>1084.44</v>
      </c>
    </row>
    <row r="198" spans="1:12" ht="15" thickBot="1" x14ac:dyDescent="0.4">
      <c r="A198" s="5">
        <v>1227</v>
      </c>
      <c r="B198" s="5" t="s">
        <v>58</v>
      </c>
      <c r="C198" s="5" t="s">
        <v>22</v>
      </c>
      <c r="D198" s="5" t="s">
        <v>34</v>
      </c>
      <c r="E198" s="5" t="s">
        <v>45</v>
      </c>
      <c r="F198" s="5">
        <v>16</v>
      </c>
      <c r="G198" s="5">
        <v>1321</v>
      </c>
      <c r="H198" s="5">
        <v>12</v>
      </c>
      <c r="I198" s="6">
        <v>46113</v>
      </c>
      <c r="J198" s="6">
        <v>46116</v>
      </c>
      <c r="K198" s="10" t="s">
        <v>15</v>
      </c>
      <c r="L198" s="16">
        <f t="shared" si="3"/>
        <v>2536.3200000000002</v>
      </c>
    </row>
    <row r="199" spans="1:12" ht="15" thickBot="1" x14ac:dyDescent="0.4">
      <c r="A199" s="5">
        <v>1077</v>
      </c>
      <c r="B199" s="5" t="s">
        <v>55</v>
      </c>
      <c r="C199" s="5" t="s">
        <v>25</v>
      </c>
      <c r="D199" s="5" t="s">
        <v>13</v>
      </c>
      <c r="E199" s="5" t="s">
        <v>14</v>
      </c>
      <c r="F199" s="5">
        <v>1</v>
      </c>
      <c r="G199" s="5">
        <v>123</v>
      </c>
      <c r="H199" s="5">
        <v>10</v>
      </c>
      <c r="I199" s="6">
        <v>46113</v>
      </c>
      <c r="J199" s="6">
        <v>46121</v>
      </c>
      <c r="K199" s="10" t="s">
        <v>51</v>
      </c>
      <c r="L199" s="16">
        <f t="shared" si="3"/>
        <v>12.3</v>
      </c>
    </row>
    <row r="200" spans="1:12" ht="15" thickBot="1" x14ac:dyDescent="0.4">
      <c r="A200" s="5">
        <v>1059</v>
      </c>
      <c r="B200" s="5" t="s">
        <v>54</v>
      </c>
      <c r="C200" s="5" t="s">
        <v>25</v>
      </c>
      <c r="D200" s="5" t="s">
        <v>13</v>
      </c>
      <c r="E200" s="5" t="s">
        <v>50</v>
      </c>
      <c r="F200" s="5">
        <v>20</v>
      </c>
      <c r="G200" s="5">
        <v>112</v>
      </c>
      <c r="H200" s="5">
        <v>10</v>
      </c>
      <c r="I200" s="6">
        <v>46113</v>
      </c>
      <c r="J200" s="6">
        <v>46122</v>
      </c>
      <c r="K200" s="10" t="s">
        <v>51</v>
      </c>
      <c r="L200" s="16">
        <f t="shared" si="3"/>
        <v>224</v>
      </c>
    </row>
    <row r="201" spans="1:12" ht="15" thickBot="1" x14ac:dyDescent="0.4">
      <c r="A201" s="5">
        <v>1234</v>
      </c>
      <c r="B201" s="5" t="s">
        <v>11</v>
      </c>
      <c r="C201" s="5" t="s">
        <v>25</v>
      </c>
      <c r="D201" s="5" t="s">
        <v>18</v>
      </c>
      <c r="E201" s="5" t="s">
        <v>28</v>
      </c>
      <c r="F201" s="5">
        <v>1</v>
      </c>
      <c r="G201" s="5">
        <v>14320</v>
      </c>
      <c r="H201" s="5">
        <v>12</v>
      </c>
      <c r="I201" s="6">
        <v>46114</v>
      </c>
      <c r="J201" s="6">
        <v>46121</v>
      </c>
      <c r="K201" s="10" t="s">
        <v>51</v>
      </c>
      <c r="L201" s="16">
        <f t="shared" si="3"/>
        <v>1718.4</v>
      </c>
    </row>
    <row r="202" spans="1:12" ht="15" thickBot="1" x14ac:dyDescent="0.4">
      <c r="A202" s="5">
        <v>1074</v>
      </c>
      <c r="B202" s="5" t="s">
        <v>26</v>
      </c>
      <c r="C202" s="5" t="s">
        <v>31</v>
      </c>
      <c r="D202" s="5" t="s">
        <v>13</v>
      </c>
      <c r="E202" s="5" t="s">
        <v>50</v>
      </c>
      <c r="F202" s="5">
        <v>11</v>
      </c>
      <c r="G202" s="5">
        <v>390</v>
      </c>
      <c r="H202" s="5">
        <v>15</v>
      </c>
      <c r="I202" s="6">
        <v>46114</v>
      </c>
      <c r="J202" s="6">
        <v>46123</v>
      </c>
      <c r="K202" s="10" t="s">
        <v>29</v>
      </c>
      <c r="L202" s="16">
        <f t="shared" si="3"/>
        <v>643.5</v>
      </c>
    </row>
    <row r="203" spans="1:12" ht="15" thickBot="1" x14ac:dyDescent="0.4">
      <c r="A203" s="5">
        <v>1213</v>
      </c>
      <c r="B203" s="5" t="s">
        <v>32</v>
      </c>
      <c r="C203" s="5" t="s">
        <v>38</v>
      </c>
      <c r="D203" s="5" t="s">
        <v>34</v>
      </c>
      <c r="E203" s="5" t="s">
        <v>45</v>
      </c>
      <c r="F203" s="5">
        <v>16</v>
      </c>
      <c r="G203" s="5">
        <v>27741</v>
      </c>
      <c r="H203" s="5">
        <v>12</v>
      </c>
      <c r="I203" s="6">
        <v>46116</v>
      </c>
      <c r="J203" s="6">
        <v>46119</v>
      </c>
      <c r="K203" s="10" t="s">
        <v>15</v>
      </c>
      <c r="L203" s="16">
        <f t="shared" si="3"/>
        <v>53262.720000000001</v>
      </c>
    </row>
    <row r="204" spans="1:12" ht="15" thickBot="1" x14ac:dyDescent="0.4">
      <c r="A204" s="5">
        <v>1028</v>
      </c>
      <c r="B204" s="5" t="s">
        <v>47</v>
      </c>
      <c r="C204" s="5" t="s">
        <v>22</v>
      </c>
      <c r="D204" s="5" t="s">
        <v>13</v>
      </c>
      <c r="E204" s="5" t="s">
        <v>36</v>
      </c>
      <c r="F204" s="5">
        <v>13</v>
      </c>
      <c r="G204" s="5">
        <v>433</v>
      </c>
      <c r="H204" s="5">
        <v>2</v>
      </c>
      <c r="I204" s="6">
        <v>46116</v>
      </c>
      <c r="J204" s="6">
        <v>46121</v>
      </c>
      <c r="K204" s="10" t="s">
        <v>24</v>
      </c>
      <c r="L204" s="16">
        <f t="shared" si="3"/>
        <v>112.58</v>
      </c>
    </row>
    <row r="205" spans="1:12" ht="15" thickBot="1" x14ac:dyDescent="0.4">
      <c r="A205" s="5">
        <v>1287</v>
      </c>
      <c r="B205" s="5" t="s">
        <v>59</v>
      </c>
      <c r="C205" s="5" t="s">
        <v>31</v>
      </c>
      <c r="D205" s="5" t="s">
        <v>13</v>
      </c>
      <c r="E205" s="5" t="s">
        <v>14</v>
      </c>
      <c r="F205" s="5">
        <v>15</v>
      </c>
      <c r="G205" s="5">
        <v>251</v>
      </c>
      <c r="H205" s="5">
        <v>2</v>
      </c>
      <c r="I205" s="6">
        <v>46116</v>
      </c>
      <c r="J205" s="6">
        <v>46122</v>
      </c>
      <c r="K205" s="10" t="s">
        <v>51</v>
      </c>
      <c r="L205" s="16">
        <f t="shared" si="3"/>
        <v>75.3</v>
      </c>
    </row>
    <row r="206" spans="1:12" ht="15" thickBot="1" x14ac:dyDescent="0.4">
      <c r="A206" s="5">
        <v>1022</v>
      </c>
      <c r="B206" s="5" t="s">
        <v>26</v>
      </c>
      <c r="C206" s="5" t="s">
        <v>17</v>
      </c>
      <c r="D206" s="5" t="s">
        <v>34</v>
      </c>
      <c r="E206" s="5" t="s">
        <v>45</v>
      </c>
      <c r="F206" s="5">
        <v>15</v>
      </c>
      <c r="G206" s="5">
        <v>11596</v>
      </c>
      <c r="H206" s="5">
        <v>0</v>
      </c>
      <c r="I206" s="6">
        <v>46117</v>
      </c>
      <c r="J206" s="6">
        <v>46121</v>
      </c>
      <c r="K206" s="10" t="s">
        <v>29</v>
      </c>
      <c r="L206" s="16">
        <f t="shared" si="3"/>
        <v>0</v>
      </c>
    </row>
    <row r="207" spans="1:12" ht="15" thickBot="1" x14ac:dyDescent="0.4">
      <c r="A207" s="5">
        <v>1265</v>
      </c>
      <c r="B207" s="5" t="s">
        <v>58</v>
      </c>
      <c r="C207" s="5" t="s">
        <v>22</v>
      </c>
      <c r="D207" s="5" t="s">
        <v>18</v>
      </c>
      <c r="E207" s="5" t="s">
        <v>19</v>
      </c>
      <c r="F207" s="5">
        <v>1</v>
      </c>
      <c r="G207" s="5">
        <v>1052</v>
      </c>
      <c r="H207" s="5">
        <v>7</v>
      </c>
      <c r="I207" s="6">
        <v>46117</v>
      </c>
      <c r="J207" s="6">
        <v>46127</v>
      </c>
      <c r="K207" s="10" t="s">
        <v>51</v>
      </c>
      <c r="L207" s="16">
        <f t="shared" si="3"/>
        <v>73.64</v>
      </c>
    </row>
    <row r="208" spans="1:12" ht="15" thickBot="1" x14ac:dyDescent="0.4">
      <c r="A208" s="5">
        <v>1354</v>
      </c>
      <c r="B208" s="5" t="s">
        <v>47</v>
      </c>
      <c r="C208" s="5" t="s">
        <v>43</v>
      </c>
      <c r="D208" s="5" t="s">
        <v>34</v>
      </c>
      <c r="E208" s="5" t="s">
        <v>35</v>
      </c>
      <c r="F208" s="5">
        <v>15</v>
      </c>
      <c r="G208" s="5">
        <v>14927</v>
      </c>
      <c r="H208" s="5">
        <v>15</v>
      </c>
      <c r="I208" s="6">
        <v>46118</v>
      </c>
      <c r="J208" s="6">
        <v>46120</v>
      </c>
      <c r="K208" s="10" t="s">
        <v>51</v>
      </c>
      <c r="L208" s="16">
        <f t="shared" si="3"/>
        <v>33585.75</v>
      </c>
    </row>
    <row r="209" spans="1:12" ht="15" thickBot="1" x14ac:dyDescent="0.4">
      <c r="A209" s="5">
        <v>1108</v>
      </c>
      <c r="B209" s="5" t="s">
        <v>42</v>
      </c>
      <c r="C209" s="5" t="s">
        <v>33</v>
      </c>
      <c r="D209" s="5" t="s">
        <v>18</v>
      </c>
      <c r="E209" s="5" t="s">
        <v>28</v>
      </c>
      <c r="F209" s="5">
        <v>15</v>
      </c>
      <c r="G209" s="5">
        <v>13843</v>
      </c>
      <c r="H209" s="5">
        <v>7</v>
      </c>
      <c r="I209" s="6">
        <v>46119</v>
      </c>
      <c r="J209" s="6">
        <v>46127</v>
      </c>
      <c r="K209" s="10" t="s">
        <v>20</v>
      </c>
      <c r="L209" s="16">
        <f t="shared" si="3"/>
        <v>14535.15</v>
      </c>
    </row>
    <row r="210" spans="1:12" ht="15" thickBot="1" x14ac:dyDescent="0.4">
      <c r="A210" s="5">
        <v>1241</v>
      </c>
      <c r="B210" s="5" t="s">
        <v>46</v>
      </c>
      <c r="C210" s="5" t="s">
        <v>31</v>
      </c>
      <c r="D210" s="5" t="s">
        <v>18</v>
      </c>
      <c r="E210" s="5" t="s">
        <v>44</v>
      </c>
      <c r="F210" s="5">
        <v>1</v>
      </c>
      <c r="G210" s="5">
        <v>12537</v>
      </c>
      <c r="H210" s="5">
        <v>0</v>
      </c>
      <c r="I210" s="6">
        <v>46119</v>
      </c>
      <c r="J210" s="6">
        <v>46122</v>
      </c>
      <c r="K210" s="10" t="s">
        <v>15</v>
      </c>
      <c r="L210" s="16">
        <f t="shared" si="3"/>
        <v>0</v>
      </c>
    </row>
    <row r="211" spans="1:12" ht="15" thickBot="1" x14ac:dyDescent="0.4">
      <c r="A211" s="5">
        <v>1203</v>
      </c>
      <c r="B211" s="5" t="s">
        <v>40</v>
      </c>
      <c r="C211" s="5" t="s">
        <v>22</v>
      </c>
      <c r="D211" s="5" t="s">
        <v>18</v>
      </c>
      <c r="E211" s="5" t="s">
        <v>23</v>
      </c>
      <c r="F211" s="5">
        <v>17</v>
      </c>
      <c r="G211" s="5">
        <v>6695</v>
      </c>
      <c r="H211" s="5">
        <v>2</v>
      </c>
      <c r="I211" s="6">
        <v>46119</v>
      </c>
      <c r="J211" s="6">
        <v>46122</v>
      </c>
      <c r="K211" s="10" t="s">
        <v>51</v>
      </c>
      <c r="L211" s="16">
        <f t="shared" si="3"/>
        <v>2276.3000000000002</v>
      </c>
    </row>
    <row r="212" spans="1:12" ht="15" thickBot="1" x14ac:dyDescent="0.4">
      <c r="A212" s="5">
        <v>1261</v>
      </c>
      <c r="B212" s="5" t="s">
        <v>40</v>
      </c>
      <c r="C212" s="5" t="s">
        <v>17</v>
      </c>
      <c r="D212" s="5" t="s">
        <v>13</v>
      </c>
      <c r="E212" s="5" t="s">
        <v>50</v>
      </c>
      <c r="F212" s="5">
        <v>20</v>
      </c>
      <c r="G212" s="5">
        <v>162</v>
      </c>
      <c r="H212" s="5">
        <v>7</v>
      </c>
      <c r="I212" s="6">
        <v>46119</v>
      </c>
      <c r="J212" s="6">
        <v>46120</v>
      </c>
      <c r="K212" s="10" t="s">
        <v>51</v>
      </c>
      <c r="L212" s="16">
        <f t="shared" si="3"/>
        <v>226.8</v>
      </c>
    </row>
    <row r="213" spans="1:12" ht="15" thickBot="1" x14ac:dyDescent="0.4">
      <c r="A213" s="5">
        <v>1172</v>
      </c>
      <c r="B213" s="5" t="s">
        <v>16</v>
      </c>
      <c r="C213" s="5" t="s">
        <v>12</v>
      </c>
      <c r="D213" s="5" t="s">
        <v>34</v>
      </c>
      <c r="E213" s="5" t="s">
        <v>45</v>
      </c>
      <c r="F213" s="5">
        <v>13</v>
      </c>
      <c r="G213" s="5">
        <v>43163</v>
      </c>
      <c r="H213" s="5">
        <v>12</v>
      </c>
      <c r="I213" s="6">
        <v>46120</v>
      </c>
      <c r="J213" s="6">
        <v>46129</v>
      </c>
      <c r="K213" s="10" t="s">
        <v>24</v>
      </c>
      <c r="L213" s="16">
        <f t="shared" si="3"/>
        <v>67334.28</v>
      </c>
    </row>
    <row r="214" spans="1:12" ht="15" thickBot="1" x14ac:dyDescent="0.4">
      <c r="A214" s="5">
        <v>1169</v>
      </c>
      <c r="B214" s="5" t="s">
        <v>47</v>
      </c>
      <c r="C214" s="5" t="s">
        <v>12</v>
      </c>
      <c r="D214" s="5" t="s">
        <v>18</v>
      </c>
      <c r="E214" s="5" t="s">
        <v>56</v>
      </c>
      <c r="F214" s="5">
        <v>12</v>
      </c>
      <c r="G214" s="5">
        <v>12104</v>
      </c>
      <c r="H214" s="5">
        <v>7</v>
      </c>
      <c r="I214" s="6">
        <v>46121</v>
      </c>
      <c r="J214" s="6">
        <v>46130</v>
      </c>
      <c r="K214" s="10" t="s">
        <v>24</v>
      </c>
      <c r="L214" s="16">
        <f t="shared" si="3"/>
        <v>10167.36</v>
      </c>
    </row>
    <row r="215" spans="1:12" ht="15" thickBot="1" x14ac:dyDescent="0.4">
      <c r="A215" s="5">
        <v>1363</v>
      </c>
      <c r="B215" s="5" t="s">
        <v>27</v>
      </c>
      <c r="C215" s="5" t="s">
        <v>25</v>
      </c>
      <c r="D215" s="5" t="s">
        <v>34</v>
      </c>
      <c r="E215" s="5" t="s">
        <v>35</v>
      </c>
      <c r="F215" s="5">
        <v>7</v>
      </c>
      <c r="G215" s="5">
        <v>45381</v>
      </c>
      <c r="H215" s="5">
        <v>0</v>
      </c>
      <c r="I215" s="6">
        <v>46122</v>
      </c>
      <c r="J215" s="6">
        <v>46128</v>
      </c>
      <c r="K215" s="10" t="s">
        <v>15</v>
      </c>
      <c r="L215" s="16">
        <f t="shared" si="3"/>
        <v>0</v>
      </c>
    </row>
    <row r="216" spans="1:12" ht="15" thickBot="1" x14ac:dyDescent="0.4">
      <c r="A216" s="5">
        <v>1289</v>
      </c>
      <c r="B216" s="5" t="s">
        <v>26</v>
      </c>
      <c r="C216" s="5" t="s">
        <v>22</v>
      </c>
      <c r="D216" s="5" t="s">
        <v>34</v>
      </c>
      <c r="E216" s="5" t="s">
        <v>45</v>
      </c>
      <c r="F216" s="5">
        <v>19</v>
      </c>
      <c r="G216" s="5">
        <v>25336</v>
      </c>
      <c r="H216" s="5">
        <v>2</v>
      </c>
      <c r="I216" s="6">
        <v>46122</v>
      </c>
      <c r="J216" s="6">
        <v>46130</v>
      </c>
      <c r="K216" s="10" t="s">
        <v>24</v>
      </c>
      <c r="L216" s="16">
        <f t="shared" si="3"/>
        <v>9627.68</v>
      </c>
    </row>
    <row r="217" spans="1:12" ht="15" thickBot="1" x14ac:dyDescent="0.4">
      <c r="A217" s="5">
        <v>1239</v>
      </c>
      <c r="B217" s="5" t="s">
        <v>48</v>
      </c>
      <c r="C217" s="5" t="s">
        <v>17</v>
      </c>
      <c r="D217" s="5" t="s">
        <v>18</v>
      </c>
      <c r="E217" s="5" t="s">
        <v>56</v>
      </c>
      <c r="F217" s="5">
        <v>2</v>
      </c>
      <c r="G217" s="5">
        <v>12330</v>
      </c>
      <c r="H217" s="5">
        <v>12</v>
      </c>
      <c r="I217" s="6">
        <v>46122</v>
      </c>
      <c r="J217" s="6">
        <v>46125</v>
      </c>
      <c r="K217" s="10" t="s">
        <v>15</v>
      </c>
      <c r="L217" s="16">
        <f t="shared" si="3"/>
        <v>2959.2</v>
      </c>
    </row>
    <row r="218" spans="1:12" ht="15" thickBot="1" x14ac:dyDescent="0.4">
      <c r="A218" s="5">
        <v>1221</v>
      </c>
      <c r="B218" s="5" t="s">
        <v>11</v>
      </c>
      <c r="C218" s="5" t="s">
        <v>31</v>
      </c>
      <c r="D218" s="5" t="s">
        <v>18</v>
      </c>
      <c r="E218" s="5" t="s">
        <v>56</v>
      </c>
      <c r="F218" s="5">
        <v>18</v>
      </c>
      <c r="G218" s="5">
        <v>2681</v>
      </c>
      <c r="H218" s="5">
        <v>10</v>
      </c>
      <c r="I218" s="6">
        <v>46122</v>
      </c>
      <c r="J218" s="6">
        <v>46125</v>
      </c>
      <c r="K218" s="10" t="s">
        <v>51</v>
      </c>
      <c r="L218" s="16">
        <f t="shared" si="3"/>
        <v>4825.8</v>
      </c>
    </row>
    <row r="219" spans="1:12" ht="15" thickBot="1" x14ac:dyDescent="0.4">
      <c r="A219" s="5">
        <v>1299</v>
      </c>
      <c r="B219" s="5" t="s">
        <v>26</v>
      </c>
      <c r="C219" s="5" t="s">
        <v>17</v>
      </c>
      <c r="D219" s="5" t="s">
        <v>18</v>
      </c>
      <c r="E219" s="5" t="s">
        <v>56</v>
      </c>
      <c r="F219" s="5">
        <v>8</v>
      </c>
      <c r="G219" s="5">
        <v>8783</v>
      </c>
      <c r="H219" s="5">
        <v>2</v>
      </c>
      <c r="I219" s="6">
        <v>46123</v>
      </c>
      <c r="J219" s="6">
        <v>46132</v>
      </c>
      <c r="K219" s="10" t="s">
        <v>15</v>
      </c>
      <c r="L219" s="16">
        <f t="shared" si="3"/>
        <v>1405.28</v>
      </c>
    </row>
    <row r="220" spans="1:12" ht="15" thickBot="1" x14ac:dyDescent="0.4">
      <c r="A220" s="5">
        <v>1204</v>
      </c>
      <c r="B220" s="5" t="s">
        <v>16</v>
      </c>
      <c r="C220" s="5" t="s">
        <v>31</v>
      </c>
      <c r="D220" s="5" t="s">
        <v>13</v>
      </c>
      <c r="E220" s="5" t="s">
        <v>37</v>
      </c>
      <c r="F220" s="5">
        <v>13</v>
      </c>
      <c r="G220" s="5">
        <v>416</v>
      </c>
      <c r="H220" s="5">
        <v>10</v>
      </c>
      <c r="I220" s="6">
        <v>46123</v>
      </c>
      <c r="J220" s="6">
        <v>46132</v>
      </c>
      <c r="K220" s="10" t="s">
        <v>20</v>
      </c>
      <c r="L220" s="16">
        <f t="shared" si="3"/>
        <v>540.79999999999995</v>
      </c>
    </row>
    <row r="221" spans="1:12" ht="15" thickBot="1" x14ac:dyDescent="0.4">
      <c r="A221" s="5">
        <v>1279</v>
      </c>
      <c r="B221" s="5" t="s">
        <v>55</v>
      </c>
      <c r="C221" s="5" t="s">
        <v>33</v>
      </c>
      <c r="D221" s="5" t="s">
        <v>34</v>
      </c>
      <c r="E221" s="5" t="s">
        <v>45</v>
      </c>
      <c r="F221" s="5">
        <v>20</v>
      </c>
      <c r="G221" s="5">
        <v>49042</v>
      </c>
      <c r="H221" s="5">
        <v>2</v>
      </c>
      <c r="I221" s="6">
        <v>46124</v>
      </c>
      <c r="J221" s="6">
        <v>46126</v>
      </c>
      <c r="K221" s="10" t="s">
        <v>15</v>
      </c>
      <c r="L221" s="16">
        <f t="shared" si="3"/>
        <v>19616.8</v>
      </c>
    </row>
    <row r="222" spans="1:12" ht="15" thickBot="1" x14ac:dyDescent="0.4">
      <c r="A222" s="5">
        <v>1392</v>
      </c>
      <c r="B222" s="5" t="s">
        <v>29</v>
      </c>
      <c r="C222" s="5" t="s">
        <v>43</v>
      </c>
      <c r="D222" s="5" t="s">
        <v>34</v>
      </c>
      <c r="E222" s="5" t="s">
        <v>35</v>
      </c>
      <c r="F222" s="5">
        <v>13</v>
      </c>
      <c r="G222" s="5">
        <v>23903</v>
      </c>
      <c r="H222" s="5">
        <v>5</v>
      </c>
      <c r="I222" s="6">
        <v>46124</v>
      </c>
      <c r="J222" s="6">
        <v>46125</v>
      </c>
      <c r="K222" s="10" t="s">
        <v>29</v>
      </c>
      <c r="L222" s="16">
        <f t="shared" si="3"/>
        <v>15536.95</v>
      </c>
    </row>
    <row r="223" spans="1:12" ht="15" thickBot="1" x14ac:dyDescent="0.4">
      <c r="A223" s="5">
        <v>1303</v>
      </c>
      <c r="B223" s="5" t="s">
        <v>57</v>
      </c>
      <c r="C223" s="5" t="s">
        <v>38</v>
      </c>
      <c r="D223" s="5" t="s">
        <v>34</v>
      </c>
      <c r="E223" s="5" t="s">
        <v>35</v>
      </c>
      <c r="F223" s="5">
        <v>13</v>
      </c>
      <c r="G223" s="5">
        <v>5170</v>
      </c>
      <c r="H223" s="5">
        <v>2</v>
      </c>
      <c r="I223" s="6">
        <v>46124</v>
      </c>
      <c r="J223" s="6">
        <v>46127</v>
      </c>
      <c r="K223" s="10" t="s">
        <v>15</v>
      </c>
      <c r="L223" s="16">
        <f t="shared" si="3"/>
        <v>1344.2</v>
      </c>
    </row>
    <row r="224" spans="1:12" ht="15" thickBot="1" x14ac:dyDescent="0.4">
      <c r="A224" s="5">
        <v>1225</v>
      </c>
      <c r="B224" s="5" t="s">
        <v>42</v>
      </c>
      <c r="C224" s="5" t="s">
        <v>31</v>
      </c>
      <c r="D224" s="5" t="s">
        <v>34</v>
      </c>
      <c r="E224" s="5" t="s">
        <v>35</v>
      </c>
      <c r="F224" s="5">
        <v>16</v>
      </c>
      <c r="G224" s="5">
        <v>32262</v>
      </c>
      <c r="H224" s="5">
        <v>12</v>
      </c>
      <c r="I224" s="6">
        <v>46125</v>
      </c>
      <c r="J224" s="6">
        <v>46126</v>
      </c>
      <c r="K224" s="10" t="s">
        <v>20</v>
      </c>
      <c r="L224" s="16">
        <f t="shared" si="3"/>
        <v>61943.040000000001</v>
      </c>
    </row>
    <row r="225" spans="1:12" ht="15" thickBot="1" x14ac:dyDescent="0.4">
      <c r="A225" s="5">
        <v>1130</v>
      </c>
      <c r="B225" s="5" t="s">
        <v>48</v>
      </c>
      <c r="C225" s="5" t="s">
        <v>33</v>
      </c>
      <c r="D225" s="5" t="s">
        <v>13</v>
      </c>
      <c r="E225" s="5" t="s">
        <v>14</v>
      </c>
      <c r="F225" s="5">
        <v>12</v>
      </c>
      <c r="G225" s="5">
        <v>50</v>
      </c>
      <c r="H225" s="5">
        <v>2</v>
      </c>
      <c r="I225" s="6">
        <v>46125</v>
      </c>
      <c r="J225" s="6">
        <v>46131</v>
      </c>
      <c r="K225" s="10" t="s">
        <v>24</v>
      </c>
      <c r="L225" s="16">
        <f t="shared" si="3"/>
        <v>12</v>
      </c>
    </row>
    <row r="226" spans="1:12" ht="15" thickBot="1" x14ac:dyDescent="0.4">
      <c r="A226" s="5">
        <v>1073</v>
      </c>
      <c r="B226" s="5" t="s">
        <v>58</v>
      </c>
      <c r="C226" s="5" t="s">
        <v>17</v>
      </c>
      <c r="D226" s="5" t="s">
        <v>18</v>
      </c>
      <c r="E226" s="5" t="s">
        <v>56</v>
      </c>
      <c r="F226" s="5">
        <v>4</v>
      </c>
      <c r="G226" s="5">
        <v>2453</v>
      </c>
      <c r="H226" s="5">
        <v>7</v>
      </c>
      <c r="I226" s="6">
        <v>46126</v>
      </c>
      <c r="J226" s="6">
        <v>46129</v>
      </c>
      <c r="K226" s="10" t="s">
        <v>51</v>
      </c>
      <c r="L226" s="16">
        <f t="shared" si="3"/>
        <v>686.84</v>
      </c>
    </row>
    <row r="227" spans="1:12" ht="15" thickBot="1" x14ac:dyDescent="0.4">
      <c r="A227" s="5">
        <v>1098</v>
      </c>
      <c r="B227" s="5" t="s">
        <v>26</v>
      </c>
      <c r="C227" s="5" t="s">
        <v>25</v>
      </c>
      <c r="D227" s="5" t="s">
        <v>13</v>
      </c>
      <c r="E227" s="5" t="s">
        <v>53</v>
      </c>
      <c r="F227" s="5">
        <v>17</v>
      </c>
      <c r="G227" s="5">
        <v>345</v>
      </c>
      <c r="H227" s="5">
        <v>2</v>
      </c>
      <c r="I227" s="6">
        <v>46126</v>
      </c>
      <c r="J227" s="6">
        <v>46127</v>
      </c>
      <c r="K227" s="10" t="s">
        <v>51</v>
      </c>
      <c r="L227" s="16">
        <f t="shared" si="3"/>
        <v>117.3</v>
      </c>
    </row>
    <row r="228" spans="1:12" ht="15" thickBot="1" x14ac:dyDescent="0.4">
      <c r="A228" s="5">
        <v>1329</v>
      </c>
      <c r="B228" s="5" t="s">
        <v>30</v>
      </c>
      <c r="C228" s="5" t="s">
        <v>43</v>
      </c>
      <c r="D228" s="5" t="s">
        <v>13</v>
      </c>
      <c r="E228" s="5" t="s">
        <v>53</v>
      </c>
      <c r="F228" s="5">
        <v>18</v>
      </c>
      <c r="G228" s="5">
        <v>227</v>
      </c>
      <c r="H228" s="5">
        <v>5</v>
      </c>
      <c r="I228" s="6">
        <v>46126</v>
      </c>
      <c r="J228" s="6">
        <v>46136</v>
      </c>
      <c r="K228" s="10" t="s">
        <v>29</v>
      </c>
      <c r="L228" s="16">
        <f t="shared" si="3"/>
        <v>204.3</v>
      </c>
    </row>
    <row r="229" spans="1:12" ht="15" thickBot="1" x14ac:dyDescent="0.4">
      <c r="A229" s="5">
        <v>1358</v>
      </c>
      <c r="B229" s="5" t="s">
        <v>40</v>
      </c>
      <c r="C229" s="5" t="s">
        <v>38</v>
      </c>
      <c r="D229" s="5" t="s">
        <v>18</v>
      </c>
      <c r="E229" s="5" t="s">
        <v>19</v>
      </c>
      <c r="F229" s="5">
        <v>7</v>
      </c>
      <c r="G229" s="5">
        <v>6618</v>
      </c>
      <c r="H229" s="5">
        <v>0</v>
      </c>
      <c r="I229" s="6">
        <v>46127</v>
      </c>
      <c r="J229" s="6">
        <v>46129</v>
      </c>
      <c r="K229" s="10" t="s">
        <v>20</v>
      </c>
      <c r="L229" s="16">
        <f t="shared" si="3"/>
        <v>0</v>
      </c>
    </row>
    <row r="230" spans="1:12" ht="15" thickBot="1" x14ac:dyDescent="0.4">
      <c r="A230" s="5">
        <v>1050</v>
      </c>
      <c r="B230" s="5" t="s">
        <v>32</v>
      </c>
      <c r="C230" s="5" t="s">
        <v>25</v>
      </c>
      <c r="D230" s="5" t="s">
        <v>13</v>
      </c>
      <c r="E230" s="5" t="s">
        <v>53</v>
      </c>
      <c r="F230" s="5">
        <v>12</v>
      </c>
      <c r="G230" s="5">
        <v>360</v>
      </c>
      <c r="H230" s="5">
        <v>5</v>
      </c>
      <c r="I230" s="6">
        <v>46127</v>
      </c>
      <c r="J230" s="6">
        <v>46137</v>
      </c>
      <c r="K230" s="10" t="s">
        <v>29</v>
      </c>
      <c r="L230" s="16">
        <f t="shared" si="3"/>
        <v>216</v>
      </c>
    </row>
    <row r="231" spans="1:12" ht="15" thickBot="1" x14ac:dyDescent="0.4">
      <c r="A231" s="5">
        <v>1380</v>
      </c>
      <c r="B231" s="5" t="s">
        <v>52</v>
      </c>
      <c r="C231" s="5" t="s">
        <v>43</v>
      </c>
      <c r="D231" s="5" t="s">
        <v>13</v>
      </c>
      <c r="E231" s="5" t="s">
        <v>53</v>
      </c>
      <c r="F231" s="5">
        <v>3</v>
      </c>
      <c r="G231" s="5">
        <v>412</v>
      </c>
      <c r="H231" s="5">
        <v>7</v>
      </c>
      <c r="I231" s="6">
        <v>46128</v>
      </c>
      <c r="J231" s="6">
        <v>46138</v>
      </c>
      <c r="K231" s="10" t="s">
        <v>24</v>
      </c>
      <c r="L231" s="16">
        <f t="shared" si="3"/>
        <v>86.52</v>
      </c>
    </row>
    <row r="232" spans="1:12" ht="15" thickBot="1" x14ac:dyDescent="0.4">
      <c r="A232" s="5">
        <v>1308</v>
      </c>
      <c r="B232" s="5" t="s">
        <v>30</v>
      </c>
      <c r="C232" s="5" t="s">
        <v>22</v>
      </c>
      <c r="D232" s="5" t="s">
        <v>34</v>
      </c>
      <c r="E232" s="5" t="s">
        <v>41</v>
      </c>
      <c r="F232" s="5">
        <v>12</v>
      </c>
      <c r="G232" s="5">
        <v>66075</v>
      </c>
      <c r="H232" s="5">
        <v>5</v>
      </c>
      <c r="I232" s="6">
        <v>46129</v>
      </c>
      <c r="J232" s="6">
        <v>46135</v>
      </c>
      <c r="K232" s="10" t="s">
        <v>20</v>
      </c>
      <c r="L232" s="16">
        <f t="shared" si="3"/>
        <v>39645</v>
      </c>
    </row>
    <row r="233" spans="1:12" ht="15" thickBot="1" x14ac:dyDescent="0.4">
      <c r="A233" s="5">
        <v>1014</v>
      </c>
      <c r="B233" s="5" t="s">
        <v>40</v>
      </c>
      <c r="C233" s="5" t="s">
        <v>17</v>
      </c>
      <c r="D233" s="5" t="s">
        <v>34</v>
      </c>
      <c r="E233" s="5" t="s">
        <v>41</v>
      </c>
      <c r="F233" s="5">
        <v>19</v>
      </c>
      <c r="G233" s="5">
        <v>53683</v>
      </c>
      <c r="H233" s="5">
        <v>12</v>
      </c>
      <c r="I233" s="6">
        <v>46129</v>
      </c>
      <c r="J233" s="6">
        <v>46134</v>
      </c>
      <c r="K233" s="10" t="s">
        <v>29</v>
      </c>
      <c r="L233" s="16">
        <f t="shared" si="3"/>
        <v>122397.24</v>
      </c>
    </row>
    <row r="234" spans="1:12" ht="15" thickBot="1" x14ac:dyDescent="0.4">
      <c r="A234" s="5">
        <v>1071</v>
      </c>
      <c r="B234" s="5" t="s">
        <v>59</v>
      </c>
      <c r="C234" s="5" t="s">
        <v>22</v>
      </c>
      <c r="D234" s="5" t="s">
        <v>34</v>
      </c>
      <c r="E234" s="5" t="s">
        <v>61</v>
      </c>
      <c r="F234" s="5">
        <v>18</v>
      </c>
      <c r="G234" s="5">
        <v>32197</v>
      </c>
      <c r="H234" s="5">
        <v>5</v>
      </c>
      <c r="I234" s="6">
        <v>46129</v>
      </c>
      <c r="J234" s="6">
        <v>46137</v>
      </c>
      <c r="K234" s="10" t="s">
        <v>20</v>
      </c>
      <c r="L234" s="16">
        <f t="shared" si="3"/>
        <v>28977.3</v>
      </c>
    </row>
    <row r="235" spans="1:12" ht="15" thickBot="1" x14ac:dyDescent="0.4">
      <c r="A235" s="5">
        <v>1194</v>
      </c>
      <c r="B235" s="5" t="s">
        <v>57</v>
      </c>
      <c r="C235" s="5" t="s">
        <v>43</v>
      </c>
      <c r="D235" s="5" t="s">
        <v>18</v>
      </c>
      <c r="E235" s="5" t="s">
        <v>28</v>
      </c>
      <c r="F235" s="5">
        <v>13</v>
      </c>
      <c r="G235" s="5">
        <v>12856</v>
      </c>
      <c r="H235" s="5">
        <v>15</v>
      </c>
      <c r="I235" s="6">
        <v>46129</v>
      </c>
      <c r="J235" s="6">
        <v>46133</v>
      </c>
      <c r="K235" s="10" t="s">
        <v>51</v>
      </c>
      <c r="L235" s="16">
        <f t="shared" si="3"/>
        <v>25069.200000000001</v>
      </c>
    </row>
    <row r="236" spans="1:12" ht="15" thickBot="1" x14ac:dyDescent="0.4">
      <c r="A236" s="5">
        <v>1269</v>
      </c>
      <c r="B236" s="5" t="s">
        <v>52</v>
      </c>
      <c r="C236" s="5" t="s">
        <v>43</v>
      </c>
      <c r="D236" s="5" t="s">
        <v>18</v>
      </c>
      <c r="E236" s="5" t="s">
        <v>19</v>
      </c>
      <c r="F236" s="5">
        <v>14</v>
      </c>
      <c r="G236" s="5">
        <v>5704</v>
      </c>
      <c r="H236" s="5">
        <v>2</v>
      </c>
      <c r="I236" s="6">
        <v>46129</v>
      </c>
      <c r="J236" s="6">
        <v>46131</v>
      </c>
      <c r="K236" s="10" t="s">
        <v>15</v>
      </c>
      <c r="L236" s="16">
        <f t="shared" si="3"/>
        <v>1597.12</v>
      </c>
    </row>
    <row r="237" spans="1:12" ht="15" thickBot="1" x14ac:dyDescent="0.4">
      <c r="A237" s="5">
        <v>1267</v>
      </c>
      <c r="B237" s="5" t="s">
        <v>27</v>
      </c>
      <c r="C237" s="5" t="s">
        <v>38</v>
      </c>
      <c r="D237" s="5" t="s">
        <v>13</v>
      </c>
      <c r="E237" s="5" t="s">
        <v>50</v>
      </c>
      <c r="F237" s="5">
        <v>1</v>
      </c>
      <c r="G237" s="5">
        <v>50</v>
      </c>
      <c r="H237" s="5">
        <v>0</v>
      </c>
      <c r="I237" s="6">
        <v>46129</v>
      </c>
      <c r="J237" s="6">
        <v>46138</v>
      </c>
      <c r="K237" s="10" t="s">
        <v>20</v>
      </c>
      <c r="L237" s="16">
        <f t="shared" si="3"/>
        <v>0</v>
      </c>
    </row>
    <row r="238" spans="1:12" ht="15" thickBot="1" x14ac:dyDescent="0.4">
      <c r="A238" s="5">
        <v>1382</v>
      </c>
      <c r="B238" s="5" t="s">
        <v>49</v>
      </c>
      <c r="C238" s="5" t="s">
        <v>33</v>
      </c>
      <c r="D238" s="5" t="s">
        <v>34</v>
      </c>
      <c r="E238" s="5" t="s">
        <v>60</v>
      </c>
      <c r="F238" s="5">
        <v>11</v>
      </c>
      <c r="G238" s="5">
        <v>36198</v>
      </c>
      <c r="H238" s="5">
        <v>0</v>
      </c>
      <c r="I238" s="6">
        <v>46130</v>
      </c>
      <c r="J238" s="6">
        <v>46134</v>
      </c>
      <c r="K238" s="10" t="s">
        <v>15</v>
      </c>
      <c r="L238" s="16">
        <f t="shared" si="3"/>
        <v>0</v>
      </c>
    </row>
    <row r="239" spans="1:12" ht="15" thickBot="1" x14ac:dyDescent="0.4">
      <c r="A239" s="5">
        <v>1263</v>
      </c>
      <c r="B239" s="5" t="s">
        <v>29</v>
      </c>
      <c r="C239" s="5" t="s">
        <v>38</v>
      </c>
      <c r="D239" s="5" t="s">
        <v>18</v>
      </c>
      <c r="E239" s="5" t="s">
        <v>28</v>
      </c>
      <c r="F239" s="5">
        <v>10</v>
      </c>
      <c r="G239" s="5">
        <v>1505</v>
      </c>
      <c r="H239" s="5">
        <v>0</v>
      </c>
      <c r="I239" s="6">
        <v>46130</v>
      </c>
      <c r="J239" s="6">
        <v>46138</v>
      </c>
      <c r="K239" s="10" t="s">
        <v>51</v>
      </c>
      <c r="L239" s="16">
        <f t="shared" si="3"/>
        <v>0</v>
      </c>
    </row>
    <row r="240" spans="1:12" ht="15" thickBot="1" x14ac:dyDescent="0.4">
      <c r="A240" s="5">
        <v>1168</v>
      </c>
      <c r="B240" s="5" t="s">
        <v>54</v>
      </c>
      <c r="C240" s="5" t="s">
        <v>12</v>
      </c>
      <c r="D240" s="5" t="s">
        <v>13</v>
      </c>
      <c r="E240" s="5" t="s">
        <v>37</v>
      </c>
      <c r="F240" s="5">
        <v>18</v>
      </c>
      <c r="G240" s="5">
        <v>335</v>
      </c>
      <c r="H240" s="5">
        <v>15</v>
      </c>
      <c r="I240" s="6">
        <v>46130</v>
      </c>
      <c r="J240" s="6">
        <v>46140</v>
      </c>
      <c r="K240" s="10" t="s">
        <v>29</v>
      </c>
      <c r="L240" s="16">
        <f t="shared" si="3"/>
        <v>904.5</v>
      </c>
    </row>
    <row r="241" spans="1:12" ht="15" thickBot="1" x14ac:dyDescent="0.4">
      <c r="A241" s="5">
        <v>1215</v>
      </c>
      <c r="B241" s="5" t="s">
        <v>27</v>
      </c>
      <c r="C241" s="5" t="s">
        <v>12</v>
      </c>
      <c r="D241" s="5" t="s">
        <v>18</v>
      </c>
      <c r="E241" s="5" t="s">
        <v>28</v>
      </c>
      <c r="F241" s="5">
        <v>6</v>
      </c>
      <c r="G241" s="5">
        <v>1254</v>
      </c>
      <c r="H241" s="5">
        <v>0</v>
      </c>
      <c r="I241" s="6">
        <v>46131</v>
      </c>
      <c r="J241" s="6">
        <v>46136</v>
      </c>
      <c r="K241" s="10" t="s">
        <v>29</v>
      </c>
      <c r="L241" s="16">
        <f t="shared" si="3"/>
        <v>0</v>
      </c>
    </row>
    <row r="242" spans="1:12" ht="15" thickBot="1" x14ac:dyDescent="0.4">
      <c r="A242" s="5">
        <v>1122</v>
      </c>
      <c r="B242" s="5" t="s">
        <v>40</v>
      </c>
      <c r="C242" s="5" t="s">
        <v>22</v>
      </c>
      <c r="D242" s="5" t="s">
        <v>34</v>
      </c>
      <c r="E242" s="5" t="s">
        <v>39</v>
      </c>
      <c r="F242" s="5">
        <v>14</v>
      </c>
      <c r="G242" s="5">
        <v>49990</v>
      </c>
      <c r="H242" s="5">
        <v>10</v>
      </c>
      <c r="I242" s="6">
        <v>46132</v>
      </c>
      <c r="J242" s="6">
        <v>46135</v>
      </c>
      <c r="K242" s="10" t="s">
        <v>29</v>
      </c>
      <c r="L242" s="16">
        <f t="shared" si="3"/>
        <v>69986</v>
      </c>
    </row>
    <row r="243" spans="1:12" ht="15" thickBot="1" x14ac:dyDescent="0.4">
      <c r="A243" s="5">
        <v>1342</v>
      </c>
      <c r="B243" s="5" t="s">
        <v>59</v>
      </c>
      <c r="C243" s="5" t="s">
        <v>31</v>
      </c>
      <c r="D243" s="5" t="s">
        <v>34</v>
      </c>
      <c r="E243" s="5" t="s">
        <v>35</v>
      </c>
      <c r="F243" s="5">
        <v>13</v>
      </c>
      <c r="G243" s="5">
        <v>47881</v>
      </c>
      <c r="H243" s="5">
        <v>15</v>
      </c>
      <c r="I243" s="6">
        <v>46132</v>
      </c>
      <c r="J243" s="6">
        <v>46139</v>
      </c>
      <c r="K243" s="10" t="s">
        <v>29</v>
      </c>
      <c r="L243" s="16">
        <f t="shared" si="3"/>
        <v>93367.95</v>
      </c>
    </row>
    <row r="244" spans="1:12" ht="15" thickBot="1" x14ac:dyDescent="0.4">
      <c r="A244" s="5">
        <v>1080</v>
      </c>
      <c r="B244" s="5" t="s">
        <v>21</v>
      </c>
      <c r="C244" s="5" t="s">
        <v>22</v>
      </c>
      <c r="D244" s="5" t="s">
        <v>34</v>
      </c>
      <c r="E244" s="5" t="s">
        <v>41</v>
      </c>
      <c r="F244" s="5">
        <v>12</v>
      </c>
      <c r="G244" s="5">
        <v>54161</v>
      </c>
      <c r="H244" s="5">
        <v>15</v>
      </c>
      <c r="I244" s="6">
        <v>46133</v>
      </c>
      <c r="J244" s="6">
        <v>46143</v>
      </c>
      <c r="K244" s="10" t="s">
        <v>24</v>
      </c>
      <c r="L244" s="16">
        <f t="shared" si="3"/>
        <v>97489.8</v>
      </c>
    </row>
    <row r="245" spans="1:12" ht="15" thickBot="1" x14ac:dyDescent="0.4">
      <c r="A245" s="5">
        <v>1111</v>
      </c>
      <c r="B245" s="5" t="s">
        <v>47</v>
      </c>
      <c r="C245" s="5" t="s">
        <v>17</v>
      </c>
      <c r="D245" s="5" t="s">
        <v>34</v>
      </c>
      <c r="E245" s="5" t="s">
        <v>35</v>
      </c>
      <c r="F245" s="5">
        <v>5</v>
      </c>
      <c r="G245" s="5">
        <v>49945</v>
      </c>
      <c r="H245" s="5">
        <v>12</v>
      </c>
      <c r="I245" s="6">
        <v>46133</v>
      </c>
      <c r="J245" s="6">
        <v>46141</v>
      </c>
      <c r="K245" s="10" t="s">
        <v>29</v>
      </c>
      <c r="L245" s="16">
        <f t="shared" si="3"/>
        <v>29967</v>
      </c>
    </row>
    <row r="246" spans="1:12" ht="15" thickBot="1" x14ac:dyDescent="0.4">
      <c r="A246" s="5">
        <v>1056</v>
      </c>
      <c r="B246" s="5" t="s">
        <v>11</v>
      </c>
      <c r="C246" s="5" t="s">
        <v>22</v>
      </c>
      <c r="D246" s="5" t="s">
        <v>18</v>
      </c>
      <c r="E246" s="5" t="s">
        <v>19</v>
      </c>
      <c r="F246" s="5">
        <v>3</v>
      </c>
      <c r="G246" s="5">
        <v>9771</v>
      </c>
      <c r="H246" s="5">
        <v>5</v>
      </c>
      <c r="I246" s="6">
        <v>46133</v>
      </c>
      <c r="J246" s="6">
        <v>46139</v>
      </c>
      <c r="K246" s="10" t="s">
        <v>24</v>
      </c>
      <c r="L246" s="16">
        <f t="shared" si="3"/>
        <v>1465.65</v>
      </c>
    </row>
    <row r="247" spans="1:12" ht="15" thickBot="1" x14ac:dyDescent="0.4">
      <c r="A247" s="5">
        <v>1357</v>
      </c>
      <c r="B247" s="5" t="s">
        <v>59</v>
      </c>
      <c r="C247" s="5" t="s">
        <v>25</v>
      </c>
      <c r="D247" s="5" t="s">
        <v>13</v>
      </c>
      <c r="E247" s="5" t="s">
        <v>37</v>
      </c>
      <c r="F247" s="5">
        <v>6</v>
      </c>
      <c r="G247" s="5">
        <v>365</v>
      </c>
      <c r="H247" s="5">
        <v>7</v>
      </c>
      <c r="I247" s="6">
        <v>46133</v>
      </c>
      <c r="J247" s="6">
        <v>46140</v>
      </c>
      <c r="K247" s="10" t="s">
        <v>51</v>
      </c>
      <c r="L247" s="16">
        <f t="shared" si="3"/>
        <v>153.30000000000001</v>
      </c>
    </row>
    <row r="248" spans="1:12" ht="15" thickBot="1" x14ac:dyDescent="0.4">
      <c r="A248" s="5">
        <v>1125</v>
      </c>
      <c r="B248" s="5" t="s">
        <v>49</v>
      </c>
      <c r="C248" s="5" t="s">
        <v>33</v>
      </c>
      <c r="D248" s="5" t="s">
        <v>13</v>
      </c>
      <c r="E248" s="5" t="s">
        <v>14</v>
      </c>
      <c r="F248" s="5">
        <v>6</v>
      </c>
      <c r="G248" s="5">
        <v>30</v>
      </c>
      <c r="H248" s="5">
        <v>2</v>
      </c>
      <c r="I248" s="6">
        <v>46133</v>
      </c>
      <c r="J248" s="6">
        <v>46138</v>
      </c>
      <c r="K248" s="10" t="s">
        <v>24</v>
      </c>
      <c r="L248" s="16">
        <f t="shared" si="3"/>
        <v>3.6</v>
      </c>
    </row>
    <row r="249" spans="1:12" ht="15" thickBot="1" x14ac:dyDescent="0.4">
      <c r="A249" s="5">
        <v>1200</v>
      </c>
      <c r="B249" s="5" t="s">
        <v>29</v>
      </c>
      <c r="C249" s="5" t="s">
        <v>31</v>
      </c>
      <c r="D249" s="5" t="s">
        <v>34</v>
      </c>
      <c r="E249" s="5" t="s">
        <v>45</v>
      </c>
      <c r="F249" s="5">
        <v>13</v>
      </c>
      <c r="G249" s="5">
        <v>69422</v>
      </c>
      <c r="H249" s="5">
        <v>0</v>
      </c>
      <c r="I249" s="6">
        <v>46134</v>
      </c>
      <c r="J249" s="6">
        <v>46143</v>
      </c>
      <c r="K249" s="10" t="s">
        <v>29</v>
      </c>
      <c r="L249" s="16">
        <f t="shared" si="3"/>
        <v>0</v>
      </c>
    </row>
    <row r="250" spans="1:12" ht="15" thickBot="1" x14ac:dyDescent="0.4">
      <c r="A250" s="5">
        <v>1270</v>
      </c>
      <c r="B250" s="5" t="s">
        <v>49</v>
      </c>
      <c r="C250" s="5" t="s">
        <v>43</v>
      </c>
      <c r="D250" s="5" t="s">
        <v>34</v>
      </c>
      <c r="E250" s="5" t="s">
        <v>35</v>
      </c>
      <c r="F250" s="5">
        <v>16</v>
      </c>
      <c r="G250" s="5">
        <v>62941</v>
      </c>
      <c r="H250" s="5">
        <v>7</v>
      </c>
      <c r="I250" s="6">
        <v>46135</v>
      </c>
      <c r="J250" s="6">
        <v>46141</v>
      </c>
      <c r="K250" s="10" t="s">
        <v>51</v>
      </c>
      <c r="L250" s="16">
        <f t="shared" si="3"/>
        <v>70493.919999999998</v>
      </c>
    </row>
    <row r="251" spans="1:12" ht="15" thickBot="1" x14ac:dyDescent="0.4">
      <c r="A251" s="5">
        <v>1216</v>
      </c>
      <c r="B251" s="5" t="s">
        <v>40</v>
      </c>
      <c r="C251" s="5" t="s">
        <v>22</v>
      </c>
      <c r="D251" s="5" t="s">
        <v>34</v>
      </c>
      <c r="E251" s="5" t="s">
        <v>45</v>
      </c>
      <c r="F251" s="5">
        <v>10</v>
      </c>
      <c r="G251" s="5">
        <v>56709</v>
      </c>
      <c r="H251" s="5">
        <v>15</v>
      </c>
      <c r="I251" s="6">
        <v>46135</v>
      </c>
      <c r="J251" s="6">
        <v>46139</v>
      </c>
      <c r="K251" s="10" t="s">
        <v>29</v>
      </c>
      <c r="L251" s="16">
        <f t="shared" si="3"/>
        <v>85063.5</v>
      </c>
    </row>
    <row r="252" spans="1:12" ht="15" thickBot="1" x14ac:dyDescent="0.4">
      <c r="A252" s="5">
        <v>1091</v>
      </c>
      <c r="B252" s="5" t="s">
        <v>55</v>
      </c>
      <c r="C252" s="5" t="s">
        <v>17</v>
      </c>
      <c r="D252" s="5" t="s">
        <v>13</v>
      </c>
      <c r="E252" s="5" t="s">
        <v>53</v>
      </c>
      <c r="F252" s="5">
        <v>2</v>
      </c>
      <c r="G252" s="5">
        <v>305</v>
      </c>
      <c r="H252" s="5">
        <v>0</v>
      </c>
      <c r="I252" s="6">
        <v>46136</v>
      </c>
      <c r="J252" s="6">
        <v>46144</v>
      </c>
      <c r="K252" s="10" t="s">
        <v>15</v>
      </c>
      <c r="L252" s="16">
        <f t="shared" si="3"/>
        <v>0</v>
      </c>
    </row>
    <row r="253" spans="1:12" ht="15" thickBot="1" x14ac:dyDescent="0.4">
      <c r="A253" s="5">
        <v>1016</v>
      </c>
      <c r="B253" s="5" t="s">
        <v>32</v>
      </c>
      <c r="C253" s="5" t="s">
        <v>33</v>
      </c>
      <c r="D253" s="5" t="s">
        <v>34</v>
      </c>
      <c r="E253" s="5" t="s">
        <v>45</v>
      </c>
      <c r="F253" s="5">
        <v>16</v>
      </c>
      <c r="G253" s="5">
        <v>30234</v>
      </c>
      <c r="H253" s="5">
        <v>15</v>
      </c>
      <c r="I253" s="6">
        <v>46137</v>
      </c>
      <c r="J253" s="6">
        <v>46140</v>
      </c>
      <c r="K253" s="10" t="s">
        <v>24</v>
      </c>
      <c r="L253" s="16">
        <f t="shared" si="3"/>
        <v>72561.600000000006</v>
      </c>
    </row>
    <row r="254" spans="1:12" ht="15" thickBot="1" x14ac:dyDescent="0.4">
      <c r="A254" s="5">
        <v>1237</v>
      </c>
      <c r="B254" s="5" t="s">
        <v>46</v>
      </c>
      <c r="C254" s="5" t="s">
        <v>38</v>
      </c>
      <c r="D254" s="5" t="s">
        <v>18</v>
      </c>
      <c r="E254" s="5" t="s">
        <v>56</v>
      </c>
      <c r="F254" s="5">
        <v>8</v>
      </c>
      <c r="G254" s="5">
        <v>12123</v>
      </c>
      <c r="H254" s="5">
        <v>2</v>
      </c>
      <c r="I254" s="6">
        <v>46137</v>
      </c>
      <c r="J254" s="6">
        <v>46145</v>
      </c>
      <c r="K254" s="10" t="s">
        <v>15</v>
      </c>
      <c r="L254" s="16">
        <f t="shared" si="3"/>
        <v>1939.68</v>
      </c>
    </row>
    <row r="255" spans="1:12" ht="15" thickBot="1" x14ac:dyDescent="0.4">
      <c r="A255" s="5">
        <v>1258</v>
      </c>
      <c r="B255" s="5" t="s">
        <v>32</v>
      </c>
      <c r="C255" s="5" t="s">
        <v>31</v>
      </c>
      <c r="D255" s="5" t="s">
        <v>34</v>
      </c>
      <c r="E255" s="5" t="s">
        <v>60</v>
      </c>
      <c r="F255" s="5">
        <v>1</v>
      </c>
      <c r="G255" s="5">
        <v>10600</v>
      </c>
      <c r="H255" s="5">
        <v>5</v>
      </c>
      <c r="I255" s="6">
        <v>46137</v>
      </c>
      <c r="J255" s="6">
        <v>46138</v>
      </c>
      <c r="K255" s="10" t="s">
        <v>29</v>
      </c>
      <c r="L255" s="16">
        <f t="shared" si="3"/>
        <v>530</v>
      </c>
    </row>
    <row r="256" spans="1:12" ht="15" thickBot="1" x14ac:dyDescent="0.4">
      <c r="A256" s="5">
        <v>1188</v>
      </c>
      <c r="B256" s="5" t="s">
        <v>29</v>
      </c>
      <c r="C256" s="5" t="s">
        <v>22</v>
      </c>
      <c r="D256" s="5" t="s">
        <v>18</v>
      </c>
      <c r="E256" s="5" t="s">
        <v>56</v>
      </c>
      <c r="F256" s="5">
        <v>6</v>
      </c>
      <c r="G256" s="5">
        <v>10368</v>
      </c>
      <c r="H256" s="5">
        <v>7</v>
      </c>
      <c r="I256" s="6">
        <v>46137</v>
      </c>
      <c r="J256" s="6">
        <v>46142</v>
      </c>
      <c r="K256" s="10" t="s">
        <v>15</v>
      </c>
      <c r="L256" s="16">
        <f t="shared" si="3"/>
        <v>4354.5600000000004</v>
      </c>
    </row>
    <row r="257" spans="1:12" ht="15" thickBot="1" x14ac:dyDescent="0.4">
      <c r="A257" s="5">
        <v>1291</v>
      </c>
      <c r="B257" s="5" t="s">
        <v>21</v>
      </c>
      <c r="C257" s="5" t="s">
        <v>17</v>
      </c>
      <c r="D257" s="5" t="s">
        <v>13</v>
      </c>
      <c r="E257" s="5" t="s">
        <v>36</v>
      </c>
      <c r="F257" s="5">
        <v>17</v>
      </c>
      <c r="G257" s="5">
        <v>415</v>
      </c>
      <c r="H257" s="5">
        <v>5</v>
      </c>
      <c r="I257" s="6">
        <v>46137</v>
      </c>
      <c r="J257" s="6">
        <v>46141</v>
      </c>
      <c r="K257" s="10" t="s">
        <v>20</v>
      </c>
      <c r="L257" s="16">
        <f t="shared" si="3"/>
        <v>352.75</v>
      </c>
    </row>
    <row r="258" spans="1:12" ht="15" thickBot="1" x14ac:dyDescent="0.4">
      <c r="A258" s="5">
        <v>1144</v>
      </c>
      <c r="B258" s="5" t="s">
        <v>42</v>
      </c>
      <c r="C258" s="5" t="s">
        <v>25</v>
      </c>
      <c r="D258" s="5" t="s">
        <v>13</v>
      </c>
      <c r="E258" s="5" t="s">
        <v>14</v>
      </c>
      <c r="F258" s="5">
        <v>16</v>
      </c>
      <c r="G258" s="5">
        <v>219</v>
      </c>
      <c r="H258" s="5">
        <v>7</v>
      </c>
      <c r="I258" s="6">
        <v>46138</v>
      </c>
      <c r="J258" s="6">
        <v>46140</v>
      </c>
      <c r="K258" s="10" t="s">
        <v>20</v>
      </c>
      <c r="L258" s="16">
        <f t="shared" si="3"/>
        <v>245.28</v>
      </c>
    </row>
    <row r="259" spans="1:12" ht="15" thickBot="1" x14ac:dyDescent="0.4">
      <c r="A259" s="5">
        <v>1214</v>
      </c>
      <c r="B259" s="5" t="s">
        <v>42</v>
      </c>
      <c r="C259" s="5" t="s">
        <v>25</v>
      </c>
      <c r="D259" s="5" t="s">
        <v>18</v>
      </c>
      <c r="E259" s="5" t="s">
        <v>28</v>
      </c>
      <c r="F259" s="5">
        <v>19</v>
      </c>
      <c r="G259" s="5">
        <v>13832</v>
      </c>
      <c r="H259" s="5">
        <v>0</v>
      </c>
      <c r="I259" s="6">
        <v>46140</v>
      </c>
      <c r="J259" s="6">
        <v>46145</v>
      </c>
      <c r="K259" s="10" t="s">
        <v>51</v>
      </c>
      <c r="L259" s="16">
        <f t="shared" ref="L259:L322" si="4">(F259*G259)*H259/100</f>
        <v>0</v>
      </c>
    </row>
    <row r="260" spans="1:12" ht="15" thickBot="1" x14ac:dyDescent="0.4">
      <c r="A260" s="5">
        <v>1346</v>
      </c>
      <c r="B260" s="5" t="s">
        <v>32</v>
      </c>
      <c r="C260" s="5" t="s">
        <v>22</v>
      </c>
      <c r="D260" s="5" t="s">
        <v>18</v>
      </c>
      <c r="E260" s="5" t="s">
        <v>19</v>
      </c>
      <c r="F260" s="5">
        <v>16</v>
      </c>
      <c r="G260" s="5">
        <v>6910</v>
      </c>
      <c r="H260" s="5">
        <v>15</v>
      </c>
      <c r="I260" s="6">
        <v>46140</v>
      </c>
      <c r="J260" s="6">
        <v>46142</v>
      </c>
      <c r="K260" s="10" t="s">
        <v>29</v>
      </c>
      <c r="L260" s="16">
        <f t="shared" si="4"/>
        <v>16584</v>
      </c>
    </row>
    <row r="261" spans="1:12" ht="15" thickBot="1" x14ac:dyDescent="0.4">
      <c r="A261" s="5">
        <v>1101</v>
      </c>
      <c r="B261" s="5" t="s">
        <v>27</v>
      </c>
      <c r="C261" s="5" t="s">
        <v>22</v>
      </c>
      <c r="D261" s="5" t="s">
        <v>34</v>
      </c>
      <c r="E261" s="5" t="s">
        <v>61</v>
      </c>
      <c r="F261" s="5">
        <v>9</v>
      </c>
      <c r="G261" s="5">
        <v>37361</v>
      </c>
      <c r="H261" s="5">
        <v>10</v>
      </c>
      <c r="I261" s="6">
        <v>46141</v>
      </c>
      <c r="J261" s="6">
        <v>46142</v>
      </c>
      <c r="K261" s="10" t="s">
        <v>24</v>
      </c>
      <c r="L261" s="16">
        <f t="shared" si="4"/>
        <v>33624.9</v>
      </c>
    </row>
    <row r="262" spans="1:12" ht="15" thickBot="1" x14ac:dyDescent="0.4">
      <c r="A262" s="5">
        <v>1322</v>
      </c>
      <c r="B262" s="5" t="s">
        <v>27</v>
      </c>
      <c r="C262" s="5" t="s">
        <v>12</v>
      </c>
      <c r="D262" s="5" t="s">
        <v>18</v>
      </c>
      <c r="E262" s="5" t="s">
        <v>23</v>
      </c>
      <c r="F262" s="5">
        <v>14</v>
      </c>
      <c r="G262" s="5">
        <v>9081</v>
      </c>
      <c r="H262" s="5">
        <v>15</v>
      </c>
      <c r="I262" s="6">
        <v>46141</v>
      </c>
      <c r="J262" s="6">
        <v>46146</v>
      </c>
      <c r="K262" s="10" t="s">
        <v>15</v>
      </c>
      <c r="L262" s="16">
        <f t="shared" si="4"/>
        <v>19070.099999999999</v>
      </c>
    </row>
    <row r="263" spans="1:12" ht="15" thickBot="1" x14ac:dyDescent="0.4">
      <c r="A263" s="5">
        <v>1361</v>
      </c>
      <c r="B263" s="5" t="s">
        <v>42</v>
      </c>
      <c r="C263" s="5" t="s">
        <v>17</v>
      </c>
      <c r="D263" s="5" t="s">
        <v>18</v>
      </c>
      <c r="E263" s="5" t="s">
        <v>23</v>
      </c>
      <c r="F263" s="5">
        <v>2</v>
      </c>
      <c r="G263" s="5">
        <v>1822</v>
      </c>
      <c r="H263" s="5">
        <v>5</v>
      </c>
      <c r="I263" s="6">
        <v>46141</v>
      </c>
      <c r="J263" s="6">
        <v>46145</v>
      </c>
      <c r="K263" s="10" t="s">
        <v>20</v>
      </c>
      <c r="L263" s="16">
        <f t="shared" si="4"/>
        <v>182.2</v>
      </c>
    </row>
    <row r="264" spans="1:12" ht="15" thickBot="1" x14ac:dyDescent="0.4">
      <c r="A264" s="5">
        <v>1254</v>
      </c>
      <c r="B264" s="5" t="s">
        <v>52</v>
      </c>
      <c r="C264" s="5" t="s">
        <v>22</v>
      </c>
      <c r="D264" s="5" t="s">
        <v>13</v>
      </c>
      <c r="E264" s="5" t="s">
        <v>50</v>
      </c>
      <c r="F264" s="5">
        <v>18</v>
      </c>
      <c r="G264" s="5">
        <v>447</v>
      </c>
      <c r="H264" s="5">
        <v>15</v>
      </c>
      <c r="I264" s="6">
        <v>46141</v>
      </c>
      <c r="J264" s="6">
        <v>46149</v>
      </c>
      <c r="K264" s="10" t="s">
        <v>24</v>
      </c>
      <c r="L264" s="16">
        <f t="shared" si="4"/>
        <v>1206.9000000000001</v>
      </c>
    </row>
    <row r="265" spans="1:12" ht="15" thickBot="1" x14ac:dyDescent="0.4">
      <c r="A265" s="5">
        <v>1160</v>
      </c>
      <c r="B265" s="5" t="s">
        <v>59</v>
      </c>
      <c r="C265" s="5" t="s">
        <v>22</v>
      </c>
      <c r="D265" s="5" t="s">
        <v>34</v>
      </c>
      <c r="E265" s="5" t="s">
        <v>39</v>
      </c>
      <c r="F265" s="5">
        <v>7</v>
      </c>
      <c r="G265" s="5">
        <v>53986</v>
      </c>
      <c r="H265" s="5">
        <v>10</v>
      </c>
      <c r="I265" s="6">
        <v>46142</v>
      </c>
      <c r="J265" s="6">
        <v>46147</v>
      </c>
      <c r="K265" s="10" t="s">
        <v>51</v>
      </c>
      <c r="L265" s="16">
        <f t="shared" si="4"/>
        <v>37790.199999999997</v>
      </c>
    </row>
    <row r="266" spans="1:12" ht="15" thickBot="1" x14ac:dyDescent="0.4">
      <c r="A266" s="5">
        <v>1240</v>
      </c>
      <c r="B266" s="5" t="s">
        <v>55</v>
      </c>
      <c r="C266" s="5" t="s">
        <v>33</v>
      </c>
      <c r="D266" s="5" t="s">
        <v>18</v>
      </c>
      <c r="E266" s="5" t="s">
        <v>23</v>
      </c>
      <c r="F266" s="5">
        <v>2</v>
      </c>
      <c r="G266" s="5">
        <v>5475</v>
      </c>
      <c r="H266" s="5">
        <v>2</v>
      </c>
      <c r="I266" s="6">
        <v>46142</v>
      </c>
      <c r="J266" s="6">
        <v>46146</v>
      </c>
      <c r="K266" s="10" t="s">
        <v>29</v>
      </c>
      <c r="L266" s="16">
        <f t="shared" si="4"/>
        <v>219</v>
      </c>
    </row>
    <row r="267" spans="1:12" ht="15" thickBot="1" x14ac:dyDescent="0.4">
      <c r="A267" s="5">
        <v>1339</v>
      </c>
      <c r="B267" s="5" t="s">
        <v>32</v>
      </c>
      <c r="C267" s="5" t="s">
        <v>25</v>
      </c>
      <c r="D267" s="5" t="s">
        <v>13</v>
      </c>
      <c r="E267" s="5" t="s">
        <v>14</v>
      </c>
      <c r="F267" s="5">
        <v>6</v>
      </c>
      <c r="G267" s="5">
        <v>302</v>
      </c>
      <c r="H267" s="5">
        <v>5</v>
      </c>
      <c r="I267" s="6">
        <v>46142</v>
      </c>
      <c r="J267" s="6">
        <v>46148</v>
      </c>
      <c r="K267" s="10" t="s">
        <v>20</v>
      </c>
      <c r="L267" s="16">
        <f t="shared" si="4"/>
        <v>90.6</v>
      </c>
    </row>
    <row r="268" spans="1:12" ht="15" thickBot="1" x14ac:dyDescent="0.4">
      <c r="A268" s="5">
        <v>1150</v>
      </c>
      <c r="B268" s="5" t="s">
        <v>42</v>
      </c>
      <c r="C268" s="5" t="s">
        <v>12</v>
      </c>
      <c r="D268" s="5" t="s">
        <v>18</v>
      </c>
      <c r="E268" s="5" t="s">
        <v>56</v>
      </c>
      <c r="F268" s="5">
        <v>10</v>
      </c>
      <c r="G268" s="5">
        <v>5323</v>
      </c>
      <c r="H268" s="5">
        <v>7</v>
      </c>
      <c r="I268" s="6">
        <v>46143</v>
      </c>
      <c r="J268" s="6">
        <v>46153</v>
      </c>
      <c r="K268" s="10" t="s">
        <v>24</v>
      </c>
      <c r="L268" s="16">
        <f t="shared" si="4"/>
        <v>3726.1</v>
      </c>
    </row>
    <row r="269" spans="1:12" ht="15" thickBot="1" x14ac:dyDescent="0.4">
      <c r="A269" s="5">
        <v>1218</v>
      </c>
      <c r="B269" s="5" t="s">
        <v>55</v>
      </c>
      <c r="C269" s="5" t="s">
        <v>38</v>
      </c>
      <c r="D269" s="5" t="s">
        <v>13</v>
      </c>
      <c r="E269" s="5" t="s">
        <v>14</v>
      </c>
      <c r="F269" s="5">
        <v>1</v>
      </c>
      <c r="G269" s="5">
        <v>134</v>
      </c>
      <c r="H269" s="5">
        <v>10</v>
      </c>
      <c r="I269" s="6">
        <v>46143</v>
      </c>
      <c r="J269" s="6">
        <v>46151</v>
      </c>
      <c r="K269" s="10" t="s">
        <v>51</v>
      </c>
      <c r="L269" s="16">
        <f t="shared" si="4"/>
        <v>13.4</v>
      </c>
    </row>
    <row r="270" spans="1:12" ht="15" thickBot="1" x14ac:dyDescent="0.4">
      <c r="A270" s="5">
        <v>1021</v>
      </c>
      <c r="B270" s="5" t="s">
        <v>48</v>
      </c>
      <c r="C270" s="5" t="s">
        <v>43</v>
      </c>
      <c r="D270" s="5" t="s">
        <v>13</v>
      </c>
      <c r="E270" s="5" t="s">
        <v>14</v>
      </c>
      <c r="F270" s="5">
        <v>3</v>
      </c>
      <c r="G270" s="5">
        <v>484</v>
      </c>
      <c r="H270" s="5">
        <v>2</v>
      </c>
      <c r="I270" s="6">
        <v>46144</v>
      </c>
      <c r="J270" s="6">
        <v>46148</v>
      </c>
      <c r="K270" s="10" t="s">
        <v>24</v>
      </c>
      <c r="L270" s="16">
        <f t="shared" si="4"/>
        <v>29.04</v>
      </c>
    </row>
    <row r="271" spans="1:12" ht="15" thickBot="1" x14ac:dyDescent="0.4">
      <c r="A271" s="5">
        <v>1184</v>
      </c>
      <c r="B271" s="5" t="s">
        <v>40</v>
      </c>
      <c r="C271" s="5" t="s">
        <v>31</v>
      </c>
      <c r="D271" s="5" t="s">
        <v>34</v>
      </c>
      <c r="E271" s="5" t="s">
        <v>39</v>
      </c>
      <c r="F271" s="5">
        <v>12</v>
      </c>
      <c r="G271" s="5">
        <v>50517</v>
      </c>
      <c r="H271" s="5">
        <v>15</v>
      </c>
      <c r="I271" s="6">
        <v>46145</v>
      </c>
      <c r="J271" s="6">
        <v>46153</v>
      </c>
      <c r="K271" s="10" t="s">
        <v>29</v>
      </c>
      <c r="L271" s="16">
        <f t="shared" si="4"/>
        <v>90930.6</v>
      </c>
    </row>
    <row r="272" spans="1:12" ht="15" thickBot="1" x14ac:dyDescent="0.4">
      <c r="A272" s="5">
        <v>1333</v>
      </c>
      <c r="B272" s="5" t="s">
        <v>29</v>
      </c>
      <c r="C272" s="5" t="s">
        <v>38</v>
      </c>
      <c r="D272" s="5" t="s">
        <v>13</v>
      </c>
      <c r="E272" s="5" t="s">
        <v>53</v>
      </c>
      <c r="F272" s="5">
        <v>20</v>
      </c>
      <c r="G272" s="5">
        <v>416</v>
      </c>
      <c r="H272" s="5">
        <v>12</v>
      </c>
      <c r="I272" s="6">
        <v>46145</v>
      </c>
      <c r="J272" s="6">
        <v>46146</v>
      </c>
      <c r="K272" s="10" t="s">
        <v>51</v>
      </c>
      <c r="L272" s="16">
        <f t="shared" si="4"/>
        <v>998.4</v>
      </c>
    </row>
    <row r="273" spans="1:12" ht="15" thickBot="1" x14ac:dyDescent="0.4">
      <c r="A273" s="5">
        <v>1085</v>
      </c>
      <c r="B273" s="5" t="s">
        <v>32</v>
      </c>
      <c r="C273" s="5" t="s">
        <v>38</v>
      </c>
      <c r="D273" s="5" t="s">
        <v>34</v>
      </c>
      <c r="E273" s="5" t="s">
        <v>60</v>
      </c>
      <c r="F273" s="5">
        <v>19</v>
      </c>
      <c r="G273" s="5">
        <v>45307</v>
      </c>
      <c r="H273" s="5">
        <v>12</v>
      </c>
      <c r="I273" s="6">
        <v>46146</v>
      </c>
      <c r="J273" s="6">
        <v>46150</v>
      </c>
      <c r="K273" s="10" t="s">
        <v>24</v>
      </c>
      <c r="L273" s="16">
        <f t="shared" si="4"/>
        <v>103299.96</v>
      </c>
    </row>
    <row r="274" spans="1:12" ht="15" thickBot="1" x14ac:dyDescent="0.4">
      <c r="A274" s="5">
        <v>1305</v>
      </c>
      <c r="B274" s="5" t="s">
        <v>58</v>
      </c>
      <c r="C274" s="5" t="s">
        <v>31</v>
      </c>
      <c r="D274" s="5" t="s">
        <v>34</v>
      </c>
      <c r="E274" s="5" t="s">
        <v>60</v>
      </c>
      <c r="F274" s="5">
        <v>20</v>
      </c>
      <c r="G274" s="5">
        <v>31406</v>
      </c>
      <c r="H274" s="5">
        <v>15</v>
      </c>
      <c r="I274" s="6">
        <v>46146</v>
      </c>
      <c r="J274" s="6">
        <v>46154</v>
      </c>
      <c r="K274" s="10" t="s">
        <v>51</v>
      </c>
      <c r="L274" s="16">
        <f t="shared" si="4"/>
        <v>94218</v>
      </c>
    </row>
    <row r="275" spans="1:12" ht="15" thickBot="1" x14ac:dyDescent="0.4">
      <c r="A275" s="5">
        <v>1360</v>
      </c>
      <c r="B275" s="5" t="s">
        <v>11</v>
      </c>
      <c r="C275" s="5" t="s">
        <v>43</v>
      </c>
      <c r="D275" s="5" t="s">
        <v>18</v>
      </c>
      <c r="E275" s="5" t="s">
        <v>23</v>
      </c>
      <c r="F275" s="5">
        <v>19</v>
      </c>
      <c r="G275" s="5">
        <v>6681</v>
      </c>
      <c r="H275" s="5">
        <v>2</v>
      </c>
      <c r="I275" s="6">
        <v>46146</v>
      </c>
      <c r="J275" s="6">
        <v>46150</v>
      </c>
      <c r="K275" s="10" t="s">
        <v>15</v>
      </c>
      <c r="L275" s="16">
        <f t="shared" si="4"/>
        <v>2538.7800000000002</v>
      </c>
    </row>
    <row r="276" spans="1:12" ht="15" thickBot="1" x14ac:dyDescent="0.4">
      <c r="A276" s="5">
        <v>1117</v>
      </c>
      <c r="B276" s="5" t="s">
        <v>55</v>
      </c>
      <c r="C276" s="5" t="s">
        <v>43</v>
      </c>
      <c r="D276" s="5" t="s">
        <v>34</v>
      </c>
      <c r="E276" s="5" t="s">
        <v>39</v>
      </c>
      <c r="F276" s="5">
        <v>16</v>
      </c>
      <c r="G276" s="5">
        <v>33162</v>
      </c>
      <c r="H276" s="5">
        <v>7</v>
      </c>
      <c r="I276" s="6">
        <v>46147</v>
      </c>
      <c r="J276" s="6">
        <v>46155</v>
      </c>
      <c r="K276" s="10" t="s">
        <v>29</v>
      </c>
      <c r="L276" s="16">
        <f t="shared" si="4"/>
        <v>37141.440000000002</v>
      </c>
    </row>
    <row r="277" spans="1:12" ht="15" thickBot="1" x14ac:dyDescent="0.4">
      <c r="A277" s="5">
        <v>1063</v>
      </c>
      <c r="B277" s="5" t="s">
        <v>54</v>
      </c>
      <c r="C277" s="5" t="s">
        <v>22</v>
      </c>
      <c r="D277" s="5" t="s">
        <v>34</v>
      </c>
      <c r="E277" s="5" t="s">
        <v>45</v>
      </c>
      <c r="F277" s="5">
        <v>7</v>
      </c>
      <c r="G277" s="5">
        <v>66744</v>
      </c>
      <c r="H277" s="5">
        <v>7</v>
      </c>
      <c r="I277" s="6">
        <v>46148</v>
      </c>
      <c r="J277" s="6">
        <v>46155</v>
      </c>
      <c r="K277" s="10" t="s">
        <v>15</v>
      </c>
      <c r="L277" s="16">
        <f t="shared" si="4"/>
        <v>32704.560000000001</v>
      </c>
    </row>
    <row r="278" spans="1:12" ht="15" thickBot="1" x14ac:dyDescent="0.4">
      <c r="A278" s="5">
        <v>1134</v>
      </c>
      <c r="B278" s="5" t="s">
        <v>57</v>
      </c>
      <c r="C278" s="5" t="s">
        <v>31</v>
      </c>
      <c r="D278" s="5" t="s">
        <v>34</v>
      </c>
      <c r="E278" s="5" t="s">
        <v>61</v>
      </c>
      <c r="F278" s="5">
        <v>10</v>
      </c>
      <c r="G278" s="5">
        <v>29217</v>
      </c>
      <c r="H278" s="5">
        <v>15</v>
      </c>
      <c r="I278" s="6">
        <v>46148</v>
      </c>
      <c r="J278" s="6">
        <v>46150</v>
      </c>
      <c r="K278" s="10" t="s">
        <v>24</v>
      </c>
      <c r="L278" s="16">
        <f t="shared" si="4"/>
        <v>43825.5</v>
      </c>
    </row>
    <row r="279" spans="1:12" ht="15" thickBot="1" x14ac:dyDescent="0.4">
      <c r="A279" s="5">
        <v>1312</v>
      </c>
      <c r="B279" s="5" t="s">
        <v>57</v>
      </c>
      <c r="C279" s="5" t="s">
        <v>22</v>
      </c>
      <c r="D279" s="5" t="s">
        <v>18</v>
      </c>
      <c r="E279" s="5" t="s">
        <v>56</v>
      </c>
      <c r="F279" s="5">
        <v>20</v>
      </c>
      <c r="G279" s="5">
        <v>3274</v>
      </c>
      <c r="H279" s="5">
        <v>2</v>
      </c>
      <c r="I279" s="6">
        <v>46148</v>
      </c>
      <c r="J279" s="6">
        <v>46156</v>
      </c>
      <c r="K279" s="10" t="s">
        <v>24</v>
      </c>
      <c r="L279" s="16">
        <f t="shared" si="4"/>
        <v>1309.5999999999999</v>
      </c>
    </row>
    <row r="280" spans="1:12" ht="15" thickBot="1" x14ac:dyDescent="0.4">
      <c r="A280" s="5">
        <v>1191</v>
      </c>
      <c r="B280" s="5" t="s">
        <v>52</v>
      </c>
      <c r="C280" s="5" t="s">
        <v>33</v>
      </c>
      <c r="D280" s="5" t="s">
        <v>18</v>
      </c>
      <c r="E280" s="5" t="s">
        <v>56</v>
      </c>
      <c r="F280" s="5">
        <v>9</v>
      </c>
      <c r="G280" s="5">
        <v>8631</v>
      </c>
      <c r="H280" s="5">
        <v>10</v>
      </c>
      <c r="I280" s="6">
        <v>46149</v>
      </c>
      <c r="J280" s="6">
        <v>46156</v>
      </c>
      <c r="K280" s="10" t="s">
        <v>20</v>
      </c>
      <c r="L280" s="16">
        <f t="shared" si="4"/>
        <v>7767.9</v>
      </c>
    </row>
    <row r="281" spans="1:12" ht="15" thickBot="1" x14ac:dyDescent="0.4">
      <c r="A281" s="5">
        <v>1115</v>
      </c>
      <c r="B281" s="5" t="s">
        <v>59</v>
      </c>
      <c r="C281" s="5" t="s">
        <v>43</v>
      </c>
      <c r="D281" s="5" t="s">
        <v>13</v>
      </c>
      <c r="E281" s="5" t="s">
        <v>50</v>
      </c>
      <c r="F281" s="5">
        <v>9</v>
      </c>
      <c r="G281" s="5">
        <v>303</v>
      </c>
      <c r="H281" s="5">
        <v>10</v>
      </c>
      <c r="I281" s="6">
        <v>46149</v>
      </c>
      <c r="J281" s="6">
        <v>46157</v>
      </c>
      <c r="K281" s="10" t="s">
        <v>29</v>
      </c>
      <c r="L281" s="16">
        <f t="shared" si="4"/>
        <v>272.7</v>
      </c>
    </row>
    <row r="282" spans="1:12" ht="15" thickBot="1" x14ac:dyDescent="0.4">
      <c r="A282" s="5">
        <v>1327</v>
      </c>
      <c r="B282" s="5" t="s">
        <v>48</v>
      </c>
      <c r="C282" s="5" t="s">
        <v>12</v>
      </c>
      <c r="D282" s="5" t="s">
        <v>13</v>
      </c>
      <c r="E282" s="5" t="s">
        <v>53</v>
      </c>
      <c r="F282" s="5">
        <v>15</v>
      </c>
      <c r="G282" s="5">
        <v>449</v>
      </c>
      <c r="H282" s="5">
        <v>5</v>
      </c>
      <c r="I282" s="6">
        <v>46152</v>
      </c>
      <c r="J282" s="6">
        <v>46153</v>
      </c>
      <c r="K282" s="10" t="s">
        <v>15</v>
      </c>
      <c r="L282" s="16">
        <f t="shared" si="4"/>
        <v>336.75</v>
      </c>
    </row>
    <row r="283" spans="1:12" ht="15" thickBot="1" x14ac:dyDescent="0.4">
      <c r="A283" s="5">
        <v>1046</v>
      </c>
      <c r="B283" s="5" t="s">
        <v>57</v>
      </c>
      <c r="C283" s="5" t="s">
        <v>38</v>
      </c>
      <c r="D283" s="5" t="s">
        <v>34</v>
      </c>
      <c r="E283" s="5" t="s">
        <v>45</v>
      </c>
      <c r="F283" s="5">
        <v>3</v>
      </c>
      <c r="G283" s="5">
        <v>19443</v>
      </c>
      <c r="H283" s="5">
        <v>10</v>
      </c>
      <c r="I283" s="6">
        <v>46153</v>
      </c>
      <c r="J283" s="6">
        <v>46158</v>
      </c>
      <c r="K283" s="10" t="s">
        <v>29</v>
      </c>
      <c r="L283" s="16">
        <f t="shared" si="4"/>
        <v>5832.9</v>
      </c>
    </row>
    <row r="284" spans="1:12" ht="15" thickBot="1" x14ac:dyDescent="0.4">
      <c r="A284" s="5">
        <v>1185</v>
      </c>
      <c r="B284" s="5" t="s">
        <v>58</v>
      </c>
      <c r="C284" s="5" t="s">
        <v>22</v>
      </c>
      <c r="D284" s="5" t="s">
        <v>34</v>
      </c>
      <c r="E284" s="5" t="s">
        <v>60</v>
      </c>
      <c r="F284" s="5">
        <v>16</v>
      </c>
      <c r="G284" s="5">
        <v>15536</v>
      </c>
      <c r="H284" s="5">
        <v>2</v>
      </c>
      <c r="I284" s="6">
        <v>46153</v>
      </c>
      <c r="J284" s="6">
        <v>46156</v>
      </c>
      <c r="K284" s="10" t="s">
        <v>15</v>
      </c>
      <c r="L284" s="16">
        <f t="shared" si="4"/>
        <v>4971.5200000000004</v>
      </c>
    </row>
    <row r="285" spans="1:12" ht="15" thickBot="1" x14ac:dyDescent="0.4">
      <c r="A285" s="5">
        <v>1147</v>
      </c>
      <c r="B285" s="5" t="s">
        <v>11</v>
      </c>
      <c r="C285" s="5" t="s">
        <v>22</v>
      </c>
      <c r="D285" s="5" t="s">
        <v>18</v>
      </c>
      <c r="E285" s="5" t="s">
        <v>28</v>
      </c>
      <c r="F285" s="5">
        <v>7</v>
      </c>
      <c r="G285" s="5">
        <v>9581</v>
      </c>
      <c r="H285" s="5">
        <v>5</v>
      </c>
      <c r="I285" s="6">
        <v>46154</v>
      </c>
      <c r="J285" s="6">
        <v>46155</v>
      </c>
      <c r="K285" s="10" t="s">
        <v>20</v>
      </c>
      <c r="L285" s="16">
        <f t="shared" si="4"/>
        <v>3353.35</v>
      </c>
    </row>
    <row r="286" spans="1:12" ht="15" thickBot="1" x14ac:dyDescent="0.4">
      <c r="A286" s="5">
        <v>1222</v>
      </c>
      <c r="B286" s="5" t="s">
        <v>30</v>
      </c>
      <c r="C286" s="5" t="s">
        <v>33</v>
      </c>
      <c r="D286" s="5" t="s">
        <v>18</v>
      </c>
      <c r="E286" s="5" t="s">
        <v>23</v>
      </c>
      <c r="F286" s="5">
        <v>9</v>
      </c>
      <c r="G286" s="5">
        <v>2712</v>
      </c>
      <c r="H286" s="5">
        <v>12</v>
      </c>
      <c r="I286" s="6">
        <v>46154</v>
      </c>
      <c r="J286" s="6">
        <v>46163</v>
      </c>
      <c r="K286" s="10" t="s">
        <v>15</v>
      </c>
      <c r="L286" s="16">
        <f t="shared" si="4"/>
        <v>2928.96</v>
      </c>
    </row>
    <row r="287" spans="1:12" ht="15" thickBot="1" x14ac:dyDescent="0.4">
      <c r="A287" s="5">
        <v>1332</v>
      </c>
      <c r="B287" s="5" t="s">
        <v>29</v>
      </c>
      <c r="C287" s="5" t="s">
        <v>43</v>
      </c>
      <c r="D287" s="5" t="s">
        <v>13</v>
      </c>
      <c r="E287" s="5" t="s">
        <v>50</v>
      </c>
      <c r="F287" s="5">
        <v>7</v>
      </c>
      <c r="G287" s="5">
        <v>439</v>
      </c>
      <c r="H287" s="5">
        <v>2</v>
      </c>
      <c r="I287" s="6">
        <v>46154</v>
      </c>
      <c r="J287" s="6">
        <v>46157</v>
      </c>
      <c r="K287" s="10" t="s">
        <v>15</v>
      </c>
      <c r="L287" s="16">
        <f t="shared" si="4"/>
        <v>61.46</v>
      </c>
    </row>
    <row r="288" spans="1:12" ht="15" thickBot="1" x14ac:dyDescent="0.4">
      <c r="A288" s="5">
        <v>1179</v>
      </c>
      <c r="B288" s="5" t="s">
        <v>47</v>
      </c>
      <c r="C288" s="5" t="s">
        <v>17</v>
      </c>
      <c r="D288" s="5" t="s">
        <v>34</v>
      </c>
      <c r="E288" s="5" t="s">
        <v>39</v>
      </c>
      <c r="F288" s="5">
        <v>6</v>
      </c>
      <c r="G288" s="5">
        <v>10400</v>
      </c>
      <c r="H288" s="5">
        <v>2</v>
      </c>
      <c r="I288" s="6">
        <v>46155</v>
      </c>
      <c r="J288" s="6">
        <v>46158</v>
      </c>
      <c r="K288" s="10" t="s">
        <v>15</v>
      </c>
      <c r="L288" s="16">
        <f t="shared" si="4"/>
        <v>1248</v>
      </c>
    </row>
    <row r="289" spans="1:12" ht="15" thickBot="1" x14ac:dyDescent="0.4">
      <c r="A289" s="5">
        <v>1196</v>
      </c>
      <c r="B289" s="5" t="s">
        <v>48</v>
      </c>
      <c r="C289" s="5" t="s">
        <v>22</v>
      </c>
      <c r="D289" s="5" t="s">
        <v>34</v>
      </c>
      <c r="E289" s="5" t="s">
        <v>35</v>
      </c>
      <c r="F289" s="5">
        <v>20</v>
      </c>
      <c r="G289" s="5">
        <v>3172</v>
      </c>
      <c r="H289" s="5">
        <v>5</v>
      </c>
      <c r="I289" s="6">
        <v>46155</v>
      </c>
      <c r="J289" s="6">
        <v>46159</v>
      </c>
      <c r="K289" s="10" t="s">
        <v>20</v>
      </c>
      <c r="L289" s="16">
        <f t="shared" si="4"/>
        <v>3172</v>
      </c>
    </row>
    <row r="290" spans="1:12" ht="15" thickBot="1" x14ac:dyDescent="0.4">
      <c r="A290" s="5">
        <v>1027</v>
      </c>
      <c r="B290" s="5" t="s">
        <v>29</v>
      </c>
      <c r="C290" s="5" t="s">
        <v>43</v>
      </c>
      <c r="D290" s="5" t="s">
        <v>13</v>
      </c>
      <c r="E290" s="5" t="s">
        <v>50</v>
      </c>
      <c r="F290" s="5">
        <v>4</v>
      </c>
      <c r="G290" s="5">
        <v>264</v>
      </c>
      <c r="H290" s="5">
        <v>0</v>
      </c>
      <c r="I290" s="6">
        <v>46155</v>
      </c>
      <c r="J290" s="6">
        <v>46161</v>
      </c>
      <c r="K290" s="10" t="s">
        <v>51</v>
      </c>
      <c r="L290" s="16">
        <f t="shared" si="4"/>
        <v>0</v>
      </c>
    </row>
    <row r="291" spans="1:12" ht="15" thickBot="1" x14ac:dyDescent="0.4">
      <c r="A291" s="5">
        <v>1344</v>
      </c>
      <c r="B291" s="5" t="s">
        <v>30</v>
      </c>
      <c r="C291" s="5" t="s">
        <v>17</v>
      </c>
      <c r="D291" s="5" t="s">
        <v>13</v>
      </c>
      <c r="E291" s="5" t="s">
        <v>53</v>
      </c>
      <c r="F291" s="5">
        <v>18</v>
      </c>
      <c r="G291" s="5">
        <v>240</v>
      </c>
      <c r="H291" s="5">
        <v>10</v>
      </c>
      <c r="I291" s="6">
        <v>46155</v>
      </c>
      <c r="J291" s="6">
        <v>46156</v>
      </c>
      <c r="K291" s="10" t="s">
        <v>24</v>
      </c>
      <c r="L291" s="16">
        <f t="shared" si="4"/>
        <v>432</v>
      </c>
    </row>
    <row r="292" spans="1:12" ht="15" thickBot="1" x14ac:dyDescent="0.4">
      <c r="A292" s="5">
        <v>1171</v>
      </c>
      <c r="B292" s="5" t="s">
        <v>57</v>
      </c>
      <c r="C292" s="5" t="s">
        <v>25</v>
      </c>
      <c r="D292" s="5" t="s">
        <v>13</v>
      </c>
      <c r="E292" s="5" t="s">
        <v>50</v>
      </c>
      <c r="F292" s="5">
        <v>17</v>
      </c>
      <c r="G292" s="5">
        <v>147</v>
      </c>
      <c r="H292" s="5">
        <v>12</v>
      </c>
      <c r="I292" s="6">
        <v>46155</v>
      </c>
      <c r="J292" s="6">
        <v>46160</v>
      </c>
      <c r="K292" s="10" t="s">
        <v>20</v>
      </c>
      <c r="L292" s="16">
        <f t="shared" si="4"/>
        <v>299.88</v>
      </c>
    </row>
    <row r="293" spans="1:12" ht="15" thickBot="1" x14ac:dyDescent="0.4">
      <c r="A293" s="5">
        <v>1295</v>
      </c>
      <c r="B293" s="5" t="s">
        <v>52</v>
      </c>
      <c r="C293" s="5" t="s">
        <v>38</v>
      </c>
      <c r="D293" s="5" t="s">
        <v>18</v>
      </c>
      <c r="E293" s="5" t="s">
        <v>28</v>
      </c>
      <c r="F293" s="5">
        <v>16</v>
      </c>
      <c r="G293" s="5">
        <v>11935</v>
      </c>
      <c r="H293" s="5">
        <v>12</v>
      </c>
      <c r="I293" s="6">
        <v>46157</v>
      </c>
      <c r="J293" s="6">
        <v>46162</v>
      </c>
      <c r="K293" s="10" t="s">
        <v>15</v>
      </c>
      <c r="L293" s="16">
        <f t="shared" si="4"/>
        <v>22915.200000000001</v>
      </c>
    </row>
    <row r="294" spans="1:12" ht="15" thickBot="1" x14ac:dyDescent="0.4">
      <c r="A294" s="5">
        <v>1367</v>
      </c>
      <c r="B294" s="5" t="s">
        <v>54</v>
      </c>
      <c r="C294" s="5" t="s">
        <v>25</v>
      </c>
      <c r="D294" s="5" t="s">
        <v>13</v>
      </c>
      <c r="E294" s="5" t="s">
        <v>53</v>
      </c>
      <c r="F294" s="5">
        <v>1</v>
      </c>
      <c r="G294" s="5">
        <v>371</v>
      </c>
      <c r="H294" s="5">
        <v>5</v>
      </c>
      <c r="I294" s="6">
        <v>46158</v>
      </c>
      <c r="J294" s="6">
        <v>46168</v>
      </c>
      <c r="K294" s="10" t="s">
        <v>29</v>
      </c>
      <c r="L294" s="16">
        <f t="shared" si="4"/>
        <v>18.55</v>
      </c>
    </row>
    <row r="295" spans="1:12" ht="15" thickBot="1" x14ac:dyDescent="0.4">
      <c r="A295" s="5">
        <v>1317</v>
      </c>
      <c r="B295" s="5" t="s">
        <v>59</v>
      </c>
      <c r="C295" s="5" t="s">
        <v>33</v>
      </c>
      <c r="D295" s="5" t="s">
        <v>34</v>
      </c>
      <c r="E295" s="5" t="s">
        <v>41</v>
      </c>
      <c r="F295" s="5">
        <v>7</v>
      </c>
      <c r="G295" s="5">
        <v>67339</v>
      </c>
      <c r="H295" s="5">
        <v>5</v>
      </c>
      <c r="I295" s="6">
        <v>46159</v>
      </c>
      <c r="J295" s="6">
        <v>46169</v>
      </c>
      <c r="K295" s="10" t="s">
        <v>51</v>
      </c>
      <c r="L295" s="16">
        <f t="shared" si="4"/>
        <v>23568.65</v>
      </c>
    </row>
    <row r="296" spans="1:12" ht="15" thickBot="1" x14ac:dyDescent="0.4">
      <c r="A296" s="5">
        <v>1052</v>
      </c>
      <c r="B296" s="5" t="s">
        <v>55</v>
      </c>
      <c r="C296" s="5" t="s">
        <v>12</v>
      </c>
      <c r="D296" s="5" t="s">
        <v>13</v>
      </c>
      <c r="E296" s="5" t="s">
        <v>14</v>
      </c>
      <c r="F296" s="5">
        <v>17</v>
      </c>
      <c r="G296" s="5">
        <v>172</v>
      </c>
      <c r="H296" s="5">
        <v>10</v>
      </c>
      <c r="I296" s="6">
        <v>46159</v>
      </c>
      <c r="J296" s="6">
        <v>46165</v>
      </c>
      <c r="K296" s="10" t="s">
        <v>20</v>
      </c>
      <c r="L296" s="16">
        <f t="shared" si="4"/>
        <v>292.39999999999998</v>
      </c>
    </row>
    <row r="297" spans="1:12" ht="15" thickBot="1" x14ac:dyDescent="0.4">
      <c r="A297" s="5">
        <v>1143</v>
      </c>
      <c r="B297" s="5" t="s">
        <v>29</v>
      </c>
      <c r="C297" s="5" t="s">
        <v>17</v>
      </c>
      <c r="D297" s="5" t="s">
        <v>13</v>
      </c>
      <c r="E297" s="5" t="s">
        <v>37</v>
      </c>
      <c r="F297" s="5">
        <v>13</v>
      </c>
      <c r="G297" s="5">
        <v>456</v>
      </c>
      <c r="H297" s="5">
        <v>2</v>
      </c>
      <c r="I297" s="6">
        <v>46160</v>
      </c>
      <c r="J297" s="6">
        <v>46167</v>
      </c>
      <c r="K297" s="10" t="s">
        <v>24</v>
      </c>
      <c r="L297" s="16">
        <f t="shared" si="4"/>
        <v>118.56</v>
      </c>
    </row>
    <row r="298" spans="1:12" ht="15" thickBot="1" x14ac:dyDescent="0.4">
      <c r="A298" s="5">
        <v>1167</v>
      </c>
      <c r="B298" s="5" t="s">
        <v>48</v>
      </c>
      <c r="C298" s="5" t="s">
        <v>17</v>
      </c>
      <c r="D298" s="5" t="s">
        <v>13</v>
      </c>
      <c r="E298" s="5" t="s">
        <v>37</v>
      </c>
      <c r="F298" s="5">
        <v>20</v>
      </c>
      <c r="G298" s="5">
        <v>251</v>
      </c>
      <c r="H298" s="5">
        <v>5</v>
      </c>
      <c r="I298" s="6">
        <v>46160</v>
      </c>
      <c r="J298" s="6">
        <v>46170</v>
      </c>
      <c r="K298" s="10" t="s">
        <v>29</v>
      </c>
      <c r="L298" s="16">
        <f t="shared" si="4"/>
        <v>251</v>
      </c>
    </row>
    <row r="299" spans="1:12" ht="15" thickBot="1" x14ac:dyDescent="0.4">
      <c r="A299" s="5">
        <v>1129</v>
      </c>
      <c r="B299" s="5" t="s">
        <v>58</v>
      </c>
      <c r="C299" s="5" t="s">
        <v>17</v>
      </c>
      <c r="D299" s="5" t="s">
        <v>13</v>
      </c>
      <c r="E299" s="5" t="s">
        <v>50</v>
      </c>
      <c r="F299" s="5">
        <v>15</v>
      </c>
      <c r="G299" s="5">
        <v>75</v>
      </c>
      <c r="H299" s="5">
        <v>7</v>
      </c>
      <c r="I299" s="6">
        <v>46160</v>
      </c>
      <c r="J299" s="6">
        <v>46164</v>
      </c>
      <c r="K299" s="10" t="s">
        <v>29</v>
      </c>
      <c r="L299" s="16">
        <f t="shared" si="4"/>
        <v>78.75</v>
      </c>
    </row>
    <row r="300" spans="1:12" ht="15" thickBot="1" x14ac:dyDescent="0.4">
      <c r="A300" s="5">
        <v>1257</v>
      </c>
      <c r="B300" s="5" t="s">
        <v>54</v>
      </c>
      <c r="C300" s="5" t="s">
        <v>25</v>
      </c>
      <c r="D300" s="5" t="s">
        <v>34</v>
      </c>
      <c r="E300" s="5" t="s">
        <v>61</v>
      </c>
      <c r="F300" s="5">
        <v>7</v>
      </c>
      <c r="G300" s="5">
        <v>53243</v>
      </c>
      <c r="H300" s="5">
        <v>12</v>
      </c>
      <c r="I300" s="6">
        <v>46161</v>
      </c>
      <c r="J300" s="6">
        <v>46171</v>
      </c>
      <c r="K300" s="10" t="s">
        <v>15</v>
      </c>
      <c r="L300" s="16">
        <f t="shared" si="4"/>
        <v>44724.12</v>
      </c>
    </row>
    <row r="301" spans="1:12" ht="15" thickBot="1" x14ac:dyDescent="0.4">
      <c r="A301" s="5">
        <v>1372</v>
      </c>
      <c r="B301" s="5" t="s">
        <v>48</v>
      </c>
      <c r="C301" s="5" t="s">
        <v>17</v>
      </c>
      <c r="D301" s="5" t="s">
        <v>34</v>
      </c>
      <c r="E301" s="5" t="s">
        <v>39</v>
      </c>
      <c r="F301" s="5">
        <v>9</v>
      </c>
      <c r="G301" s="5">
        <v>9551</v>
      </c>
      <c r="H301" s="5">
        <v>10</v>
      </c>
      <c r="I301" s="6">
        <v>46161</v>
      </c>
      <c r="J301" s="6">
        <v>46168</v>
      </c>
      <c r="K301" s="10" t="s">
        <v>15</v>
      </c>
      <c r="L301" s="16">
        <f t="shared" si="4"/>
        <v>8595.9</v>
      </c>
    </row>
    <row r="302" spans="1:12" ht="15" thickBot="1" x14ac:dyDescent="0.4">
      <c r="A302" s="5">
        <v>1024</v>
      </c>
      <c r="B302" s="5" t="s">
        <v>32</v>
      </c>
      <c r="C302" s="5" t="s">
        <v>38</v>
      </c>
      <c r="D302" s="5" t="s">
        <v>34</v>
      </c>
      <c r="E302" s="5" t="s">
        <v>41</v>
      </c>
      <c r="F302" s="5">
        <v>12</v>
      </c>
      <c r="G302" s="5">
        <v>1682</v>
      </c>
      <c r="H302" s="5">
        <v>5</v>
      </c>
      <c r="I302" s="6">
        <v>46161</v>
      </c>
      <c r="J302" s="6">
        <v>46165</v>
      </c>
      <c r="K302" s="10" t="s">
        <v>15</v>
      </c>
      <c r="L302" s="16">
        <f t="shared" si="4"/>
        <v>1009.2</v>
      </c>
    </row>
    <row r="303" spans="1:12" ht="15" thickBot="1" x14ac:dyDescent="0.4">
      <c r="A303" s="5">
        <v>1248</v>
      </c>
      <c r="B303" s="5" t="s">
        <v>27</v>
      </c>
      <c r="C303" s="5" t="s">
        <v>43</v>
      </c>
      <c r="D303" s="5" t="s">
        <v>13</v>
      </c>
      <c r="E303" s="5" t="s">
        <v>37</v>
      </c>
      <c r="F303" s="5">
        <v>5</v>
      </c>
      <c r="G303" s="5">
        <v>398</v>
      </c>
      <c r="H303" s="5">
        <v>7</v>
      </c>
      <c r="I303" s="6">
        <v>46161</v>
      </c>
      <c r="J303" s="6">
        <v>46171</v>
      </c>
      <c r="K303" s="10" t="s">
        <v>29</v>
      </c>
      <c r="L303" s="16">
        <f t="shared" si="4"/>
        <v>139.30000000000001</v>
      </c>
    </row>
    <row r="304" spans="1:12" ht="15" thickBot="1" x14ac:dyDescent="0.4">
      <c r="A304" s="5">
        <v>1011</v>
      </c>
      <c r="B304" s="5" t="s">
        <v>11</v>
      </c>
      <c r="C304" s="5" t="s">
        <v>17</v>
      </c>
      <c r="D304" s="5" t="s">
        <v>13</v>
      </c>
      <c r="E304" s="5" t="s">
        <v>37</v>
      </c>
      <c r="F304" s="5">
        <v>14</v>
      </c>
      <c r="G304" s="5">
        <v>88</v>
      </c>
      <c r="H304" s="5">
        <v>12</v>
      </c>
      <c r="I304" s="6">
        <v>46161</v>
      </c>
      <c r="J304" s="6">
        <v>46163</v>
      </c>
      <c r="K304" s="10" t="s">
        <v>15</v>
      </c>
      <c r="L304" s="16">
        <f t="shared" si="4"/>
        <v>147.84</v>
      </c>
    </row>
    <row r="305" spans="1:12" ht="15" thickBot="1" x14ac:dyDescent="0.4">
      <c r="A305" s="5">
        <v>1386</v>
      </c>
      <c r="B305" s="5" t="s">
        <v>27</v>
      </c>
      <c r="C305" s="5" t="s">
        <v>31</v>
      </c>
      <c r="D305" s="5" t="s">
        <v>18</v>
      </c>
      <c r="E305" s="5" t="s">
        <v>28</v>
      </c>
      <c r="F305" s="5">
        <v>9</v>
      </c>
      <c r="G305" s="5">
        <v>7509</v>
      </c>
      <c r="H305" s="5">
        <v>5</v>
      </c>
      <c r="I305" s="6">
        <v>46162</v>
      </c>
      <c r="J305" s="6">
        <v>46171</v>
      </c>
      <c r="K305" s="10" t="s">
        <v>51</v>
      </c>
      <c r="L305" s="16">
        <f t="shared" si="4"/>
        <v>3379.05</v>
      </c>
    </row>
    <row r="306" spans="1:12" ht="15" thickBot="1" x14ac:dyDescent="0.4">
      <c r="A306" s="5">
        <v>1007</v>
      </c>
      <c r="B306" s="5" t="s">
        <v>21</v>
      </c>
      <c r="C306" s="5" t="s">
        <v>22</v>
      </c>
      <c r="D306" s="5" t="s">
        <v>13</v>
      </c>
      <c r="E306" s="5" t="s">
        <v>14</v>
      </c>
      <c r="F306" s="5">
        <v>19</v>
      </c>
      <c r="G306" s="5">
        <v>149</v>
      </c>
      <c r="H306" s="5">
        <v>7</v>
      </c>
      <c r="I306" s="6">
        <v>46162</v>
      </c>
      <c r="J306" s="6">
        <v>46168</v>
      </c>
      <c r="K306" s="10" t="s">
        <v>24</v>
      </c>
      <c r="L306" s="16">
        <f t="shared" si="4"/>
        <v>198.17</v>
      </c>
    </row>
    <row r="307" spans="1:12" ht="15" thickBot="1" x14ac:dyDescent="0.4">
      <c r="A307" s="5">
        <v>1032</v>
      </c>
      <c r="B307" s="5" t="s">
        <v>54</v>
      </c>
      <c r="C307" s="5" t="s">
        <v>43</v>
      </c>
      <c r="D307" s="5" t="s">
        <v>34</v>
      </c>
      <c r="E307" s="5" t="s">
        <v>39</v>
      </c>
      <c r="F307" s="5">
        <v>20</v>
      </c>
      <c r="G307" s="5">
        <v>11305</v>
      </c>
      <c r="H307" s="5">
        <v>2</v>
      </c>
      <c r="I307" s="6">
        <v>46163</v>
      </c>
      <c r="J307" s="6">
        <v>46165</v>
      </c>
      <c r="K307" s="10" t="s">
        <v>29</v>
      </c>
      <c r="L307" s="16">
        <f t="shared" si="4"/>
        <v>4522</v>
      </c>
    </row>
    <row r="308" spans="1:12" ht="15" thickBot="1" x14ac:dyDescent="0.4">
      <c r="A308" s="5">
        <v>1302</v>
      </c>
      <c r="B308" s="5" t="s">
        <v>57</v>
      </c>
      <c r="C308" s="5" t="s">
        <v>12</v>
      </c>
      <c r="D308" s="5" t="s">
        <v>34</v>
      </c>
      <c r="E308" s="5" t="s">
        <v>35</v>
      </c>
      <c r="F308" s="5">
        <v>9</v>
      </c>
      <c r="G308" s="5">
        <v>8500</v>
      </c>
      <c r="H308" s="5">
        <v>15</v>
      </c>
      <c r="I308" s="6">
        <v>46163</v>
      </c>
      <c r="J308" s="6">
        <v>46172</v>
      </c>
      <c r="K308" s="10" t="s">
        <v>24</v>
      </c>
      <c r="L308" s="16">
        <f t="shared" si="4"/>
        <v>11475</v>
      </c>
    </row>
    <row r="309" spans="1:12" ht="15" thickBot="1" x14ac:dyDescent="0.4">
      <c r="A309" s="5">
        <v>1249</v>
      </c>
      <c r="B309" s="5" t="s">
        <v>16</v>
      </c>
      <c r="C309" s="5" t="s">
        <v>25</v>
      </c>
      <c r="D309" s="5" t="s">
        <v>34</v>
      </c>
      <c r="E309" s="5" t="s">
        <v>41</v>
      </c>
      <c r="F309" s="5">
        <v>18</v>
      </c>
      <c r="G309" s="5">
        <v>6360</v>
      </c>
      <c r="H309" s="5">
        <v>12</v>
      </c>
      <c r="I309" s="6">
        <v>46163</v>
      </c>
      <c r="J309" s="6">
        <v>46165</v>
      </c>
      <c r="K309" s="10" t="s">
        <v>20</v>
      </c>
      <c r="L309" s="16">
        <f t="shared" si="4"/>
        <v>13737.6</v>
      </c>
    </row>
    <row r="310" spans="1:12" ht="15" thickBot="1" x14ac:dyDescent="0.4">
      <c r="A310" s="5">
        <v>1207</v>
      </c>
      <c r="B310" s="5" t="s">
        <v>55</v>
      </c>
      <c r="C310" s="5" t="s">
        <v>25</v>
      </c>
      <c r="D310" s="5" t="s">
        <v>13</v>
      </c>
      <c r="E310" s="5" t="s">
        <v>53</v>
      </c>
      <c r="F310" s="5">
        <v>7</v>
      </c>
      <c r="G310" s="5">
        <v>244</v>
      </c>
      <c r="H310" s="5">
        <v>2</v>
      </c>
      <c r="I310" s="6">
        <v>46164</v>
      </c>
      <c r="J310" s="6">
        <v>46173</v>
      </c>
      <c r="K310" s="10" t="s">
        <v>24</v>
      </c>
      <c r="L310" s="16">
        <f t="shared" si="4"/>
        <v>34.159999999999997</v>
      </c>
    </row>
    <row r="311" spans="1:12" ht="15" thickBot="1" x14ac:dyDescent="0.4">
      <c r="A311" s="5">
        <v>1236</v>
      </c>
      <c r="B311" s="5" t="s">
        <v>54</v>
      </c>
      <c r="C311" s="5" t="s">
        <v>43</v>
      </c>
      <c r="D311" s="5" t="s">
        <v>13</v>
      </c>
      <c r="E311" s="5" t="s">
        <v>37</v>
      </c>
      <c r="F311" s="5">
        <v>12</v>
      </c>
      <c r="G311" s="5">
        <v>189</v>
      </c>
      <c r="H311" s="5">
        <v>7</v>
      </c>
      <c r="I311" s="6">
        <v>46164</v>
      </c>
      <c r="J311" s="6">
        <v>46169</v>
      </c>
      <c r="K311" s="10" t="s">
        <v>29</v>
      </c>
      <c r="L311" s="16">
        <f t="shared" si="4"/>
        <v>158.76</v>
      </c>
    </row>
    <row r="312" spans="1:12" ht="15" thickBot="1" x14ac:dyDescent="0.4">
      <c r="A312" s="5">
        <v>1326</v>
      </c>
      <c r="B312" s="5" t="s">
        <v>26</v>
      </c>
      <c r="C312" s="5" t="s">
        <v>17</v>
      </c>
      <c r="D312" s="5" t="s">
        <v>18</v>
      </c>
      <c r="E312" s="5" t="s">
        <v>44</v>
      </c>
      <c r="F312" s="5">
        <v>18</v>
      </c>
      <c r="G312" s="5">
        <v>1830</v>
      </c>
      <c r="H312" s="5">
        <v>10</v>
      </c>
      <c r="I312" s="6">
        <v>46165</v>
      </c>
      <c r="J312" s="6">
        <v>46172</v>
      </c>
      <c r="K312" s="10" t="s">
        <v>15</v>
      </c>
      <c r="L312" s="16">
        <f t="shared" si="4"/>
        <v>3294</v>
      </c>
    </row>
    <row r="313" spans="1:12" ht="15" thickBot="1" x14ac:dyDescent="0.4">
      <c r="A313" s="5">
        <v>1252</v>
      </c>
      <c r="B313" s="5" t="s">
        <v>47</v>
      </c>
      <c r="C313" s="5" t="s">
        <v>25</v>
      </c>
      <c r="D313" s="5" t="s">
        <v>13</v>
      </c>
      <c r="E313" s="5" t="s">
        <v>36</v>
      </c>
      <c r="F313" s="5">
        <v>15</v>
      </c>
      <c r="G313" s="5">
        <v>257</v>
      </c>
      <c r="H313" s="5">
        <v>5</v>
      </c>
      <c r="I313" s="6">
        <v>46166</v>
      </c>
      <c r="J313" s="6">
        <v>46173</v>
      </c>
      <c r="K313" s="10" t="s">
        <v>20</v>
      </c>
      <c r="L313" s="16">
        <f t="shared" si="4"/>
        <v>192.75</v>
      </c>
    </row>
    <row r="314" spans="1:12" ht="15" thickBot="1" x14ac:dyDescent="0.4">
      <c r="A314" s="5">
        <v>1206</v>
      </c>
      <c r="B314" s="5" t="s">
        <v>55</v>
      </c>
      <c r="C314" s="5" t="s">
        <v>33</v>
      </c>
      <c r="D314" s="5" t="s">
        <v>13</v>
      </c>
      <c r="E314" s="5" t="s">
        <v>14</v>
      </c>
      <c r="F314" s="5">
        <v>9</v>
      </c>
      <c r="G314" s="5">
        <v>60</v>
      </c>
      <c r="H314" s="5">
        <v>0</v>
      </c>
      <c r="I314" s="6">
        <v>46166</v>
      </c>
      <c r="J314" s="6">
        <v>46174</v>
      </c>
      <c r="K314" s="10" t="s">
        <v>15</v>
      </c>
      <c r="L314" s="16">
        <f t="shared" si="4"/>
        <v>0</v>
      </c>
    </row>
    <row r="315" spans="1:12" ht="15" thickBot="1" x14ac:dyDescent="0.4">
      <c r="A315" s="5">
        <v>1095</v>
      </c>
      <c r="B315" s="5" t="s">
        <v>47</v>
      </c>
      <c r="C315" s="5" t="s">
        <v>25</v>
      </c>
      <c r="D315" s="5" t="s">
        <v>34</v>
      </c>
      <c r="E315" s="5" t="s">
        <v>41</v>
      </c>
      <c r="F315" s="5">
        <v>18</v>
      </c>
      <c r="G315" s="5">
        <v>587</v>
      </c>
      <c r="H315" s="5">
        <v>2</v>
      </c>
      <c r="I315" s="6">
        <v>46167</v>
      </c>
      <c r="J315" s="6">
        <v>46171</v>
      </c>
      <c r="K315" s="10" t="s">
        <v>20</v>
      </c>
      <c r="L315" s="16">
        <f t="shared" si="4"/>
        <v>211.32</v>
      </c>
    </row>
    <row r="316" spans="1:12" ht="15" thickBot="1" x14ac:dyDescent="0.4">
      <c r="A316" s="5">
        <v>1131</v>
      </c>
      <c r="B316" s="5" t="s">
        <v>21</v>
      </c>
      <c r="C316" s="5" t="s">
        <v>31</v>
      </c>
      <c r="D316" s="5" t="s">
        <v>18</v>
      </c>
      <c r="E316" s="5" t="s">
        <v>23</v>
      </c>
      <c r="F316" s="5">
        <v>13</v>
      </c>
      <c r="G316" s="5">
        <v>3083</v>
      </c>
      <c r="H316" s="5">
        <v>7</v>
      </c>
      <c r="I316" s="6">
        <v>46168</v>
      </c>
      <c r="J316" s="6">
        <v>46173</v>
      </c>
      <c r="K316" s="10" t="s">
        <v>51</v>
      </c>
      <c r="L316" s="16">
        <f t="shared" si="4"/>
        <v>2805.53</v>
      </c>
    </row>
    <row r="317" spans="1:12" ht="15" thickBot="1" x14ac:dyDescent="0.4">
      <c r="A317" s="5">
        <v>1335</v>
      </c>
      <c r="B317" s="5" t="s">
        <v>47</v>
      </c>
      <c r="C317" s="5" t="s">
        <v>17</v>
      </c>
      <c r="D317" s="5" t="s">
        <v>18</v>
      </c>
      <c r="E317" s="5" t="s">
        <v>19</v>
      </c>
      <c r="F317" s="5">
        <v>9</v>
      </c>
      <c r="G317" s="5">
        <v>1495</v>
      </c>
      <c r="H317" s="5">
        <v>12</v>
      </c>
      <c r="I317" s="6">
        <v>46168</v>
      </c>
      <c r="J317" s="6">
        <v>46173</v>
      </c>
      <c r="K317" s="10" t="s">
        <v>15</v>
      </c>
      <c r="L317" s="16">
        <f t="shared" si="4"/>
        <v>1614.6</v>
      </c>
    </row>
    <row r="318" spans="1:12" ht="15" thickBot="1" x14ac:dyDescent="0.4">
      <c r="A318" s="5">
        <v>1286</v>
      </c>
      <c r="B318" s="5" t="s">
        <v>46</v>
      </c>
      <c r="C318" s="5" t="s">
        <v>17</v>
      </c>
      <c r="D318" s="5" t="s">
        <v>18</v>
      </c>
      <c r="E318" s="5" t="s">
        <v>56</v>
      </c>
      <c r="F318" s="5">
        <v>9</v>
      </c>
      <c r="G318" s="5">
        <v>1340</v>
      </c>
      <c r="H318" s="5">
        <v>2</v>
      </c>
      <c r="I318" s="6">
        <v>46168</v>
      </c>
      <c r="J318" s="6">
        <v>46173</v>
      </c>
      <c r="K318" s="10" t="s">
        <v>15</v>
      </c>
      <c r="L318" s="16">
        <f t="shared" si="4"/>
        <v>241.2</v>
      </c>
    </row>
    <row r="319" spans="1:12" ht="15" thickBot="1" x14ac:dyDescent="0.4">
      <c r="A319" s="5">
        <v>1177</v>
      </c>
      <c r="B319" s="5" t="s">
        <v>29</v>
      </c>
      <c r="C319" s="5" t="s">
        <v>22</v>
      </c>
      <c r="D319" s="5" t="s">
        <v>18</v>
      </c>
      <c r="E319" s="5" t="s">
        <v>19</v>
      </c>
      <c r="F319" s="5">
        <v>14</v>
      </c>
      <c r="G319" s="5">
        <v>7501</v>
      </c>
      <c r="H319" s="5">
        <v>7</v>
      </c>
      <c r="I319" s="6">
        <v>46169</v>
      </c>
      <c r="J319" s="6">
        <v>46179</v>
      </c>
      <c r="K319" s="10" t="s">
        <v>20</v>
      </c>
      <c r="L319" s="16">
        <f t="shared" si="4"/>
        <v>7350.98</v>
      </c>
    </row>
    <row r="320" spans="1:12" ht="15" thickBot="1" x14ac:dyDescent="0.4">
      <c r="A320" s="5">
        <v>1318</v>
      </c>
      <c r="B320" s="5" t="s">
        <v>11</v>
      </c>
      <c r="C320" s="5" t="s">
        <v>43</v>
      </c>
      <c r="D320" s="5" t="s">
        <v>13</v>
      </c>
      <c r="E320" s="5" t="s">
        <v>50</v>
      </c>
      <c r="F320" s="5">
        <v>4</v>
      </c>
      <c r="G320" s="5">
        <v>38</v>
      </c>
      <c r="H320" s="5">
        <v>12</v>
      </c>
      <c r="I320" s="6">
        <v>46169</v>
      </c>
      <c r="J320" s="6">
        <v>46175</v>
      </c>
      <c r="K320" s="10" t="s">
        <v>29</v>
      </c>
      <c r="L320" s="16">
        <f t="shared" si="4"/>
        <v>18.239999999999998</v>
      </c>
    </row>
    <row r="321" spans="1:12" ht="15" thickBot="1" x14ac:dyDescent="0.4">
      <c r="A321" s="5">
        <v>1079</v>
      </c>
      <c r="B321" s="5" t="s">
        <v>26</v>
      </c>
      <c r="C321" s="5" t="s">
        <v>38</v>
      </c>
      <c r="D321" s="5" t="s">
        <v>34</v>
      </c>
      <c r="E321" s="5" t="s">
        <v>41</v>
      </c>
      <c r="F321" s="5">
        <v>19</v>
      </c>
      <c r="G321" s="5">
        <v>48956</v>
      </c>
      <c r="H321" s="5">
        <v>12</v>
      </c>
      <c r="I321" s="6">
        <v>46170</v>
      </c>
      <c r="J321" s="6">
        <v>46177</v>
      </c>
      <c r="K321" s="10" t="s">
        <v>51</v>
      </c>
      <c r="L321" s="16">
        <f t="shared" si="4"/>
        <v>111619.68</v>
      </c>
    </row>
    <row r="322" spans="1:12" ht="15" thickBot="1" x14ac:dyDescent="0.4">
      <c r="A322" s="5">
        <v>1127</v>
      </c>
      <c r="B322" s="5" t="s">
        <v>26</v>
      </c>
      <c r="C322" s="5" t="s">
        <v>33</v>
      </c>
      <c r="D322" s="5" t="s">
        <v>18</v>
      </c>
      <c r="E322" s="5" t="s">
        <v>28</v>
      </c>
      <c r="F322" s="5">
        <v>15</v>
      </c>
      <c r="G322" s="5">
        <v>11694</v>
      </c>
      <c r="H322" s="5">
        <v>12</v>
      </c>
      <c r="I322" s="6">
        <v>46170</v>
      </c>
      <c r="J322" s="6">
        <v>46179</v>
      </c>
      <c r="K322" s="10" t="s">
        <v>29</v>
      </c>
      <c r="L322" s="16">
        <f t="shared" si="4"/>
        <v>21049.200000000001</v>
      </c>
    </row>
    <row r="323" spans="1:12" ht="15" thickBot="1" x14ac:dyDescent="0.4">
      <c r="A323" s="5">
        <v>1398</v>
      </c>
      <c r="B323" s="5" t="s">
        <v>58</v>
      </c>
      <c r="C323" s="5" t="s">
        <v>43</v>
      </c>
      <c r="D323" s="5" t="s">
        <v>34</v>
      </c>
      <c r="E323" s="5" t="s">
        <v>39</v>
      </c>
      <c r="F323" s="5">
        <v>12</v>
      </c>
      <c r="G323" s="5">
        <v>10668</v>
      </c>
      <c r="H323" s="5">
        <v>0</v>
      </c>
      <c r="I323" s="6">
        <v>46170</v>
      </c>
      <c r="J323" s="6">
        <v>46176</v>
      </c>
      <c r="K323" s="10" t="s">
        <v>15</v>
      </c>
      <c r="L323" s="16">
        <f t="shared" ref="L323:L386" si="5">(F323*G323)*H323/100</f>
        <v>0</v>
      </c>
    </row>
    <row r="324" spans="1:12" ht="15" thickBot="1" x14ac:dyDescent="0.4">
      <c r="A324" s="5">
        <v>1220</v>
      </c>
      <c r="B324" s="5" t="s">
        <v>11</v>
      </c>
      <c r="C324" s="5" t="s">
        <v>25</v>
      </c>
      <c r="D324" s="5" t="s">
        <v>18</v>
      </c>
      <c r="E324" s="5" t="s">
        <v>56</v>
      </c>
      <c r="F324" s="5">
        <v>2</v>
      </c>
      <c r="G324" s="5">
        <v>8861</v>
      </c>
      <c r="H324" s="5">
        <v>2</v>
      </c>
      <c r="I324" s="6">
        <v>46170</v>
      </c>
      <c r="J324" s="6">
        <v>46174</v>
      </c>
      <c r="K324" s="10" t="s">
        <v>24</v>
      </c>
      <c r="L324" s="16">
        <f t="shared" si="5"/>
        <v>354.44</v>
      </c>
    </row>
    <row r="325" spans="1:12" ht="15" thickBot="1" x14ac:dyDescent="0.4">
      <c r="A325" s="5">
        <v>1040</v>
      </c>
      <c r="B325" s="5" t="s">
        <v>49</v>
      </c>
      <c r="C325" s="5" t="s">
        <v>38</v>
      </c>
      <c r="D325" s="5" t="s">
        <v>18</v>
      </c>
      <c r="E325" s="5" t="s">
        <v>28</v>
      </c>
      <c r="F325" s="5">
        <v>10</v>
      </c>
      <c r="G325" s="5">
        <v>7531</v>
      </c>
      <c r="H325" s="5">
        <v>2</v>
      </c>
      <c r="I325" s="6">
        <v>46171</v>
      </c>
      <c r="J325" s="6">
        <v>46178</v>
      </c>
      <c r="K325" s="10" t="s">
        <v>24</v>
      </c>
      <c r="L325" s="16">
        <f t="shared" si="5"/>
        <v>1506.2</v>
      </c>
    </row>
    <row r="326" spans="1:12" ht="15" thickBot="1" x14ac:dyDescent="0.4">
      <c r="A326" s="5">
        <v>1087</v>
      </c>
      <c r="B326" s="5" t="s">
        <v>11</v>
      </c>
      <c r="C326" s="5" t="s">
        <v>31</v>
      </c>
      <c r="D326" s="5" t="s">
        <v>13</v>
      </c>
      <c r="E326" s="5" t="s">
        <v>37</v>
      </c>
      <c r="F326" s="5">
        <v>13</v>
      </c>
      <c r="G326" s="5">
        <v>387</v>
      </c>
      <c r="H326" s="5">
        <v>7</v>
      </c>
      <c r="I326" s="6">
        <v>46171</v>
      </c>
      <c r="J326" s="6">
        <v>46176</v>
      </c>
      <c r="K326" s="10" t="s">
        <v>24</v>
      </c>
      <c r="L326" s="16">
        <f t="shared" si="5"/>
        <v>352.17</v>
      </c>
    </row>
    <row r="327" spans="1:12" ht="15" thickBot="1" x14ac:dyDescent="0.4">
      <c r="A327" s="5">
        <v>1005</v>
      </c>
      <c r="B327" s="5" t="s">
        <v>26</v>
      </c>
      <c r="C327" s="5" t="s">
        <v>17</v>
      </c>
      <c r="D327" s="5" t="s">
        <v>13</v>
      </c>
      <c r="E327" s="5" t="s">
        <v>14</v>
      </c>
      <c r="F327" s="5">
        <v>18</v>
      </c>
      <c r="G327" s="5">
        <v>70</v>
      </c>
      <c r="H327" s="5">
        <v>0</v>
      </c>
      <c r="I327" s="6">
        <v>46171</v>
      </c>
      <c r="J327" s="6">
        <v>46179</v>
      </c>
      <c r="K327" s="10" t="s">
        <v>24</v>
      </c>
      <c r="L327" s="16">
        <f t="shared" si="5"/>
        <v>0</v>
      </c>
    </row>
    <row r="328" spans="1:12" ht="15" thickBot="1" x14ac:dyDescent="0.4">
      <c r="A328" s="5">
        <v>1217</v>
      </c>
      <c r="B328" s="5" t="s">
        <v>30</v>
      </c>
      <c r="C328" s="5" t="s">
        <v>22</v>
      </c>
      <c r="D328" s="5" t="s">
        <v>13</v>
      </c>
      <c r="E328" s="5" t="s">
        <v>50</v>
      </c>
      <c r="F328" s="5">
        <v>18</v>
      </c>
      <c r="G328" s="5">
        <v>60</v>
      </c>
      <c r="H328" s="5">
        <v>0</v>
      </c>
      <c r="I328" s="6">
        <v>46171</v>
      </c>
      <c r="J328" s="6">
        <v>46172</v>
      </c>
      <c r="K328" s="10" t="s">
        <v>29</v>
      </c>
      <c r="L328" s="16">
        <f t="shared" si="5"/>
        <v>0</v>
      </c>
    </row>
    <row r="329" spans="1:12" ht="15" thickBot="1" x14ac:dyDescent="0.4">
      <c r="A329" s="5">
        <v>1259</v>
      </c>
      <c r="B329" s="5" t="s">
        <v>42</v>
      </c>
      <c r="C329" s="5" t="s">
        <v>22</v>
      </c>
      <c r="D329" s="5" t="s">
        <v>34</v>
      </c>
      <c r="E329" s="5" t="s">
        <v>45</v>
      </c>
      <c r="F329" s="5">
        <v>10</v>
      </c>
      <c r="G329" s="5">
        <v>38771</v>
      </c>
      <c r="H329" s="5">
        <v>15</v>
      </c>
      <c r="I329" s="6">
        <v>46172</v>
      </c>
      <c r="J329" s="6">
        <v>46182</v>
      </c>
      <c r="K329" s="10" t="s">
        <v>15</v>
      </c>
      <c r="L329" s="16">
        <f t="shared" si="5"/>
        <v>58156.5</v>
      </c>
    </row>
    <row r="330" spans="1:12" ht="15" thickBot="1" x14ac:dyDescent="0.4">
      <c r="A330" s="5">
        <v>1273</v>
      </c>
      <c r="B330" s="5" t="s">
        <v>46</v>
      </c>
      <c r="C330" s="5" t="s">
        <v>25</v>
      </c>
      <c r="D330" s="5" t="s">
        <v>34</v>
      </c>
      <c r="E330" s="5" t="s">
        <v>39</v>
      </c>
      <c r="F330" s="5">
        <v>12</v>
      </c>
      <c r="G330" s="5">
        <v>20618</v>
      </c>
      <c r="H330" s="5">
        <v>12</v>
      </c>
      <c r="I330" s="6">
        <v>46172</v>
      </c>
      <c r="J330" s="6">
        <v>46174</v>
      </c>
      <c r="K330" s="10" t="s">
        <v>20</v>
      </c>
      <c r="L330" s="16">
        <f t="shared" si="5"/>
        <v>29689.919999999998</v>
      </c>
    </row>
    <row r="331" spans="1:12" ht="15" thickBot="1" x14ac:dyDescent="0.4">
      <c r="A331" s="5">
        <v>1235</v>
      </c>
      <c r="B331" s="5" t="s">
        <v>57</v>
      </c>
      <c r="C331" s="5" t="s">
        <v>25</v>
      </c>
      <c r="D331" s="5" t="s">
        <v>13</v>
      </c>
      <c r="E331" s="5" t="s">
        <v>50</v>
      </c>
      <c r="F331" s="5">
        <v>15</v>
      </c>
      <c r="G331" s="5">
        <v>267</v>
      </c>
      <c r="H331" s="5">
        <v>15</v>
      </c>
      <c r="I331" s="6">
        <v>46172</v>
      </c>
      <c r="J331" s="6">
        <v>46177</v>
      </c>
      <c r="K331" s="10" t="s">
        <v>29</v>
      </c>
      <c r="L331" s="16">
        <f t="shared" si="5"/>
        <v>600.75</v>
      </c>
    </row>
    <row r="332" spans="1:12" ht="15" thickBot="1" x14ac:dyDescent="0.4">
      <c r="A332" s="5">
        <v>1044</v>
      </c>
      <c r="B332" s="5" t="s">
        <v>48</v>
      </c>
      <c r="C332" s="5" t="s">
        <v>38</v>
      </c>
      <c r="D332" s="5" t="s">
        <v>18</v>
      </c>
      <c r="E332" s="5" t="s">
        <v>19</v>
      </c>
      <c r="F332" s="5">
        <v>4</v>
      </c>
      <c r="G332" s="5">
        <v>14731</v>
      </c>
      <c r="H332" s="5">
        <v>2</v>
      </c>
      <c r="I332" s="6">
        <v>46173</v>
      </c>
      <c r="J332" s="6">
        <v>46176</v>
      </c>
      <c r="K332" s="10" t="s">
        <v>20</v>
      </c>
      <c r="L332" s="16">
        <f t="shared" si="5"/>
        <v>1178.48</v>
      </c>
    </row>
    <row r="333" spans="1:12" ht="15" thickBot="1" x14ac:dyDescent="0.4">
      <c r="A333" s="5">
        <v>1247</v>
      </c>
      <c r="B333" s="5" t="s">
        <v>26</v>
      </c>
      <c r="C333" s="5" t="s">
        <v>12</v>
      </c>
      <c r="D333" s="5" t="s">
        <v>13</v>
      </c>
      <c r="E333" s="5" t="s">
        <v>50</v>
      </c>
      <c r="F333" s="5">
        <v>10</v>
      </c>
      <c r="G333" s="5">
        <v>336</v>
      </c>
      <c r="H333" s="5">
        <v>7</v>
      </c>
      <c r="I333" s="6">
        <v>46173</v>
      </c>
      <c r="J333" s="6">
        <v>46175</v>
      </c>
      <c r="K333" s="10" t="s">
        <v>20</v>
      </c>
      <c r="L333" s="16">
        <f t="shared" si="5"/>
        <v>235.2</v>
      </c>
    </row>
    <row r="334" spans="1:12" ht="15" thickBot="1" x14ac:dyDescent="0.4">
      <c r="A334" s="5">
        <v>1311</v>
      </c>
      <c r="B334" s="5" t="s">
        <v>55</v>
      </c>
      <c r="C334" s="5" t="s">
        <v>12</v>
      </c>
      <c r="D334" s="5" t="s">
        <v>13</v>
      </c>
      <c r="E334" s="5" t="s">
        <v>14</v>
      </c>
      <c r="F334" s="5">
        <v>2</v>
      </c>
      <c r="G334" s="5">
        <v>209</v>
      </c>
      <c r="H334" s="5">
        <v>0</v>
      </c>
      <c r="I334" s="6">
        <v>46173</v>
      </c>
      <c r="J334" s="6">
        <v>46176</v>
      </c>
      <c r="K334" s="10" t="s">
        <v>20</v>
      </c>
      <c r="L334" s="16">
        <f t="shared" si="5"/>
        <v>0</v>
      </c>
    </row>
    <row r="335" spans="1:12" ht="15" thickBot="1" x14ac:dyDescent="0.4">
      <c r="A335" s="5">
        <v>1343</v>
      </c>
      <c r="B335" s="5" t="s">
        <v>59</v>
      </c>
      <c r="C335" s="5" t="s">
        <v>31</v>
      </c>
      <c r="D335" s="5" t="s">
        <v>34</v>
      </c>
      <c r="E335" s="5" t="s">
        <v>39</v>
      </c>
      <c r="F335" s="5">
        <v>14</v>
      </c>
      <c r="G335" s="5">
        <v>32719</v>
      </c>
      <c r="H335" s="5">
        <v>15</v>
      </c>
      <c r="I335" s="6">
        <v>46174</v>
      </c>
      <c r="J335" s="6">
        <v>46179</v>
      </c>
      <c r="K335" s="10" t="s">
        <v>15</v>
      </c>
      <c r="L335" s="16">
        <f t="shared" si="5"/>
        <v>68709.899999999994</v>
      </c>
    </row>
    <row r="336" spans="1:12" ht="15" thickBot="1" x14ac:dyDescent="0.4">
      <c r="A336" s="5">
        <v>1002</v>
      </c>
      <c r="B336" s="5" t="s">
        <v>16</v>
      </c>
      <c r="C336" s="5" t="s">
        <v>17</v>
      </c>
      <c r="D336" s="5" t="s">
        <v>18</v>
      </c>
      <c r="E336" s="5" t="s">
        <v>19</v>
      </c>
      <c r="F336" s="5">
        <v>7</v>
      </c>
      <c r="G336" s="5">
        <v>8448</v>
      </c>
      <c r="H336" s="5">
        <v>12</v>
      </c>
      <c r="I336" s="6">
        <v>46174</v>
      </c>
      <c r="J336" s="6">
        <v>46179</v>
      </c>
      <c r="K336" s="10" t="s">
        <v>20</v>
      </c>
      <c r="L336" s="16">
        <f t="shared" si="5"/>
        <v>7096.32</v>
      </c>
    </row>
    <row r="337" spans="1:12" ht="15" thickBot="1" x14ac:dyDescent="0.4">
      <c r="A337" s="5">
        <v>1262</v>
      </c>
      <c r="B337" s="5" t="s">
        <v>16</v>
      </c>
      <c r="C337" s="5" t="s">
        <v>22</v>
      </c>
      <c r="D337" s="5" t="s">
        <v>18</v>
      </c>
      <c r="E337" s="5" t="s">
        <v>28</v>
      </c>
      <c r="F337" s="5">
        <v>9</v>
      </c>
      <c r="G337" s="5">
        <v>2231</v>
      </c>
      <c r="H337" s="5">
        <v>15</v>
      </c>
      <c r="I337" s="6">
        <v>46174</v>
      </c>
      <c r="J337" s="6">
        <v>46183</v>
      </c>
      <c r="K337" s="10" t="s">
        <v>15</v>
      </c>
      <c r="L337" s="16">
        <f t="shared" si="5"/>
        <v>3011.85</v>
      </c>
    </row>
    <row r="338" spans="1:12" ht="15" thickBot="1" x14ac:dyDescent="0.4">
      <c r="A338" s="5">
        <v>1015</v>
      </c>
      <c r="B338" s="5" t="s">
        <v>42</v>
      </c>
      <c r="C338" s="5" t="s">
        <v>43</v>
      </c>
      <c r="D338" s="5" t="s">
        <v>18</v>
      </c>
      <c r="E338" s="5" t="s">
        <v>44</v>
      </c>
      <c r="F338" s="5">
        <v>11</v>
      </c>
      <c r="G338" s="5">
        <v>14511</v>
      </c>
      <c r="H338" s="5">
        <v>2</v>
      </c>
      <c r="I338" s="6">
        <v>46175</v>
      </c>
      <c r="J338" s="6">
        <v>46185</v>
      </c>
      <c r="K338" s="10" t="s">
        <v>20</v>
      </c>
      <c r="L338" s="16">
        <f t="shared" si="5"/>
        <v>3192.42</v>
      </c>
    </row>
    <row r="339" spans="1:12" ht="15" thickBot="1" x14ac:dyDescent="0.4">
      <c r="A339" s="5">
        <v>1093</v>
      </c>
      <c r="B339" s="5" t="s">
        <v>47</v>
      </c>
      <c r="C339" s="5" t="s">
        <v>25</v>
      </c>
      <c r="D339" s="5" t="s">
        <v>18</v>
      </c>
      <c r="E339" s="5" t="s">
        <v>23</v>
      </c>
      <c r="F339" s="5">
        <v>6</v>
      </c>
      <c r="G339" s="5">
        <v>8224</v>
      </c>
      <c r="H339" s="5">
        <v>15</v>
      </c>
      <c r="I339" s="6">
        <v>46175</v>
      </c>
      <c r="J339" s="6">
        <v>46185</v>
      </c>
      <c r="K339" s="10" t="s">
        <v>51</v>
      </c>
      <c r="L339" s="16">
        <f t="shared" si="5"/>
        <v>7401.6</v>
      </c>
    </row>
    <row r="340" spans="1:12" ht="15" thickBot="1" x14ac:dyDescent="0.4">
      <c r="A340" s="5">
        <v>1025</v>
      </c>
      <c r="B340" s="5" t="s">
        <v>21</v>
      </c>
      <c r="C340" s="5" t="s">
        <v>12</v>
      </c>
      <c r="D340" s="5" t="s">
        <v>18</v>
      </c>
      <c r="E340" s="5" t="s">
        <v>19</v>
      </c>
      <c r="F340" s="5">
        <v>18</v>
      </c>
      <c r="G340" s="5">
        <v>7924</v>
      </c>
      <c r="H340" s="5">
        <v>0</v>
      </c>
      <c r="I340" s="6">
        <v>46175</v>
      </c>
      <c r="J340" s="6">
        <v>46181</v>
      </c>
      <c r="K340" s="10" t="s">
        <v>15</v>
      </c>
      <c r="L340" s="16">
        <f t="shared" si="5"/>
        <v>0</v>
      </c>
    </row>
    <row r="341" spans="1:12" ht="15" thickBot="1" x14ac:dyDescent="0.4">
      <c r="A341" s="5">
        <v>1211</v>
      </c>
      <c r="B341" s="5" t="s">
        <v>48</v>
      </c>
      <c r="C341" s="5" t="s">
        <v>17</v>
      </c>
      <c r="D341" s="5" t="s">
        <v>34</v>
      </c>
      <c r="E341" s="5" t="s">
        <v>35</v>
      </c>
      <c r="F341" s="5">
        <v>3</v>
      </c>
      <c r="G341" s="5">
        <v>5962</v>
      </c>
      <c r="H341" s="5">
        <v>7</v>
      </c>
      <c r="I341" s="6">
        <v>46175</v>
      </c>
      <c r="J341" s="6">
        <v>46183</v>
      </c>
      <c r="K341" s="10" t="s">
        <v>15</v>
      </c>
      <c r="L341" s="16">
        <f t="shared" si="5"/>
        <v>1252.02</v>
      </c>
    </row>
    <row r="342" spans="1:12" ht="15" thickBot="1" x14ac:dyDescent="0.4">
      <c r="A342" s="5">
        <v>1245</v>
      </c>
      <c r="B342" s="5" t="s">
        <v>55</v>
      </c>
      <c r="C342" s="5" t="s">
        <v>43</v>
      </c>
      <c r="D342" s="5" t="s">
        <v>34</v>
      </c>
      <c r="E342" s="5" t="s">
        <v>41</v>
      </c>
      <c r="F342" s="5">
        <v>19</v>
      </c>
      <c r="G342" s="5">
        <v>69029</v>
      </c>
      <c r="H342" s="5">
        <v>7</v>
      </c>
      <c r="I342" s="6">
        <v>46176</v>
      </c>
      <c r="J342" s="6">
        <v>46179</v>
      </c>
      <c r="K342" s="10" t="s">
        <v>29</v>
      </c>
      <c r="L342" s="16">
        <f t="shared" si="5"/>
        <v>91808.57</v>
      </c>
    </row>
    <row r="343" spans="1:12" ht="15" thickBot="1" x14ac:dyDescent="0.4">
      <c r="A343" s="5">
        <v>1282</v>
      </c>
      <c r="B343" s="5" t="s">
        <v>57</v>
      </c>
      <c r="C343" s="5" t="s">
        <v>43</v>
      </c>
      <c r="D343" s="5" t="s">
        <v>18</v>
      </c>
      <c r="E343" s="5" t="s">
        <v>44</v>
      </c>
      <c r="F343" s="5">
        <v>12</v>
      </c>
      <c r="G343" s="5">
        <v>3178</v>
      </c>
      <c r="H343" s="5">
        <v>10</v>
      </c>
      <c r="I343" s="6">
        <v>46176</v>
      </c>
      <c r="J343" s="6">
        <v>46177</v>
      </c>
      <c r="K343" s="10" t="s">
        <v>29</v>
      </c>
      <c r="L343" s="16">
        <f t="shared" si="5"/>
        <v>3813.6</v>
      </c>
    </row>
    <row r="344" spans="1:12" ht="15" thickBot="1" x14ac:dyDescent="0.4">
      <c r="A344" s="5">
        <v>1338</v>
      </c>
      <c r="B344" s="5" t="s">
        <v>59</v>
      </c>
      <c r="C344" s="5" t="s">
        <v>25</v>
      </c>
      <c r="D344" s="5" t="s">
        <v>34</v>
      </c>
      <c r="E344" s="5" t="s">
        <v>60</v>
      </c>
      <c r="F344" s="5">
        <v>10</v>
      </c>
      <c r="G344" s="5">
        <v>16719</v>
      </c>
      <c r="H344" s="5">
        <v>5</v>
      </c>
      <c r="I344" s="6">
        <v>46177</v>
      </c>
      <c r="J344" s="6">
        <v>46179</v>
      </c>
      <c r="K344" s="10" t="s">
        <v>15</v>
      </c>
      <c r="L344" s="16">
        <f t="shared" si="5"/>
        <v>8359.5</v>
      </c>
    </row>
    <row r="345" spans="1:12" ht="15" thickBot="1" x14ac:dyDescent="0.4">
      <c r="A345" s="5">
        <v>1187</v>
      </c>
      <c r="B345" s="5" t="s">
        <v>54</v>
      </c>
      <c r="C345" s="5" t="s">
        <v>22</v>
      </c>
      <c r="D345" s="5" t="s">
        <v>34</v>
      </c>
      <c r="E345" s="5" t="s">
        <v>45</v>
      </c>
      <c r="F345" s="5">
        <v>18</v>
      </c>
      <c r="G345" s="5">
        <v>68527</v>
      </c>
      <c r="H345" s="5">
        <v>12</v>
      </c>
      <c r="I345" s="6">
        <v>46178</v>
      </c>
      <c r="J345" s="6">
        <v>46184</v>
      </c>
      <c r="K345" s="10" t="s">
        <v>51</v>
      </c>
      <c r="L345" s="16">
        <f t="shared" si="5"/>
        <v>148018.32</v>
      </c>
    </row>
    <row r="346" spans="1:12" ht="15" thickBot="1" x14ac:dyDescent="0.4">
      <c r="A346" s="5">
        <v>1297</v>
      </c>
      <c r="B346" s="5" t="s">
        <v>54</v>
      </c>
      <c r="C346" s="5" t="s">
        <v>25</v>
      </c>
      <c r="D346" s="5" t="s">
        <v>34</v>
      </c>
      <c r="E346" s="5" t="s">
        <v>35</v>
      </c>
      <c r="F346" s="5">
        <v>14</v>
      </c>
      <c r="G346" s="5">
        <v>24524</v>
      </c>
      <c r="H346" s="5">
        <v>10</v>
      </c>
      <c r="I346" s="6">
        <v>46178</v>
      </c>
      <c r="J346" s="6">
        <v>46187</v>
      </c>
      <c r="K346" s="10" t="s">
        <v>29</v>
      </c>
      <c r="L346" s="16">
        <f t="shared" si="5"/>
        <v>34333.599999999999</v>
      </c>
    </row>
    <row r="347" spans="1:12" ht="15" thickBot="1" x14ac:dyDescent="0.4">
      <c r="A347" s="5">
        <v>1231</v>
      </c>
      <c r="B347" s="5" t="s">
        <v>48</v>
      </c>
      <c r="C347" s="5" t="s">
        <v>38</v>
      </c>
      <c r="D347" s="5" t="s">
        <v>18</v>
      </c>
      <c r="E347" s="5" t="s">
        <v>19</v>
      </c>
      <c r="F347" s="5">
        <v>13</v>
      </c>
      <c r="G347" s="5">
        <v>10297</v>
      </c>
      <c r="H347" s="5">
        <v>12</v>
      </c>
      <c r="I347" s="6">
        <v>46178</v>
      </c>
      <c r="J347" s="6">
        <v>46186</v>
      </c>
      <c r="K347" s="10" t="s">
        <v>20</v>
      </c>
      <c r="L347" s="16">
        <f t="shared" si="5"/>
        <v>16063.32</v>
      </c>
    </row>
    <row r="348" spans="1:12" ht="15" thickBot="1" x14ac:dyDescent="0.4">
      <c r="A348" s="5">
        <v>1118</v>
      </c>
      <c r="B348" s="5" t="s">
        <v>21</v>
      </c>
      <c r="C348" s="5" t="s">
        <v>22</v>
      </c>
      <c r="D348" s="5" t="s">
        <v>18</v>
      </c>
      <c r="E348" s="5" t="s">
        <v>23</v>
      </c>
      <c r="F348" s="5">
        <v>18</v>
      </c>
      <c r="G348" s="5">
        <v>9118</v>
      </c>
      <c r="H348" s="5">
        <v>5</v>
      </c>
      <c r="I348" s="6">
        <v>46178</v>
      </c>
      <c r="J348" s="6">
        <v>46187</v>
      </c>
      <c r="K348" s="10" t="s">
        <v>29</v>
      </c>
      <c r="L348" s="16">
        <f t="shared" si="5"/>
        <v>8206.2000000000007</v>
      </c>
    </row>
    <row r="349" spans="1:12" ht="15" thickBot="1" x14ac:dyDescent="0.4">
      <c r="A349" s="5">
        <v>1154</v>
      </c>
      <c r="B349" s="5" t="s">
        <v>32</v>
      </c>
      <c r="C349" s="5" t="s">
        <v>17</v>
      </c>
      <c r="D349" s="5" t="s">
        <v>18</v>
      </c>
      <c r="E349" s="5" t="s">
        <v>56</v>
      </c>
      <c r="F349" s="5">
        <v>15</v>
      </c>
      <c r="G349" s="5">
        <v>6101</v>
      </c>
      <c r="H349" s="5">
        <v>0</v>
      </c>
      <c r="I349" s="6">
        <v>46178</v>
      </c>
      <c r="J349" s="6">
        <v>46183</v>
      </c>
      <c r="K349" s="10" t="s">
        <v>51</v>
      </c>
      <c r="L349" s="16">
        <f t="shared" si="5"/>
        <v>0</v>
      </c>
    </row>
    <row r="350" spans="1:12" ht="15" thickBot="1" x14ac:dyDescent="0.4">
      <c r="A350" s="5">
        <v>1199</v>
      </c>
      <c r="B350" s="5" t="s">
        <v>11</v>
      </c>
      <c r="C350" s="5" t="s">
        <v>25</v>
      </c>
      <c r="D350" s="5" t="s">
        <v>34</v>
      </c>
      <c r="E350" s="5" t="s">
        <v>45</v>
      </c>
      <c r="F350" s="5">
        <v>2</v>
      </c>
      <c r="G350" s="5">
        <v>4375</v>
      </c>
      <c r="H350" s="5">
        <v>7</v>
      </c>
      <c r="I350" s="6">
        <v>46178</v>
      </c>
      <c r="J350" s="6">
        <v>46180</v>
      </c>
      <c r="K350" s="10" t="s">
        <v>24</v>
      </c>
      <c r="L350" s="16">
        <f t="shared" si="5"/>
        <v>612.5</v>
      </c>
    </row>
    <row r="351" spans="1:12" ht="15" thickBot="1" x14ac:dyDescent="0.4">
      <c r="A351" s="5">
        <v>1376</v>
      </c>
      <c r="B351" s="5" t="s">
        <v>52</v>
      </c>
      <c r="C351" s="5" t="s">
        <v>31</v>
      </c>
      <c r="D351" s="5" t="s">
        <v>13</v>
      </c>
      <c r="E351" s="5" t="s">
        <v>50</v>
      </c>
      <c r="F351" s="5">
        <v>20</v>
      </c>
      <c r="G351" s="5">
        <v>429</v>
      </c>
      <c r="H351" s="5">
        <v>5</v>
      </c>
      <c r="I351" s="6">
        <v>46178</v>
      </c>
      <c r="J351" s="6">
        <v>46184</v>
      </c>
      <c r="K351" s="10" t="s">
        <v>20</v>
      </c>
      <c r="L351" s="16">
        <f t="shared" si="5"/>
        <v>429</v>
      </c>
    </row>
    <row r="352" spans="1:12" ht="15" thickBot="1" x14ac:dyDescent="0.4">
      <c r="A352" s="5">
        <v>1274</v>
      </c>
      <c r="B352" s="5" t="s">
        <v>26</v>
      </c>
      <c r="C352" s="5" t="s">
        <v>25</v>
      </c>
      <c r="D352" s="5" t="s">
        <v>34</v>
      </c>
      <c r="E352" s="5" t="s">
        <v>41</v>
      </c>
      <c r="F352" s="5">
        <v>13</v>
      </c>
      <c r="G352" s="5">
        <v>36652</v>
      </c>
      <c r="H352" s="5">
        <v>12</v>
      </c>
      <c r="I352" s="6">
        <v>46179</v>
      </c>
      <c r="J352" s="6">
        <v>46186</v>
      </c>
      <c r="K352" s="10" t="s">
        <v>20</v>
      </c>
      <c r="L352" s="16">
        <f t="shared" si="5"/>
        <v>57177.120000000003</v>
      </c>
    </row>
    <row r="353" spans="1:12" ht="15" thickBot="1" x14ac:dyDescent="0.4">
      <c r="A353" s="5">
        <v>1288</v>
      </c>
      <c r="B353" s="5" t="s">
        <v>54</v>
      </c>
      <c r="C353" s="5" t="s">
        <v>22</v>
      </c>
      <c r="D353" s="5" t="s">
        <v>34</v>
      </c>
      <c r="E353" s="5" t="s">
        <v>60</v>
      </c>
      <c r="F353" s="5">
        <v>14</v>
      </c>
      <c r="G353" s="5">
        <v>35601</v>
      </c>
      <c r="H353" s="5">
        <v>10</v>
      </c>
      <c r="I353" s="6">
        <v>46179</v>
      </c>
      <c r="J353" s="6">
        <v>46187</v>
      </c>
      <c r="K353" s="10" t="s">
        <v>29</v>
      </c>
      <c r="L353" s="16">
        <f t="shared" si="5"/>
        <v>49841.4</v>
      </c>
    </row>
    <row r="354" spans="1:12" ht="15" thickBot="1" x14ac:dyDescent="0.4">
      <c r="A354" s="5">
        <v>1278</v>
      </c>
      <c r="B354" s="5" t="s">
        <v>47</v>
      </c>
      <c r="C354" s="5" t="s">
        <v>22</v>
      </c>
      <c r="D354" s="5" t="s">
        <v>34</v>
      </c>
      <c r="E354" s="5" t="s">
        <v>61</v>
      </c>
      <c r="F354" s="5">
        <v>4</v>
      </c>
      <c r="G354" s="5">
        <v>20639</v>
      </c>
      <c r="H354" s="5">
        <v>7</v>
      </c>
      <c r="I354" s="6">
        <v>46180</v>
      </c>
      <c r="J354" s="6">
        <v>46186</v>
      </c>
      <c r="K354" s="10" t="s">
        <v>20</v>
      </c>
      <c r="L354" s="16">
        <f t="shared" si="5"/>
        <v>5778.92</v>
      </c>
    </row>
    <row r="355" spans="1:12" ht="15" thickBot="1" x14ac:dyDescent="0.4">
      <c r="A355" s="5">
        <v>1048</v>
      </c>
      <c r="B355" s="5" t="s">
        <v>59</v>
      </c>
      <c r="C355" s="5" t="s">
        <v>25</v>
      </c>
      <c r="D355" s="5" t="s">
        <v>34</v>
      </c>
      <c r="E355" s="5" t="s">
        <v>60</v>
      </c>
      <c r="F355" s="5">
        <v>14</v>
      </c>
      <c r="G355" s="5">
        <v>11762</v>
      </c>
      <c r="H355" s="5">
        <v>7</v>
      </c>
      <c r="I355" s="6">
        <v>46180</v>
      </c>
      <c r="J355" s="6">
        <v>46186</v>
      </c>
      <c r="K355" s="10" t="s">
        <v>24</v>
      </c>
      <c r="L355" s="16">
        <f t="shared" si="5"/>
        <v>11526.76</v>
      </c>
    </row>
    <row r="356" spans="1:12" ht="15" thickBot="1" x14ac:dyDescent="0.4">
      <c r="A356" s="5">
        <v>1294</v>
      </c>
      <c r="B356" s="5" t="s">
        <v>21</v>
      </c>
      <c r="C356" s="5" t="s">
        <v>12</v>
      </c>
      <c r="D356" s="5" t="s">
        <v>18</v>
      </c>
      <c r="E356" s="5" t="s">
        <v>19</v>
      </c>
      <c r="F356" s="5">
        <v>8</v>
      </c>
      <c r="G356" s="5">
        <v>14448</v>
      </c>
      <c r="H356" s="5">
        <v>10</v>
      </c>
      <c r="I356" s="6">
        <v>46181</v>
      </c>
      <c r="J356" s="6">
        <v>46189</v>
      </c>
      <c r="K356" s="10" t="s">
        <v>15</v>
      </c>
      <c r="L356" s="16">
        <f t="shared" si="5"/>
        <v>11558.4</v>
      </c>
    </row>
    <row r="357" spans="1:12" ht="15" thickBot="1" x14ac:dyDescent="0.4">
      <c r="A357" s="5">
        <v>1310</v>
      </c>
      <c r="B357" s="5" t="s">
        <v>49</v>
      </c>
      <c r="C357" s="5" t="s">
        <v>17</v>
      </c>
      <c r="D357" s="5" t="s">
        <v>18</v>
      </c>
      <c r="E357" s="5" t="s">
        <v>56</v>
      </c>
      <c r="F357" s="5">
        <v>19</v>
      </c>
      <c r="G357" s="5">
        <v>12691</v>
      </c>
      <c r="H357" s="5">
        <v>0</v>
      </c>
      <c r="I357" s="6">
        <v>46181</v>
      </c>
      <c r="J357" s="6">
        <v>46189</v>
      </c>
      <c r="K357" s="10" t="s">
        <v>29</v>
      </c>
      <c r="L357" s="16">
        <f t="shared" si="5"/>
        <v>0</v>
      </c>
    </row>
    <row r="358" spans="1:12" ht="15" thickBot="1" x14ac:dyDescent="0.4">
      <c r="A358" s="5">
        <v>1124</v>
      </c>
      <c r="B358" s="5" t="s">
        <v>27</v>
      </c>
      <c r="C358" s="5" t="s">
        <v>38</v>
      </c>
      <c r="D358" s="5" t="s">
        <v>18</v>
      </c>
      <c r="E358" s="5" t="s">
        <v>56</v>
      </c>
      <c r="F358" s="5">
        <v>4</v>
      </c>
      <c r="G358" s="5">
        <v>14195</v>
      </c>
      <c r="H358" s="5">
        <v>15</v>
      </c>
      <c r="I358" s="6">
        <v>46182</v>
      </c>
      <c r="J358" s="6">
        <v>46189</v>
      </c>
      <c r="K358" s="10" t="s">
        <v>51</v>
      </c>
      <c r="L358" s="16">
        <f t="shared" si="5"/>
        <v>8517</v>
      </c>
    </row>
    <row r="359" spans="1:12" ht="15" thickBot="1" x14ac:dyDescent="0.4">
      <c r="A359" s="5">
        <v>1009</v>
      </c>
      <c r="B359" s="5" t="s">
        <v>32</v>
      </c>
      <c r="C359" s="5" t="s">
        <v>33</v>
      </c>
      <c r="D359" s="5" t="s">
        <v>34</v>
      </c>
      <c r="E359" s="5" t="s">
        <v>35</v>
      </c>
      <c r="F359" s="5">
        <v>10</v>
      </c>
      <c r="G359" s="5">
        <v>40671</v>
      </c>
      <c r="H359" s="5">
        <v>12</v>
      </c>
      <c r="I359" s="6">
        <v>46183</v>
      </c>
      <c r="J359" s="6">
        <v>46193</v>
      </c>
      <c r="K359" s="10" t="s">
        <v>24</v>
      </c>
      <c r="L359" s="16">
        <f t="shared" si="5"/>
        <v>48805.2</v>
      </c>
    </row>
    <row r="360" spans="1:12" ht="15" thickBot="1" x14ac:dyDescent="0.4">
      <c r="A360" s="5">
        <v>1003</v>
      </c>
      <c r="B360" s="5" t="s">
        <v>21</v>
      </c>
      <c r="C360" s="5" t="s">
        <v>22</v>
      </c>
      <c r="D360" s="5" t="s">
        <v>18</v>
      </c>
      <c r="E360" s="5" t="s">
        <v>23</v>
      </c>
      <c r="F360" s="5">
        <v>20</v>
      </c>
      <c r="G360" s="5">
        <v>2123</v>
      </c>
      <c r="H360" s="5">
        <v>15</v>
      </c>
      <c r="I360" s="6">
        <v>46183</v>
      </c>
      <c r="J360" s="6">
        <v>46192</v>
      </c>
      <c r="K360" s="10" t="s">
        <v>24</v>
      </c>
      <c r="L360" s="16">
        <f t="shared" si="5"/>
        <v>6369</v>
      </c>
    </row>
    <row r="361" spans="1:12" ht="15" thickBot="1" x14ac:dyDescent="0.4">
      <c r="A361" s="5">
        <v>1320</v>
      </c>
      <c r="B361" s="5" t="s">
        <v>47</v>
      </c>
      <c r="C361" s="5" t="s">
        <v>38</v>
      </c>
      <c r="D361" s="5" t="s">
        <v>13</v>
      </c>
      <c r="E361" s="5" t="s">
        <v>36</v>
      </c>
      <c r="F361" s="5">
        <v>20</v>
      </c>
      <c r="G361" s="5">
        <v>55</v>
      </c>
      <c r="H361" s="5">
        <v>7</v>
      </c>
      <c r="I361" s="6">
        <v>46183</v>
      </c>
      <c r="J361" s="6">
        <v>46186</v>
      </c>
      <c r="K361" s="10" t="s">
        <v>20</v>
      </c>
      <c r="L361" s="16">
        <f t="shared" si="5"/>
        <v>77</v>
      </c>
    </row>
    <row r="362" spans="1:12" ht="15" thickBot="1" x14ac:dyDescent="0.4">
      <c r="A362" s="5">
        <v>1159</v>
      </c>
      <c r="B362" s="5" t="s">
        <v>32</v>
      </c>
      <c r="C362" s="5" t="s">
        <v>43</v>
      </c>
      <c r="D362" s="5" t="s">
        <v>18</v>
      </c>
      <c r="E362" s="5" t="s">
        <v>28</v>
      </c>
      <c r="F362" s="5">
        <v>20</v>
      </c>
      <c r="G362" s="5">
        <v>14000</v>
      </c>
      <c r="H362" s="5">
        <v>15</v>
      </c>
      <c r="I362" s="6">
        <v>46184</v>
      </c>
      <c r="J362" s="6">
        <v>46187</v>
      </c>
      <c r="K362" s="10" t="s">
        <v>15</v>
      </c>
      <c r="L362" s="16">
        <f t="shared" si="5"/>
        <v>42000</v>
      </c>
    </row>
    <row r="363" spans="1:12" ht="15" thickBot="1" x14ac:dyDescent="0.4">
      <c r="A363" s="5">
        <v>1189</v>
      </c>
      <c r="B363" s="5" t="s">
        <v>49</v>
      </c>
      <c r="C363" s="5" t="s">
        <v>31</v>
      </c>
      <c r="D363" s="5" t="s">
        <v>18</v>
      </c>
      <c r="E363" s="5" t="s">
        <v>56</v>
      </c>
      <c r="F363" s="5">
        <v>12</v>
      </c>
      <c r="G363" s="5">
        <v>8327</v>
      </c>
      <c r="H363" s="5">
        <v>10</v>
      </c>
      <c r="I363" s="6">
        <v>46184</v>
      </c>
      <c r="J363" s="6">
        <v>46185</v>
      </c>
      <c r="K363" s="10" t="s">
        <v>29</v>
      </c>
      <c r="L363" s="16">
        <f t="shared" si="5"/>
        <v>9992.4</v>
      </c>
    </row>
    <row r="364" spans="1:12" ht="15" thickBot="1" x14ac:dyDescent="0.4">
      <c r="A364" s="5">
        <v>1119</v>
      </c>
      <c r="B364" s="5" t="s">
        <v>30</v>
      </c>
      <c r="C364" s="5" t="s">
        <v>43</v>
      </c>
      <c r="D364" s="5" t="s">
        <v>18</v>
      </c>
      <c r="E364" s="5" t="s">
        <v>28</v>
      </c>
      <c r="F364" s="5">
        <v>2</v>
      </c>
      <c r="G364" s="5">
        <v>3706</v>
      </c>
      <c r="H364" s="5">
        <v>5</v>
      </c>
      <c r="I364" s="6">
        <v>46184</v>
      </c>
      <c r="J364" s="6">
        <v>46192</v>
      </c>
      <c r="K364" s="10" t="s">
        <v>51</v>
      </c>
      <c r="L364" s="16">
        <f t="shared" si="5"/>
        <v>370.6</v>
      </c>
    </row>
    <row r="365" spans="1:12" ht="15" thickBot="1" x14ac:dyDescent="0.4">
      <c r="A365" s="5">
        <v>1370</v>
      </c>
      <c r="B365" s="5" t="s">
        <v>59</v>
      </c>
      <c r="C365" s="5" t="s">
        <v>38</v>
      </c>
      <c r="D365" s="5" t="s">
        <v>13</v>
      </c>
      <c r="E365" s="5" t="s">
        <v>53</v>
      </c>
      <c r="F365" s="5">
        <v>13</v>
      </c>
      <c r="G365" s="5">
        <v>337</v>
      </c>
      <c r="H365" s="5">
        <v>7</v>
      </c>
      <c r="I365" s="6">
        <v>46184</v>
      </c>
      <c r="J365" s="6">
        <v>46188</v>
      </c>
      <c r="K365" s="10" t="s">
        <v>15</v>
      </c>
      <c r="L365" s="16">
        <f t="shared" si="5"/>
        <v>306.67</v>
      </c>
    </row>
    <row r="366" spans="1:12" ht="15" thickBot="1" x14ac:dyDescent="0.4">
      <c r="A366" s="5">
        <v>1137</v>
      </c>
      <c r="B366" s="5" t="s">
        <v>52</v>
      </c>
      <c r="C366" s="5" t="s">
        <v>12</v>
      </c>
      <c r="D366" s="5" t="s">
        <v>13</v>
      </c>
      <c r="E366" s="5" t="s">
        <v>37</v>
      </c>
      <c r="F366" s="5">
        <v>16</v>
      </c>
      <c r="G366" s="5">
        <v>270</v>
      </c>
      <c r="H366" s="5">
        <v>10</v>
      </c>
      <c r="I366" s="6">
        <v>46184</v>
      </c>
      <c r="J366" s="6">
        <v>46190</v>
      </c>
      <c r="K366" s="10" t="s">
        <v>29</v>
      </c>
      <c r="L366" s="16">
        <f t="shared" si="5"/>
        <v>432</v>
      </c>
    </row>
    <row r="367" spans="1:12" ht="15" thickBot="1" x14ac:dyDescent="0.4">
      <c r="A367" s="5">
        <v>1075</v>
      </c>
      <c r="B367" s="5" t="s">
        <v>42</v>
      </c>
      <c r="C367" s="5" t="s">
        <v>43</v>
      </c>
      <c r="D367" s="5" t="s">
        <v>34</v>
      </c>
      <c r="E367" s="5" t="s">
        <v>61</v>
      </c>
      <c r="F367" s="5">
        <v>4</v>
      </c>
      <c r="G367" s="5">
        <v>64773</v>
      </c>
      <c r="H367" s="5">
        <v>10</v>
      </c>
      <c r="I367" s="6">
        <v>46185</v>
      </c>
      <c r="J367" s="6">
        <v>46186</v>
      </c>
      <c r="K367" s="10" t="s">
        <v>51</v>
      </c>
      <c r="L367" s="16">
        <f t="shared" si="5"/>
        <v>25909.200000000001</v>
      </c>
    </row>
    <row r="368" spans="1:12" ht="15" thickBot="1" x14ac:dyDescent="0.4">
      <c r="A368" s="5">
        <v>1350</v>
      </c>
      <c r="B368" s="5" t="s">
        <v>26</v>
      </c>
      <c r="C368" s="5" t="s">
        <v>43</v>
      </c>
      <c r="D368" s="5" t="s">
        <v>18</v>
      </c>
      <c r="E368" s="5" t="s">
        <v>28</v>
      </c>
      <c r="F368" s="5">
        <v>16</v>
      </c>
      <c r="G368" s="5">
        <v>11790</v>
      </c>
      <c r="H368" s="5">
        <v>12</v>
      </c>
      <c r="I368" s="6">
        <v>46185</v>
      </c>
      <c r="J368" s="6">
        <v>46190</v>
      </c>
      <c r="K368" s="10" t="s">
        <v>29</v>
      </c>
      <c r="L368" s="16">
        <f t="shared" si="5"/>
        <v>22636.799999999999</v>
      </c>
    </row>
    <row r="369" spans="1:12" ht="15" thickBot="1" x14ac:dyDescent="0.4">
      <c r="A369" s="5">
        <v>1083</v>
      </c>
      <c r="B369" s="5" t="s">
        <v>55</v>
      </c>
      <c r="C369" s="5" t="s">
        <v>33</v>
      </c>
      <c r="D369" s="5" t="s">
        <v>13</v>
      </c>
      <c r="E369" s="5" t="s">
        <v>53</v>
      </c>
      <c r="F369" s="5">
        <v>4</v>
      </c>
      <c r="G369" s="5">
        <v>397</v>
      </c>
      <c r="H369" s="5">
        <v>7</v>
      </c>
      <c r="I369" s="6">
        <v>46185</v>
      </c>
      <c r="J369" s="6">
        <v>46193</v>
      </c>
      <c r="K369" s="10" t="s">
        <v>15</v>
      </c>
      <c r="L369" s="16">
        <f t="shared" si="5"/>
        <v>111.16</v>
      </c>
    </row>
    <row r="370" spans="1:12" ht="15" thickBot="1" x14ac:dyDescent="0.4">
      <c r="A370" s="5">
        <v>1064</v>
      </c>
      <c r="B370" s="5" t="s">
        <v>26</v>
      </c>
      <c r="C370" s="5" t="s">
        <v>17</v>
      </c>
      <c r="D370" s="5" t="s">
        <v>13</v>
      </c>
      <c r="E370" s="5" t="s">
        <v>50</v>
      </c>
      <c r="F370" s="5">
        <v>20</v>
      </c>
      <c r="G370" s="5">
        <v>191</v>
      </c>
      <c r="H370" s="5">
        <v>7</v>
      </c>
      <c r="I370" s="6">
        <v>46185</v>
      </c>
      <c r="J370" s="6">
        <v>46195</v>
      </c>
      <c r="K370" s="10" t="s">
        <v>29</v>
      </c>
      <c r="L370" s="16">
        <f t="shared" si="5"/>
        <v>267.39999999999998</v>
      </c>
    </row>
    <row r="371" spans="1:12" ht="15" thickBot="1" x14ac:dyDescent="0.4">
      <c r="A371" s="5">
        <v>1041</v>
      </c>
      <c r="B371" s="5" t="s">
        <v>54</v>
      </c>
      <c r="C371" s="5" t="s">
        <v>38</v>
      </c>
      <c r="D371" s="5" t="s">
        <v>13</v>
      </c>
      <c r="E371" s="5" t="s">
        <v>50</v>
      </c>
      <c r="F371" s="5">
        <v>9</v>
      </c>
      <c r="G371" s="5">
        <v>71</v>
      </c>
      <c r="H371" s="5">
        <v>7</v>
      </c>
      <c r="I371" s="6">
        <v>46185</v>
      </c>
      <c r="J371" s="6">
        <v>46188</v>
      </c>
      <c r="K371" s="10" t="s">
        <v>15</v>
      </c>
      <c r="L371" s="16">
        <f t="shared" si="5"/>
        <v>44.73</v>
      </c>
    </row>
    <row r="372" spans="1:12" ht="15" thickBot="1" x14ac:dyDescent="0.4">
      <c r="A372" s="5">
        <v>1315</v>
      </c>
      <c r="B372" s="5" t="s">
        <v>49</v>
      </c>
      <c r="C372" s="5" t="s">
        <v>31</v>
      </c>
      <c r="D372" s="5" t="s">
        <v>34</v>
      </c>
      <c r="E372" s="5" t="s">
        <v>41</v>
      </c>
      <c r="F372" s="5">
        <v>14</v>
      </c>
      <c r="G372" s="5">
        <v>57670</v>
      </c>
      <c r="H372" s="5">
        <v>2</v>
      </c>
      <c r="I372" s="6">
        <v>46186</v>
      </c>
      <c r="J372" s="6">
        <v>46196</v>
      </c>
      <c r="K372" s="10" t="s">
        <v>15</v>
      </c>
      <c r="L372" s="16">
        <f t="shared" si="5"/>
        <v>16147.6</v>
      </c>
    </row>
    <row r="373" spans="1:12" ht="15" thickBot="1" x14ac:dyDescent="0.4">
      <c r="A373" s="5">
        <v>1292</v>
      </c>
      <c r="B373" s="5" t="s">
        <v>54</v>
      </c>
      <c r="C373" s="5" t="s">
        <v>33</v>
      </c>
      <c r="D373" s="5" t="s">
        <v>34</v>
      </c>
      <c r="E373" s="5" t="s">
        <v>61</v>
      </c>
      <c r="F373" s="5">
        <v>11</v>
      </c>
      <c r="G373" s="5">
        <v>25158</v>
      </c>
      <c r="H373" s="5">
        <v>5</v>
      </c>
      <c r="I373" s="6">
        <v>46186</v>
      </c>
      <c r="J373" s="6">
        <v>46193</v>
      </c>
      <c r="K373" s="10" t="s">
        <v>20</v>
      </c>
      <c r="L373" s="16">
        <f t="shared" si="5"/>
        <v>13836.9</v>
      </c>
    </row>
    <row r="374" spans="1:12" ht="15" thickBot="1" x14ac:dyDescent="0.4">
      <c r="A374" s="5">
        <v>1186</v>
      </c>
      <c r="B374" s="5" t="s">
        <v>16</v>
      </c>
      <c r="C374" s="5" t="s">
        <v>25</v>
      </c>
      <c r="D374" s="5" t="s">
        <v>18</v>
      </c>
      <c r="E374" s="5" t="s">
        <v>44</v>
      </c>
      <c r="F374" s="5">
        <v>10</v>
      </c>
      <c r="G374" s="5">
        <v>14951</v>
      </c>
      <c r="H374" s="5">
        <v>2</v>
      </c>
      <c r="I374" s="6">
        <v>46188</v>
      </c>
      <c r="J374" s="6">
        <v>46196</v>
      </c>
      <c r="K374" s="10" t="s">
        <v>24</v>
      </c>
      <c r="L374" s="16">
        <f t="shared" si="5"/>
        <v>2990.2</v>
      </c>
    </row>
    <row r="375" spans="1:12" ht="15" thickBot="1" x14ac:dyDescent="0.4">
      <c r="A375" s="5">
        <v>1146</v>
      </c>
      <c r="B375" s="5" t="s">
        <v>16</v>
      </c>
      <c r="C375" s="5" t="s">
        <v>43</v>
      </c>
      <c r="D375" s="5" t="s">
        <v>34</v>
      </c>
      <c r="E375" s="5" t="s">
        <v>45</v>
      </c>
      <c r="F375" s="5">
        <v>7</v>
      </c>
      <c r="G375" s="5">
        <v>68217</v>
      </c>
      <c r="H375" s="5">
        <v>0</v>
      </c>
      <c r="I375" s="6">
        <v>46190</v>
      </c>
      <c r="J375" s="6">
        <v>46197</v>
      </c>
      <c r="K375" s="10" t="s">
        <v>29</v>
      </c>
      <c r="L375" s="16">
        <f t="shared" si="5"/>
        <v>0</v>
      </c>
    </row>
    <row r="376" spans="1:12" ht="15" thickBot="1" x14ac:dyDescent="0.4">
      <c r="A376" s="5">
        <v>1331</v>
      </c>
      <c r="B376" s="5" t="s">
        <v>21</v>
      </c>
      <c r="C376" s="5" t="s">
        <v>25</v>
      </c>
      <c r="D376" s="5" t="s">
        <v>34</v>
      </c>
      <c r="E376" s="5" t="s">
        <v>61</v>
      </c>
      <c r="F376" s="5">
        <v>2</v>
      </c>
      <c r="G376" s="5">
        <v>43557</v>
      </c>
      <c r="H376" s="5">
        <v>2</v>
      </c>
      <c r="I376" s="6">
        <v>46190</v>
      </c>
      <c r="J376" s="6">
        <v>46200</v>
      </c>
      <c r="K376" s="10" t="s">
        <v>15</v>
      </c>
      <c r="L376" s="16">
        <f t="shared" si="5"/>
        <v>1742.28</v>
      </c>
    </row>
    <row r="377" spans="1:12" ht="15" thickBot="1" x14ac:dyDescent="0.4">
      <c r="A377" s="5">
        <v>1062</v>
      </c>
      <c r="B377" s="5" t="s">
        <v>40</v>
      </c>
      <c r="C377" s="5" t="s">
        <v>43</v>
      </c>
      <c r="D377" s="5" t="s">
        <v>18</v>
      </c>
      <c r="E377" s="5" t="s">
        <v>23</v>
      </c>
      <c r="F377" s="5">
        <v>8</v>
      </c>
      <c r="G377" s="5">
        <v>8360</v>
      </c>
      <c r="H377" s="5">
        <v>2</v>
      </c>
      <c r="I377" s="6">
        <v>46190</v>
      </c>
      <c r="J377" s="6">
        <v>46200</v>
      </c>
      <c r="K377" s="10" t="s">
        <v>51</v>
      </c>
      <c r="L377" s="16">
        <f t="shared" si="5"/>
        <v>1337.6</v>
      </c>
    </row>
    <row r="378" spans="1:12" ht="15" thickBot="1" x14ac:dyDescent="0.4">
      <c r="A378" s="5">
        <v>1373</v>
      </c>
      <c r="B378" s="5" t="s">
        <v>54</v>
      </c>
      <c r="C378" s="5" t="s">
        <v>25</v>
      </c>
      <c r="D378" s="5" t="s">
        <v>34</v>
      </c>
      <c r="E378" s="5" t="s">
        <v>60</v>
      </c>
      <c r="F378" s="5">
        <v>11</v>
      </c>
      <c r="G378" s="5">
        <v>47930</v>
      </c>
      <c r="H378" s="5">
        <v>12</v>
      </c>
      <c r="I378" s="6">
        <v>46191</v>
      </c>
      <c r="J378" s="6">
        <v>46201</v>
      </c>
      <c r="K378" s="10" t="s">
        <v>20</v>
      </c>
      <c r="L378" s="16">
        <f t="shared" si="5"/>
        <v>63267.6</v>
      </c>
    </row>
    <row r="379" spans="1:12" ht="15" thickBot="1" x14ac:dyDescent="0.4">
      <c r="A379" s="5">
        <v>1306</v>
      </c>
      <c r="B379" s="5" t="s">
        <v>54</v>
      </c>
      <c r="C379" s="5" t="s">
        <v>43</v>
      </c>
      <c r="D379" s="5" t="s">
        <v>13</v>
      </c>
      <c r="E379" s="5" t="s">
        <v>36</v>
      </c>
      <c r="F379" s="5">
        <v>1</v>
      </c>
      <c r="G379" s="5">
        <v>332</v>
      </c>
      <c r="H379" s="5">
        <v>0</v>
      </c>
      <c r="I379" s="6">
        <v>46191</v>
      </c>
      <c r="J379" s="6">
        <v>46194</v>
      </c>
      <c r="K379" s="10" t="s">
        <v>20</v>
      </c>
      <c r="L379" s="16">
        <f t="shared" si="5"/>
        <v>0</v>
      </c>
    </row>
    <row r="380" spans="1:12" ht="15" thickBot="1" x14ac:dyDescent="0.4">
      <c r="A380" s="5">
        <v>1242</v>
      </c>
      <c r="B380" s="5" t="s">
        <v>54</v>
      </c>
      <c r="C380" s="5" t="s">
        <v>38</v>
      </c>
      <c r="D380" s="5" t="s">
        <v>13</v>
      </c>
      <c r="E380" s="5" t="s">
        <v>50</v>
      </c>
      <c r="F380" s="5">
        <v>7</v>
      </c>
      <c r="G380" s="5">
        <v>168</v>
      </c>
      <c r="H380" s="5">
        <v>10</v>
      </c>
      <c r="I380" s="6">
        <v>46191</v>
      </c>
      <c r="J380" s="6">
        <v>46196</v>
      </c>
      <c r="K380" s="10" t="s">
        <v>51</v>
      </c>
      <c r="L380" s="16">
        <f t="shared" si="5"/>
        <v>117.6</v>
      </c>
    </row>
    <row r="381" spans="1:12" ht="15" thickBot="1" x14ac:dyDescent="0.4">
      <c r="A381" s="5">
        <v>1065</v>
      </c>
      <c r="B381" s="5" t="s">
        <v>42</v>
      </c>
      <c r="C381" s="5" t="s">
        <v>43</v>
      </c>
      <c r="D381" s="5" t="s">
        <v>18</v>
      </c>
      <c r="E381" s="5" t="s">
        <v>44</v>
      </c>
      <c r="F381" s="5">
        <v>1</v>
      </c>
      <c r="G381" s="5">
        <v>7730</v>
      </c>
      <c r="H381" s="5">
        <v>5</v>
      </c>
      <c r="I381" s="6">
        <v>46192</v>
      </c>
      <c r="J381" s="6">
        <v>46195</v>
      </c>
      <c r="K381" s="10" t="s">
        <v>51</v>
      </c>
      <c r="L381" s="16">
        <f t="shared" si="5"/>
        <v>386.5</v>
      </c>
    </row>
    <row r="382" spans="1:12" ht="15" thickBot="1" x14ac:dyDescent="0.4">
      <c r="A382" s="5">
        <v>1023</v>
      </c>
      <c r="B382" s="5" t="s">
        <v>40</v>
      </c>
      <c r="C382" s="5" t="s">
        <v>12</v>
      </c>
      <c r="D382" s="5" t="s">
        <v>18</v>
      </c>
      <c r="E382" s="5" t="s">
        <v>44</v>
      </c>
      <c r="F382" s="5">
        <v>15</v>
      </c>
      <c r="G382" s="5">
        <v>3506</v>
      </c>
      <c r="H382" s="5">
        <v>2</v>
      </c>
      <c r="I382" s="6">
        <v>46193</v>
      </c>
      <c r="J382" s="6">
        <v>46194</v>
      </c>
      <c r="K382" s="10" t="s">
        <v>29</v>
      </c>
      <c r="L382" s="16">
        <f t="shared" si="5"/>
        <v>1051.8</v>
      </c>
    </row>
    <row r="383" spans="1:12" ht="15" thickBot="1" x14ac:dyDescent="0.4">
      <c r="A383" s="5">
        <v>1212</v>
      </c>
      <c r="B383" s="5" t="s">
        <v>59</v>
      </c>
      <c r="C383" s="5" t="s">
        <v>25</v>
      </c>
      <c r="D383" s="5" t="s">
        <v>34</v>
      </c>
      <c r="E383" s="5" t="s">
        <v>60</v>
      </c>
      <c r="F383" s="5">
        <v>10</v>
      </c>
      <c r="G383" s="5">
        <v>34380</v>
      </c>
      <c r="H383" s="5">
        <v>7</v>
      </c>
      <c r="I383" s="6">
        <v>46194</v>
      </c>
      <c r="J383" s="6">
        <v>46195</v>
      </c>
      <c r="K383" s="10" t="s">
        <v>29</v>
      </c>
      <c r="L383" s="16">
        <f t="shared" si="5"/>
        <v>24066</v>
      </c>
    </row>
    <row r="384" spans="1:12" ht="15" thickBot="1" x14ac:dyDescent="0.4">
      <c r="A384" s="5">
        <v>1397</v>
      </c>
      <c r="B384" s="5" t="s">
        <v>21</v>
      </c>
      <c r="C384" s="5" t="s">
        <v>33</v>
      </c>
      <c r="D384" s="5" t="s">
        <v>18</v>
      </c>
      <c r="E384" s="5" t="s">
        <v>23</v>
      </c>
      <c r="F384" s="5">
        <v>1</v>
      </c>
      <c r="G384" s="5">
        <v>8948</v>
      </c>
      <c r="H384" s="5">
        <v>5</v>
      </c>
      <c r="I384" s="6">
        <v>46194</v>
      </c>
      <c r="J384" s="6">
        <v>46201</v>
      </c>
      <c r="K384" s="10" t="s">
        <v>51</v>
      </c>
      <c r="L384" s="16">
        <f t="shared" si="5"/>
        <v>447.4</v>
      </c>
    </row>
    <row r="385" spans="1:12" ht="15" thickBot="1" x14ac:dyDescent="0.4">
      <c r="A385" s="5">
        <v>1353</v>
      </c>
      <c r="B385" s="5" t="s">
        <v>47</v>
      </c>
      <c r="C385" s="5" t="s">
        <v>43</v>
      </c>
      <c r="D385" s="5" t="s">
        <v>13</v>
      </c>
      <c r="E385" s="5" t="s">
        <v>14</v>
      </c>
      <c r="F385" s="5">
        <v>6</v>
      </c>
      <c r="G385" s="5">
        <v>495</v>
      </c>
      <c r="H385" s="5">
        <v>2</v>
      </c>
      <c r="I385" s="6">
        <v>46194</v>
      </c>
      <c r="J385" s="6">
        <v>46200</v>
      </c>
      <c r="K385" s="10" t="s">
        <v>24</v>
      </c>
      <c r="L385" s="16">
        <f t="shared" si="5"/>
        <v>59.4</v>
      </c>
    </row>
    <row r="386" spans="1:12" ht="15" thickBot="1" x14ac:dyDescent="0.4">
      <c r="A386" s="5">
        <v>1164</v>
      </c>
      <c r="B386" s="5" t="s">
        <v>40</v>
      </c>
      <c r="C386" s="5" t="s">
        <v>43</v>
      </c>
      <c r="D386" s="5" t="s">
        <v>34</v>
      </c>
      <c r="E386" s="5" t="s">
        <v>61</v>
      </c>
      <c r="F386" s="5">
        <v>7</v>
      </c>
      <c r="G386" s="5">
        <v>24615</v>
      </c>
      <c r="H386" s="5">
        <v>12</v>
      </c>
      <c r="I386" s="6">
        <v>46196</v>
      </c>
      <c r="J386" s="6">
        <v>46203</v>
      </c>
      <c r="K386" s="10" t="s">
        <v>51</v>
      </c>
      <c r="L386" s="16">
        <f t="shared" si="5"/>
        <v>20676.599999999999</v>
      </c>
    </row>
    <row r="387" spans="1:12" ht="15" thickBot="1" x14ac:dyDescent="0.4">
      <c r="A387" s="5">
        <v>1068</v>
      </c>
      <c r="B387" s="5" t="s">
        <v>52</v>
      </c>
      <c r="C387" s="5" t="s">
        <v>43</v>
      </c>
      <c r="D387" s="5" t="s">
        <v>34</v>
      </c>
      <c r="E387" s="5" t="s">
        <v>60</v>
      </c>
      <c r="F387" s="5">
        <v>15</v>
      </c>
      <c r="G387" s="5">
        <v>14534</v>
      </c>
      <c r="H387" s="5">
        <v>5</v>
      </c>
      <c r="I387" s="6">
        <v>46196</v>
      </c>
      <c r="J387" s="6">
        <v>46199</v>
      </c>
      <c r="K387" s="10" t="s">
        <v>29</v>
      </c>
      <c r="L387" s="16">
        <f t="shared" ref="L387:L401" si="6">(F387*G387)*H387/100</f>
        <v>10900.5</v>
      </c>
    </row>
    <row r="388" spans="1:12" ht="15" thickBot="1" x14ac:dyDescent="0.4">
      <c r="A388" s="5">
        <v>1314</v>
      </c>
      <c r="B388" s="5" t="s">
        <v>52</v>
      </c>
      <c r="C388" s="5" t="s">
        <v>33</v>
      </c>
      <c r="D388" s="5" t="s">
        <v>18</v>
      </c>
      <c r="E388" s="5" t="s">
        <v>19</v>
      </c>
      <c r="F388" s="5">
        <v>10</v>
      </c>
      <c r="G388" s="5">
        <v>6328</v>
      </c>
      <c r="H388" s="5">
        <v>2</v>
      </c>
      <c r="I388" s="6">
        <v>46196</v>
      </c>
      <c r="J388" s="6">
        <v>46197</v>
      </c>
      <c r="K388" s="10" t="s">
        <v>29</v>
      </c>
      <c r="L388" s="16">
        <f t="shared" si="6"/>
        <v>1265.5999999999999</v>
      </c>
    </row>
    <row r="389" spans="1:12" ht="15" thickBot="1" x14ac:dyDescent="0.4">
      <c r="A389" s="5">
        <v>1340</v>
      </c>
      <c r="B389" s="5" t="s">
        <v>48</v>
      </c>
      <c r="C389" s="5" t="s">
        <v>17</v>
      </c>
      <c r="D389" s="5" t="s">
        <v>18</v>
      </c>
      <c r="E389" s="5" t="s">
        <v>19</v>
      </c>
      <c r="F389" s="5">
        <v>12</v>
      </c>
      <c r="G389" s="5">
        <v>3857</v>
      </c>
      <c r="H389" s="5">
        <v>12</v>
      </c>
      <c r="I389" s="6">
        <v>46196</v>
      </c>
      <c r="J389" s="6">
        <v>46198</v>
      </c>
      <c r="K389" s="10" t="s">
        <v>51</v>
      </c>
      <c r="L389" s="16">
        <f t="shared" si="6"/>
        <v>5554.08</v>
      </c>
    </row>
    <row r="390" spans="1:12" ht="15" thickBot="1" x14ac:dyDescent="0.4">
      <c r="A390" s="5">
        <v>1383</v>
      </c>
      <c r="B390" s="5" t="s">
        <v>32</v>
      </c>
      <c r="C390" s="5" t="s">
        <v>12</v>
      </c>
      <c r="D390" s="5" t="s">
        <v>13</v>
      </c>
      <c r="E390" s="5" t="s">
        <v>53</v>
      </c>
      <c r="F390" s="5">
        <v>14</v>
      </c>
      <c r="G390" s="5">
        <v>334</v>
      </c>
      <c r="H390" s="5">
        <v>10</v>
      </c>
      <c r="I390" s="6">
        <v>46196</v>
      </c>
      <c r="J390" s="6">
        <v>46203</v>
      </c>
      <c r="K390" s="10" t="s">
        <v>15</v>
      </c>
      <c r="L390" s="16">
        <f t="shared" si="6"/>
        <v>467.6</v>
      </c>
    </row>
    <row r="391" spans="1:12" ht="15" thickBot="1" x14ac:dyDescent="0.4">
      <c r="A391" s="5">
        <v>1309</v>
      </c>
      <c r="B391" s="5" t="s">
        <v>29</v>
      </c>
      <c r="C391" s="5" t="s">
        <v>31</v>
      </c>
      <c r="D391" s="5" t="s">
        <v>13</v>
      </c>
      <c r="E391" s="5" t="s">
        <v>50</v>
      </c>
      <c r="F391" s="5">
        <v>2</v>
      </c>
      <c r="G391" s="5">
        <v>35</v>
      </c>
      <c r="H391" s="5">
        <v>5</v>
      </c>
      <c r="I391" s="6">
        <v>46197</v>
      </c>
      <c r="J391" s="6">
        <v>46198</v>
      </c>
      <c r="K391" s="10" t="s">
        <v>24</v>
      </c>
      <c r="L391" s="16">
        <f t="shared" si="6"/>
        <v>3.5</v>
      </c>
    </row>
    <row r="392" spans="1:12" ht="15" thickBot="1" x14ac:dyDescent="0.4">
      <c r="A392" s="5">
        <v>1233</v>
      </c>
      <c r="B392" s="5" t="s">
        <v>58</v>
      </c>
      <c r="C392" s="5" t="s">
        <v>22</v>
      </c>
      <c r="D392" s="5" t="s">
        <v>18</v>
      </c>
      <c r="E392" s="5" t="s">
        <v>19</v>
      </c>
      <c r="F392" s="5">
        <v>20</v>
      </c>
      <c r="G392" s="5">
        <v>13941</v>
      </c>
      <c r="H392" s="5">
        <v>15</v>
      </c>
      <c r="I392" s="6">
        <v>46198</v>
      </c>
      <c r="J392" s="6">
        <v>46202</v>
      </c>
      <c r="K392" s="10" t="s">
        <v>24</v>
      </c>
      <c r="L392" s="16">
        <f t="shared" si="6"/>
        <v>41823</v>
      </c>
    </row>
    <row r="393" spans="1:12" ht="15" thickBot="1" x14ac:dyDescent="0.4">
      <c r="A393" s="5">
        <v>1195</v>
      </c>
      <c r="B393" s="5" t="s">
        <v>59</v>
      </c>
      <c r="C393" s="5" t="s">
        <v>17</v>
      </c>
      <c r="D393" s="5" t="s">
        <v>13</v>
      </c>
      <c r="E393" s="5" t="s">
        <v>50</v>
      </c>
      <c r="F393" s="5">
        <v>19</v>
      </c>
      <c r="G393" s="5">
        <v>313</v>
      </c>
      <c r="H393" s="5">
        <v>2</v>
      </c>
      <c r="I393" s="6">
        <v>46198</v>
      </c>
      <c r="J393" s="6">
        <v>46206</v>
      </c>
      <c r="K393" s="10" t="s">
        <v>51</v>
      </c>
      <c r="L393" s="16">
        <f t="shared" si="6"/>
        <v>118.94</v>
      </c>
    </row>
    <row r="394" spans="1:12" ht="15" thickBot="1" x14ac:dyDescent="0.4">
      <c r="A394" s="5">
        <v>1268</v>
      </c>
      <c r="B394" s="5" t="s">
        <v>42</v>
      </c>
      <c r="C394" s="5" t="s">
        <v>38</v>
      </c>
      <c r="D394" s="5" t="s">
        <v>34</v>
      </c>
      <c r="E394" s="5" t="s">
        <v>45</v>
      </c>
      <c r="F394" s="5">
        <v>10</v>
      </c>
      <c r="G394" s="5">
        <v>46291</v>
      </c>
      <c r="H394" s="5">
        <v>12</v>
      </c>
      <c r="I394" s="6">
        <v>46199</v>
      </c>
      <c r="J394" s="6">
        <v>46202</v>
      </c>
      <c r="K394" s="10" t="s">
        <v>20</v>
      </c>
      <c r="L394" s="16">
        <f t="shared" si="6"/>
        <v>55549.2</v>
      </c>
    </row>
    <row r="395" spans="1:12" ht="15" thickBot="1" x14ac:dyDescent="0.4">
      <c r="A395" s="5">
        <v>1047</v>
      </c>
      <c r="B395" s="5" t="s">
        <v>58</v>
      </c>
      <c r="C395" s="5" t="s">
        <v>38</v>
      </c>
      <c r="D395" s="5" t="s">
        <v>18</v>
      </c>
      <c r="E395" s="5" t="s">
        <v>56</v>
      </c>
      <c r="F395" s="5">
        <v>11</v>
      </c>
      <c r="G395" s="5">
        <v>9976</v>
      </c>
      <c r="H395" s="5">
        <v>12</v>
      </c>
      <c r="I395" s="6">
        <v>46200</v>
      </c>
      <c r="J395" s="6">
        <v>46209</v>
      </c>
      <c r="K395" s="10" t="s">
        <v>15</v>
      </c>
      <c r="L395" s="16">
        <f t="shared" si="6"/>
        <v>13168.32</v>
      </c>
    </row>
    <row r="396" spans="1:12" ht="15" thickBot="1" x14ac:dyDescent="0.4">
      <c r="A396" s="5">
        <v>1054</v>
      </c>
      <c r="B396" s="5" t="s">
        <v>26</v>
      </c>
      <c r="C396" s="5" t="s">
        <v>25</v>
      </c>
      <c r="D396" s="5" t="s">
        <v>18</v>
      </c>
      <c r="E396" s="5" t="s">
        <v>23</v>
      </c>
      <c r="F396" s="5">
        <v>8</v>
      </c>
      <c r="G396" s="5">
        <v>9798</v>
      </c>
      <c r="H396" s="5">
        <v>12</v>
      </c>
      <c r="I396" s="6">
        <v>46200</v>
      </c>
      <c r="J396" s="6">
        <v>46201</v>
      </c>
      <c r="K396" s="10" t="s">
        <v>51</v>
      </c>
      <c r="L396" s="16">
        <f t="shared" si="6"/>
        <v>9406.08</v>
      </c>
    </row>
    <row r="397" spans="1:12" ht="15" thickBot="1" x14ac:dyDescent="0.4">
      <c r="A397" s="5">
        <v>1264</v>
      </c>
      <c r="B397" s="5" t="s">
        <v>11</v>
      </c>
      <c r="C397" s="5" t="s">
        <v>22</v>
      </c>
      <c r="D397" s="5" t="s">
        <v>18</v>
      </c>
      <c r="E397" s="5" t="s">
        <v>28</v>
      </c>
      <c r="F397" s="5">
        <v>15</v>
      </c>
      <c r="G397" s="5">
        <v>6365</v>
      </c>
      <c r="H397" s="5">
        <v>10</v>
      </c>
      <c r="I397" s="6">
        <v>46200</v>
      </c>
      <c r="J397" s="6">
        <v>46206</v>
      </c>
      <c r="K397" s="10" t="s">
        <v>20</v>
      </c>
      <c r="L397" s="16">
        <f t="shared" si="6"/>
        <v>9547.5</v>
      </c>
    </row>
    <row r="398" spans="1:12" ht="15" thickBot="1" x14ac:dyDescent="0.4">
      <c r="A398" s="5">
        <v>1244</v>
      </c>
      <c r="B398" s="5" t="s">
        <v>57</v>
      </c>
      <c r="C398" s="5" t="s">
        <v>38</v>
      </c>
      <c r="D398" s="5" t="s">
        <v>18</v>
      </c>
      <c r="E398" s="5" t="s">
        <v>28</v>
      </c>
      <c r="F398" s="5">
        <v>10</v>
      </c>
      <c r="G398" s="5">
        <v>6339</v>
      </c>
      <c r="H398" s="5">
        <v>12</v>
      </c>
      <c r="I398" s="6">
        <v>46200</v>
      </c>
      <c r="J398" s="6">
        <v>46205</v>
      </c>
      <c r="K398" s="10" t="s">
        <v>15</v>
      </c>
      <c r="L398" s="16">
        <f t="shared" si="6"/>
        <v>7606.8</v>
      </c>
    </row>
    <row r="399" spans="1:12" ht="15" thickBot="1" x14ac:dyDescent="0.4">
      <c r="A399" s="5">
        <v>1356</v>
      </c>
      <c r="B399" s="5" t="s">
        <v>26</v>
      </c>
      <c r="C399" s="5" t="s">
        <v>38</v>
      </c>
      <c r="D399" s="5" t="s">
        <v>34</v>
      </c>
      <c r="E399" s="5" t="s">
        <v>60</v>
      </c>
      <c r="F399" s="5">
        <v>16</v>
      </c>
      <c r="G399" s="5">
        <v>53457</v>
      </c>
      <c r="H399" s="5">
        <v>10</v>
      </c>
      <c r="I399" s="6">
        <v>46201</v>
      </c>
      <c r="J399" s="6">
        <v>46204</v>
      </c>
      <c r="K399" s="10" t="s">
        <v>15</v>
      </c>
      <c r="L399" s="16">
        <f t="shared" si="6"/>
        <v>85531.199999999997</v>
      </c>
    </row>
    <row r="400" spans="1:12" ht="15" thickBot="1" x14ac:dyDescent="0.4">
      <c r="A400" s="5">
        <v>1126</v>
      </c>
      <c r="B400" s="5" t="s">
        <v>46</v>
      </c>
      <c r="C400" s="5" t="s">
        <v>22</v>
      </c>
      <c r="D400" s="5" t="s">
        <v>34</v>
      </c>
      <c r="E400" s="5" t="s">
        <v>39</v>
      </c>
      <c r="F400" s="5">
        <v>17</v>
      </c>
      <c r="G400" s="5">
        <v>19390</v>
      </c>
      <c r="H400" s="5">
        <v>12</v>
      </c>
      <c r="I400" s="6">
        <v>46201</v>
      </c>
      <c r="J400" s="6">
        <v>46206</v>
      </c>
      <c r="K400" s="10" t="s">
        <v>29</v>
      </c>
      <c r="L400" s="16">
        <f t="shared" si="6"/>
        <v>39555.599999999999</v>
      </c>
    </row>
    <row r="401" spans="1:12" ht="15" thickBot="1" x14ac:dyDescent="0.4">
      <c r="A401" s="5">
        <v>1219</v>
      </c>
      <c r="B401" s="5" t="s">
        <v>46</v>
      </c>
      <c r="C401" s="5" t="s">
        <v>22</v>
      </c>
      <c r="D401" s="5" t="s">
        <v>13</v>
      </c>
      <c r="E401" s="5" t="s">
        <v>14</v>
      </c>
      <c r="F401" s="5">
        <v>4</v>
      </c>
      <c r="G401" s="5">
        <v>117</v>
      </c>
      <c r="H401" s="5">
        <v>15</v>
      </c>
      <c r="I401" s="6">
        <v>46202</v>
      </c>
      <c r="J401" s="6">
        <v>46206</v>
      </c>
      <c r="K401" s="10" t="s">
        <v>29</v>
      </c>
      <c r="L401" s="16">
        <f t="shared" si="6"/>
        <v>70.2</v>
      </c>
    </row>
  </sheetData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00E0FD-74CF-4FA9-94E3-7E99D728CA9F}">
  <dimension ref="A1:N401"/>
  <sheetViews>
    <sheetView tabSelected="1" workbookViewId="0">
      <selection activeCell="J14" sqref="J14"/>
    </sheetView>
  </sheetViews>
  <sheetFormatPr defaultRowHeight="14.5" x14ac:dyDescent="0.35"/>
  <cols>
    <col min="1" max="1" width="8.54296875" bestFit="1" customWidth="1"/>
    <col min="2" max="2" width="9" bestFit="1" customWidth="1"/>
    <col min="3" max="3" width="11" bestFit="1" customWidth="1"/>
    <col min="4" max="4" width="9.7265625" bestFit="1" customWidth="1"/>
    <col min="5" max="5" width="9" bestFit="1" customWidth="1"/>
    <col min="6" max="6" width="8.1796875" bestFit="1" customWidth="1"/>
    <col min="7" max="7" width="9.453125" bestFit="1" customWidth="1"/>
    <col min="8" max="8" width="10.6328125" bestFit="1" customWidth="1"/>
    <col min="9" max="9" width="10.7265625" bestFit="1" customWidth="1"/>
    <col min="10" max="10" width="12.54296875" bestFit="1" customWidth="1"/>
    <col min="11" max="11" width="10.81640625" bestFit="1" customWidth="1"/>
    <col min="12" max="12" width="11.90625" style="22" customWidth="1"/>
    <col min="14" max="14" width="34.81640625" customWidth="1"/>
  </cols>
  <sheetData>
    <row r="1" spans="1:14" ht="17.5" customHeight="1" x14ac:dyDescent="0.35">
      <c r="A1" s="38" t="s">
        <v>0</v>
      </c>
      <c r="B1" s="38" t="s">
        <v>1</v>
      </c>
      <c r="C1" s="38" t="s">
        <v>2</v>
      </c>
      <c r="D1" s="38" t="s">
        <v>3</v>
      </c>
      <c r="E1" s="38" t="s">
        <v>4</v>
      </c>
      <c r="F1" s="38" t="s">
        <v>5</v>
      </c>
      <c r="G1" s="38" t="s">
        <v>6</v>
      </c>
      <c r="H1" s="38" t="s">
        <v>7</v>
      </c>
      <c r="I1" s="38" t="s">
        <v>8</v>
      </c>
      <c r="J1" s="38" t="s">
        <v>9</v>
      </c>
      <c r="K1" s="39" t="s">
        <v>10</v>
      </c>
      <c r="L1" s="40" t="s">
        <v>70</v>
      </c>
      <c r="N1" s="36" t="s">
        <v>84</v>
      </c>
    </row>
    <row r="2" spans="1:14" x14ac:dyDescent="0.35">
      <c r="A2" s="29">
        <v>1245</v>
      </c>
      <c r="B2" s="29" t="s">
        <v>55</v>
      </c>
      <c r="C2" s="29" t="s">
        <v>43</v>
      </c>
      <c r="D2" s="29" t="s">
        <v>34</v>
      </c>
      <c r="E2" s="29" t="s">
        <v>41</v>
      </c>
      <c r="F2" s="29">
        <v>19</v>
      </c>
      <c r="G2" s="29">
        <v>69029</v>
      </c>
      <c r="H2" s="29">
        <v>7</v>
      </c>
      <c r="I2" s="30">
        <v>46176</v>
      </c>
      <c r="J2" s="30">
        <v>46179</v>
      </c>
      <c r="K2" s="29" t="s">
        <v>29</v>
      </c>
      <c r="L2" s="24">
        <f t="shared" ref="L2:L65" si="0">F2*G2*(1-H2/100)</f>
        <v>1219742.43</v>
      </c>
      <c r="N2" s="23" t="str">
        <f>_xlfn.XLOOKUP(MAX(L2:L400), L2:L400, B2:B400) &amp; " - " &amp; MAX(L2:L400)</f>
        <v>Sneha - 1219742.43</v>
      </c>
    </row>
    <row r="3" spans="1:14" x14ac:dyDescent="0.35">
      <c r="A3" s="29">
        <v>1090</v>
      </c>
      <c r="B3" s="29" t="s">
        <v>49</v>
      </c>
      <c r="C3" s="29" t="s">
        <v>31</v>
      </c>
      <c r="D3" s="29" t="s">
        <v>34</v>
      </c>
      <c r="E3" s="29" t="s">
        <v>45</v>
      </c>
      <c r="F3" s="29">
        <v>19</v>
      </c>
      <c r="G3" s="29">
        <v>66139</v>
      </c>
      <c r="H3" s="29">
        <v>5</v>
      </c>
      <c r="I3" s="30">
        <v>46088</v>
      </c>
      <c r="J3" s="30">
        <v>46095</v>
      </c>
      <c r="K3" s="29" t="s">
        <v>24</v>
      </c>
      <c r="L3" s="24">
        <f t="shared" si="0"/>
        <v>1193808.95</v>
      </c>
    </row>
    <row r="4" spans="1:14" x14ac:dyDescent="0.35">
      <c r="A4" s="29">
        <v>1072</v>
      </c>
      <c r="B4" s="29" t="s">
        <v>16</v>
      </c>
      <c r="C4" s="29" t="s">
        <v>25</v>
      </c>
      <c r="D4" s="29" t="s">
        <v>34</v>
      </c>
      <c r="E4" s="29" t="s">
        <v>61</v>
      </c>
      <c r="F4" s="29">
        <v>20</v>
      </c>
      <c r="G4" s="29">
        <v>58779</v>
      </c>
      <c r="H4" s="29">
        <v>0</v>
      </c>
      <c r="I4" s="30">
        <v>46035</v>
      </c>
      <c r="J4" s="30">
        <v>46036</v>
      </c>
      <c r="K4" s="29" t="s">
        <v>24</v>
      </c>
      <c r="L4" s="24">
        <f t="shared" si="0"/>
        <v>1175580</v>
      </c>
    </row>
    <row r="5" spans="1:14" x14ac:dyDescent="0.35">
      <c r="A5" s="29">
        <v>1349</v>
      </c>
      <c r="B5" s="29" t="s">
        <v>40</v>
      </c>
      <c r="C5" s="29" t="s">
        <v>33</v>
      </c>
      <c r="D5" s="29" t="s">
        <v>34</v>
      </c>
      <c r="E5" s="29" t="s">
        <v>35</v>
      </c>
      <c r="F5" s="29">
        <v>20</v>
      </c>
      <c r="G5" s="29">
        <v>62721</v>
      </c>
      <c r="H5" s="29">
        <v>7</v>
      </c>
      <c r="I5" s="30">
        <v>46079</v>
      </c>
      <c r="J5" s="30">
        <v>46083</v>
      </c>
      <c r="K5" s="29" t="s">
        <v>20</v>
      </c>
      <c r="L5" s="24">
        <f t="shared" si="0"/>
        <v>1166610.5999999999</v>
      </c>
      <c r="N5" s="33" t="s">
        <v>85</v>
      </c>
    </row>
    <row r="6" spans="1:14" x14ac:dyDescent="0.35">
      <c r="A6" s="29">
        <v>1375</v>
      </c>
      <c r="B6" s="29" t="s">
        <v>46</v>
      </c>
      <c r="C6" s="29" t="s">
        <v>43</v>
      </c>
      <c r="D6" s="29" t="s">
        <v>34</v>
      </c>
      <c r="E6" s="29" t="s">
        <v>45</v>
      </c>
      <c r="F6" s="29">
        <v>20</v>
      </c>
      <c r="G6" s="29">
        <v>56766</v>
      </c>
      <c r="H6" s="29">
        <v>0</v>
      </c>
      <c r="I6" s="30">
        <v>46052</v>
      </c>
      <c r="J6" s="30">
        <v>46061</v>
      </c>
      <c r="K6" s="29" t="s">
        <v>24</v>
      </c>
      <c r="L6" s="24">
        <f t="shared" si="0"/>
        <v>1135320</v>
      </c>
      <c r="N6" s="23" t="str">
        <f>_xlfn.XLOOKUP(MAX(F2:F400),F2:F400,C2:C400)&amp;"-"&amp;MAX(F2:F400)</f>
        <v>Aurangabad-20</v>
      </c>
    </row>
    <row r="7" spans="1:14" x14ac:dyDescent="0.35">
      <c r="A7" s="29">
        <v>1187</v>
      </c>
      <c r="B7" s="29" t="s">
        <v>54</v>
      </c>
      <c r="C7" s="29" t="s">
        <v>22</v>
      </c>
      <c r="D7" s="29" t="s">
        <v>34</v>
      </c>
      <c r="E7" s="29" t="s">
        <v>45</v>
      </c>
      <c r="F7" s="29">
        <v>18</v>
      </c>
      <c r="G7" s="29">
        <v>68527</v>
      </c>
      <c r="H7" s="29">
        <v>12</v>
      </c>
      <c r="I7" s="30">
        <v>46178</v>
      </c>
      <c r="J7" s="30">
        <v>46184</v>
      </c>
      <c r="K7" s="29" t="s">
        <v>51</v>
      </c>
      <c r="L7" s="24">
        <f t="shared" si="0"/>
        <v>1085467.68</v>
      </c>
    </row>
    <row r="8" spans="1:14" x14ac:dyDescent="0.35">
      <c r="A8" s="29">
        <v>1279</v>
      </c>
      <c r="B8" s="29" t="s">
        <v>55</v>
      </c>
      <c r="C8" s="29" t="s">
        <v>33</v>
      </c>
      <c r="D8" s="29" t="s">
        <v>34</v>
      </c>
      <c r="E8" s="29" t="s">
        <v>45</v>
      </c>
      <c r="F8" s="29">
        <v>20</v>
      </c>
      <c r="G8" s="29">
        <v>49042</v>
      </c>
      <c r="H8" s="29">
        <v>2</v>
      </c>
      <c r="I8" s="30">
        <v>46124</v>
      </c>
      <c r="J8" s="30">
        <v>46126</v>
      </c>
      <c r="K8" s="29" t="s">
        <v>15</v>
      </c>
      <c r="L8" s="24">
        <f t="shared" si="0"/>
        <v>961223.2</v>
      </c>
    </row>
    <row r="9" spans="1:14" x14ac:dyDescent="0.35">
      <c r="A9" s="29">
        <v>1135</v>
      </c>
      <c r="B9" s="29" t="s">
        <v>49</v>
      </c>
      <c r="C9" s="29" t="s">
        <v>43</v>
      </c>
      <c r="D9" s="29" t="s">
        <v>34</v>
      </c>
      <c r="E9" s="29" t="s">
        <v>39</v>
      </c>
      <c r="F9" s="29">
        <v>14</v>
      </c>
      <c r="G9" s="29">
        <v>68534</v>
      </c>
      <c r="H9" s="29">
        <v>0</v>
      </c>
      <c r="I9" s="30">
        <v>46041</v>
      </c>
      <c r="J9" s="30">
        <v>46042</v>
      </c>
      <c r="K9" s="29" t="s">
        <v>15</v>
      </c>
      <c r="L9" s="24">
        <f t="shared" si="0"/>
        <v>959476</v>
      </c>
    </row>
    <row r="10" spans="1:14" x14ac:dyDescent="0.35">
      <c r="A10" s="29">
        <v>1061</v>
      </c>
      <c r="B10" s="29" t="s">
        <v>57</v>
      </c>
      <c r="C10" s="29" t="s">
        <v>12</v>
      </c>
      <c r="D10" s="29" t="s">
        <v>34</v>
      </c>
      <c r="E10" s="29" t="s">
        <v>41</v>
      </c>
      <c r="F10" s="29">
        <v>16</v>
      </c>
      <c r="G10" s="29">
        <v>59084</v>
      </c>
      <c r="H10" s="29">
        <v>0</v>
      </c>
      <c r="I10" s="30">
        <v>46060</v>
      </c>
      <c r="J10" s="30">
        <v>46069</v>
      </c>
      <c r="K10" s="29" t="s">
        <v>20</v>
      </c>
      <c r="L10" s="24">
        <f t="shared" si="0"/>
        <v>945344</v>
      </c>
    </row>
    <row r="11" spans="1:14" ht="15" thickBot="1" x14ac:dyDescent="0.4">
      <c r="A11" s="25">
        <v>1260</v>
      </c>
      <c r="B11" s="25" t="s">
        <v>54</v>
      </c>
      <c r="C11" s="25" t="s">
        <v>38</v>
      </c>
      <c r="D11" s="25" t="s">
        <v>34</v>
      </c>
      <c r="E11" s="25" t="s">
        <v>41</v>
      </c>
      <c r="F11" s="25">
        <v>19</v>
      </c>
      <c r="G11" s="25">
        <v>54981</v>
      </c>
      <c r="H11" s="25">
        <v>10</v>
      </c>
      <c r="I11" s="26">
        <v>46040</v>
      </c>
      <c r="J11" s="26">
        <v>46045</v>
      </c>
      <c r="K11" s="27" t="s">
        <v>29</v>
      </c>
      <c r="L11" s="28">
        <f t="shared" si="0"/>
        <v>940175.1</v>
      </c>
    </row>
    <row r="12" spans="1:14" ht="15" thickBot="1" x14ac:dyDescent="0.4">
      <c r="A12" s="5">
        <v>1270</v>
      </c>
      <c r="B12" s="5" t="s">
        <v>49</v>
      </c>
      <c r="C12" s="5" t="s">
        <v>43</v>
      </c>
      <c r="D12" s="5" t="s">
        <v>34</v>
      </c>
      <c r="E12" s="5" t="s">
        <v>35</v>
      </c>
      <c r="F12" s="5">
        <v>16</v>
      </c>
      <c r="G12" s="5">
        <v>62941</v>
      </c>
      <c r="H12" s="5">
        <v>7</v>
      </c>
      <c r="I12" s="6">
        <v>46135</v>
      </c>
      <c r="J12" s="6">
        <v>46141</v>
      </c>
      <c r="K12" s="10" t="s">
        <v>51</v>
      </c>
      <c r="L12" s="21">
        <f t="shared" si="0"/>
        <v>936562.08</v>
      </c>
    </row>
    <row r="13" spans="1:14" ht="15" thickBot="1" x14ac:dyDescent="0.4">
      <c r="A13" s="5">
        <v>1319</v>
      </c>
      <c r="B13" s="5" t="s">
        <v>21</v>
      </c>
      <c r="C13" s="5" t="s">
        <v>17</v>
      </c>
      <c r="D13" s="5" t="s">
        <v>34</v>
      </c>
      <c r="E13" s="5" t="s">
        <v>61</v>
      </c>
      <c r="F13" s="5">
        <v>17</v>
      </c>
      <c r="G13" s="5">
        <v>58407</v>
      </c>
      <c r="H13" s="5">
        <v>7</v>
      </c>
      <c r="I13" s="6">
        <v>46094</v>
      </c>
      <c r="J13" s="6">
        <v>46102</v>
      </c>
      <c r="K13" s="10" t="s">
        <v>15</v>
      </c>
      <c r="L13" s="21">
        <f t="shared" si="0"/>
        <v>923414.66999999993</v>
      </c>
      <c r="N13" s="8"/>
    </row>
    <row r="14" spans="1:14" ht="15" thickBot="1" x14ac:dyDescent="0.4">
      <c r="A14" s="5">
        <v>1251</v>
      </c>
      <c r="B14" s="5" t="s">
        <v>55</v>
      </c>
      <c r="C14" s="5" t="s">
        <v>38</v>
      </c>
      <c r="D14" s="5" t="s">
        <v>34</v>
      </c>
      <c r="E14" s="5" t="s">
        <v>61</v>
      </c>
      <c r="F14" s="5">
        <v>19</v>
      </c>
      <c r="G14" s="5">
        <v>48548</v>
      </c>
      <c r="H14" s="5">
        <v>0</v>
      </c>
      <c r="I14" s="6">
        <v>46112</v>
      </c>
      <c r="J14" s="6">
        <v>46121</v>
      </c>
      <c r="K14" s="10" t="s">
        <v>51</v>
      </c>
      <c r="L14" s="21">
        <f t="shared" si="0"/>
        <v>922412</v>
      </c>
    </row>
    <row r="15" spans="1:14" ht="15" thickBot="1" x14ac:dyDescent="0.4">
      <c r="A15" s="5">
        <v>1200</v>
      </c>
      <c r="B15" s="5" t="s">
        <v>29</v>
      </c>
      <c r="C15" s="5" t="s">
        <v>31</v>
      </c>
      <c r="D15" s="5" t="s">
        <v>34</v>
      </c>
      <c r="E15" s="5" t="s">
        <v>45</v>
      </c>
      <c r="F15" s="5">
        <v>13</v>
      </c>
      <c r="G15" s="5">
        <v>69422</v>
      </c>
      <c r="H15" s="5">
        <v>0</v>
      </c>
      <c r="I15" s="6">
        <v>46134</v>
      </c>
      <c r="J15" s="6">
        <v>46143</v>
      </c>
      <c r="K15" s="10" t="s">
        <v>29</v>
      </c>
      <c r="L15" s="21">
        <f t="shared" si="0"/>
        <v>902486</v>
      </c>
    </row>
    <row r="16" spans="1:14" ht="15" thickBot="1" x14ac:dyDescent="0.4">
      <c r="A16" s="5">
        <v>1014</v>
      </c>
      <c r="B16" s="5" t="s">
        <v>40</v>
      </c>
      <c r="C16" s="5" t="s">
        <v>17</v>
      </c>
      <c r="D16" s="5" t="s">
        <v>34</v>
      </c>
      <c r="E16" s="5" t="s">
        <v>41</v>
      </c>
      <c r="F16" s="5">
        <v>19</v>
      </c>
      <c r="G16" s="5">
        <v>53683</v>
      </c>
      <c r="H16" s="5">
        <v>12</v>
      </c>
      <c r="I16" s="6">
        <v>46129</v>
      </c>
      <c r="J16" s="6">
        <v>46134</v>
      </c>
      <c r="K16" s="10" t="s">
        <v>29</v>
      </c>
      <c r="L16" s="21">
        <f t="shared" si="0"/>
        <v>897579.76</v>
      </c>
    </row>
    <row r="17" spans="1:12" ht="15" thickBot="1" x14ac:dyDescent="0.4">
      <c r="A17" s="5">
        <v>1253</v>
      </c>
      <c r="B17" s="5" t="s">
        <v>21</v>
      </c>
      <c r="C17" s="5" t="s">
        <v>31</v>
      </c>
      <c r="D17" s="5" t="s">
        <v>34</v>
      </c>
      <c r="E17" s="5" t="s">
        <v>45</v>
      </c>
      <c r="F17" s="5">
        <v>20</v>
      </c>
      <c r="G17" s="5">
        <v>47880</v>
      </c>
      <c r="H17" s="5">
        <v>7</v>
      </c>
      <c r="I17" s="6">
        <v>46074</v>
      </c>
      <c r="J17" s="6">
        <v>46075</v>
      </c>
      <c r="K17" s="10" t="s">
        <v>29</v>
      </c>
      <c r="L17" s="21">
        <f t="shared" si="0"/>
        <v>890567.99999999988</v>
      </c>
    </row>
    <row r="18" spans="1:12" ht="15" thickBot="1" x14ac:dyDescent="0.4">
      <c r="A18" s="5">
        <v>1043</v>
      </c>
      <c r="B18" s="5" t="s">
        <v>49</v>
      </c>
      <c r="C18" s="5" t="s">
        <v>38</v>
      </c>
      <c r="D18" s="5" t="s">
        <v>34</v>
      </c>
      <c r="E18" s="5" t="s">
        <v>35</v>
      </c>
      <c r="F18" s="5">
        <v>20</v>
      </c>
      <c r="G18" s="5">
        <v>46093</v>
      </c>
      <c r="H18" s="5">
        <v>5</v>
      </c>
      <c r="I18" s="6">
        <v>46091</v>
      </c>
      <c r="J18" s="6">
        <v>46098</v>
      </c>
      <c r="K18" s="10" t="s">
        <v>29</v>
      </c>
      <c r="L18" s="21">
        <f t="shared" si="0"/>
        <v>875767</v>
      </c>
    </row>
    <row r="19" spans="1:12" ht="15" thickBot="1" x14ac:dyDescent="0.4">
      <c r="A19" s="5">
        <v>1081</v>
      </c>
      <c r="B19" s="5" t="s">
        <v>47</v>
      </c>
      <c r="C19" s="5" t="s">
        <v>12</v>
      </c>
      <c r="D19" s="5" t="s">
        <v>34</v>
      </c>
      <c r="E19" s="5" t="s">
        <v>35</v>
      </c>
      <c r="F19" s="5">
        <v>15</v>
      </c>
      <c r="G19" s="5">
        <v>59912</v>
      </c>
      <c r="H19" s="5">
        <v>7</v>
      </c>
      <c r="I19" s="6">
        <v>46058</v>
      </c>
      <c r="J19" s="6">
        <v>46060</v>
      </c>
      <c r="K19" s="10" t="s">
        <v>51</v>
      </c>
      <c r="L19" s="21">
        <f t="shared" si="0"/>
        <v>835772.39999999991</v>
      </c>
    </row>
    <row r="20" spans="1:12" ht="15" thickBot="1" x14ac:dyDescent="0.4">
      <c r="A20" s="5">
        <v>1088</v>
      </c>
      <c r="B20" s="5" t="s">
        <v>40</v>
      </c>
      <c r="C20" s="5" t="s">
        <v>33</v>
      </c>
      <c r="D20" s="5" t="s">
        <v>34</v>
      </c>
      <c r="E20" s="5" t="s">
        <v>41</v>
      </c>
      <c r="F20" s="5">
        <v>20</v>
      </c>
      <c r="G20" s="5">
        <v>41165</v>
      </c>
      <c r="H20" s="5">
        <v>0</v>
      </c>
      <c r="I20" s="6">
        <v>46068</v>
      </c>
      <c r="J20" s="6">
        <v>46069</v>
      </c>
      <c r="K20" s="10" t="s">
        <v>20</v>
      </c>
      <c r="L20" s="21">
        <f t="shared" si="0"/>
        <v>823300</v>
      </c>
    </row>
    <row r="21" spans="1:12" ht="15" thickBot="1" x14ac:dyDescent="0.4">
      <c r="A21" s="5">
        <v>1079</v>
      </c>
      <c r="B21" s="5" t="s">
        <v>26</v>
      </c>
      <c r="C21" s="5" t="s">
        <v>38</v>
      </c>
      <c r="D21" s="5" t="s">
        <v>34</v>
      </c>
      <c r="E21" s="5" t="s">
        <v>41</v>
      </c>
      <c r="F21" s="5">
        <v>19</v>
      </c>
      <c r="G21" s="5">
        <v>48956</v>
      </c>
      <c r="H21" s="5">
        <v>12</v>
      </c>
      <c r="I21" s="6">
        <v>46170</v>
      </c>
      <c r="J21" s="6">
        <v>46177</v>
      </c>
      <c r="K21" s="10" t="s">
        <v>51</v>
      </c>
      <c r="L21" s="21">
        <f t="shared" si="0"/>
        <v>818544.32</v>
      </c>
    </row>
    <row r="22" spans="1:12" ht="15" thickBot="1" x14ac:dyDescent="0.4">
      <c r="A22" s="5">
        <v>1366</v>
      </c>
      <c r="B22" s="5" t="s">
        <v>26</v>
      </c>
      <c r="C22" s="5" t="s">
        <v>17</v>
      </c>
      <c r="D22" s="5" t="s">
        <v>34</v>
      </c>
      <c r="E22" s="5" t="s">
        <v>61</v>
      </c>
      <c r="F22" s="5">
        <v>20</v>
      </c>
      <c r="G22" s="5">
        <v>44312</v>
      </c>
      <c r="H22" s="5">
        <v>10</v>
      </c>
      <c r="I22" s="6">
        <v>46047</v>
      </c>
      <c r="J22" s="6">
        <v>46054</v>
      </c>
      <c r="K22" s="10" t="s">
        <v>29</v>
      </c>
      <c r="L22" s="21">
        <f t="shared" si="0"/>
        <v>797616</v>
      </c>
    </row>
    <row r="23" spans="1:12" ht="15" thickBot="1" x14ac:dyDescent="0.4">
      <c r="A23" s="5">
        <v>1315</v>
      </c>
      <c r="B23" s="5" t="s">
        <v>49</v>
      </c>
      <c r="C23" s="5" t="s">
        <v>31</v>
      </c>
      <c r="D23" s="5" t="s">
        <v>34</v>
      </c>
      <c r="E23" s="5" t="s">
        <v>41</v>
      </c>
      <c r="F23" s="5">
        <v>14</v>
      </c>
      <c r="G23" s="5">
        <v>57670</v>
      </c>
      <c r="H23" s="5">
        <v>2</v>
      </c>
      <c r="I23" s="6">
        <v>46186</v>
      </c>
      <c r="J23" s="6">
        <v>46196</v>
      </c>
      <c r="K23" s="10" t="s">
        <v>15</v>
      </c>
      <c r="L23" s="21">
        <f t="shared" si="0"/>
        <v>791232.4</v>
      </c>
    </row>
    <row r="24" spans="1:12" ht="15" thickBot="1" x14ac:dyDescent="0.4">
      <c r="A24" s="5">
        <v>1374</v>
      </c>
      <c r="B24" s="5" t="s">
        <v>57</v>
      </c>
      <c r="C24" s="5" t="s">
        <v>33</v>
      </c>
      <c r="D24" s="5" t="s">
        <v>34</v>
      </c>
      <c r="E24" s="5" t="s">
        <v>35</v>
      </c>
      <c r="F24" s="5">
        <v>12</v>
      </c>
      <c r="G24" s="5">
        <v>66052</v>
      </c>
      <c r="H24" s="5">
        <v>2</v>
      </c>
      <c r="I24" s="6">
        <v>46063</v>
      </c>
      <c r="J24" s="6">
        <v>46066</v>
      </c>
      <c r="K24" s="10" t="s">
        <v>51</v>
      </c>
      <c r="L24" s="21">
        <f t="shared" si="0"/>
        <v>776771.52</v>
      </c>
    </row>
    <row r="25" spans="1:12" ht="15" thickBot="1" x14ac:dyDescent="0.4">
      <c r="A25" s="5">
        <v>1356</v>
      </c>
      <c r="B25" s="5" t="s">
        <v>26</v>
      </c>
      <c r="C25" s="5" t="s">
        <v>38</v>
      </c>
      <c r="D25" s="5" t="s">
        <v>34</v>
      </c>
      <c r="E25" s="5" t="s">
        <v>60</v>
      </c>
      <c r="F25" s="5">
        <v>16</v>
      </c>
      <c r="G25" s="5">
        <v>53457</v>
      </c>
      <c r="H25" s="5">
        <v>10</v>
      </c>
      <c r="I25" s="6">
        <v>46201</v>
      </c>
      <c r="J25" s="6">
        <v>46204</v>
      </c>
      <c r="K25" s="10" t="s">
        <v>15</v>
      </c>
      <c r="L25" s="21">
        <f t="shared" si="0"/>
        <v>769780.8</v>
      </c>
    </row>
    <row r="26" spans="1:12" ht="15" thickBot="1" x14ac:dyDescent="0.4">
      <c r="A26" s="5">
        <v>1085</v>
      </c>
      <c r="B26" s="5" t="s">
        <v>32</v>
      </c>
      <c r="C26" s="5" t="s">
        <v>38</v>
      </c>
      <c r="D26" s="5" t="s">
        <v>34</v>
      </c>
      <c r="E26" s="5" t="s">
        <v>60</v>
      </c>
      <c r="F26" s="5">
        <v>19</v>
      </c>
      <c r="G26" s="5">
        <v>45307</v>
      </c>
      <c r="H26" s="5">
        <v>12</v>
      </c>
      <c r="I26" s="6">
        <v>46146</v>
      </c>
      <c r="J26" s="6">
        <v>46150</v>
      </c>
      <c r="K26" s="10" t="s">
        <v>24</v>
      </c>
      <c r="L26" s="21">
        <f t="shared" si="0"/>
        <v>757533.04</v>
      </c>
    </row>
    <row r="27" spans="1:12" ht="15" thickBot="1" x14ac:dyDescent="0.4">
      <c r="A27" s="5">
        <v>1308</v>
      </c>
      <c r="B27" s="5" t="s">
        <v>30</v>
      </c>
      <c r="C27" s="5" t="s">
        <v>22</v>
      </c>
      <c r="D27" s="5" t="s">
        <v>34</v>
      </c>
      <c r="E27" s="5" t="s">
        <v>41</v>
      </c>
      <c r="F27" s="5">
        <v>12</v>
      </c>
      <c r="G27" s="5">
        <v>66075</v>
      </c>
      <c r="H27" s="5">
        <v>5</v>
      </c>
      <c r="I27" s="6">
        <v>46129</v>
      </c>
      <c r="J27" s="6">
        <v>46135</v>
      </c>
      <c r="K27" s="10" t="s">
        <v>20</v>
      </c>
      <c r="L27" s="21">
        <f t="shared" si="0"/>
        <v>753255</v>
      </c>
    </row>
    <row r="28" spans="1:12" ht="15" thickBot="1" x14ac:dyDescent="0.4">
      <c r="A28" s="5">
        <v>1019</v>
      </c>
      <c r="B28" s="5" t="s">
        <v>11</v>
      </c>
      <c r="C28" s="5" t="s">
        <v>43</v>
      </c>
      <c r="D28" s="5" t="s">
        <v>34</v>
      </c>
      <c r="E28" s="5" t="s">
        <v>41</v>
      </c>
      <c r="F28" s="5">
        <v>18</v>
      </c>
      <c r="G28" s="5">
        <v>45652</v>
      </c>
      <c r="H28" s="5">
        <v>10</v>
      </c>
      <c r="I28" s="6">
        <v>46023</v>
      </c>
      <c r="J28" s="6">
        <v>46030</v>
      </c>
      <c r="K28" s="10" t="s">
        <v>20</v>
      </c>
      <c r="L28" s="21">
        <f t="shared" si="0"/>
        <v>739562.4</v>
      </c>
    </row>
    <row r="29" spans="1:12" ht="15" thickBot="1" x14ac:dyDescent="0.4">
      <c r="A29" s="5">
        <v>1102</v>
      </c>
      <c r="B29" s="5" t="s">
        <v>54</v>
      </c>
      <c r="C29" s="5" t="s">
        <v>25</v>
      </c>
      <c r="D29" s="5" t="s">
        <v>34</v>
      </c>
      <c r="E29" s="5" t="s">
        <v>45</v>
      </c>
      <c r="F29" s="5">
        <v>12</v>
      </c>
      <c r="G29" s="5">
        <v>63402</v>
      </c>
      <c r="H29" s="5">
        <v>7</v>
      </c>
      <c r="I29" s="6">
        <v>46106</v>
      </c>
      <c r="J29" s="6">
        <v>46113</v>
      </c>
      <c r="K29" s="10" t="s">
        <v>51</v>
      </c>
      <c r="L29" s="21">
        <f t="shared" si="0"/>
        <v>707566.32</v>
      </c>
    </row>
    <row r="30" spans="1:12" ht="15" thickBot="1" x14ac:dyDescent="0.4">
      <c r="A30" s="5">
        <v>1176</v>
      </c>
      <c r="B30" s="5" t="s">
        <v>58</v>
      </c>
      <c r="C30" s="5" t="s">
        <v>38</v>
      </c>
      <c r="D30" s="5" t="s">
        <v>34</v>
      </c>
      <c r="E30" s="5" t="s">
        <v>41</v>
      </c>
      <c r="F30" s="5">
        <v>17</v>
      </c>
      <c r="G30" s="5">
        <v>46937</v>
      </c>
      <c r="H30" s="5">
        <v>12</v>
      </c>
      <c r="I30" s="6">
        <v>46048</v>
      </c>
      <c r="J30" s="6">
        <v>46056</v>
      </c>
      <c r="K30" s="10" t="s">
        <v>29</v>
      </c>
      <c r="L30" s="21">
        <f t="shared" si="0"/>
        <v>702177.52</v>
      </c>
    </row>
    <row r="31" spans="1:12" ht="15" thickBot="1" x14ac:dyDescent="0.4">
      <c r="A31" s="5">
        <v>1385</v>
      </c>
      <c r="B31" s="5" t="s">
        <v>26</v>
      </c>
      <c r="C31" s="5" t="s">
        <v>33</v>
      </c>
      <c r="D31" s="5" t="s">
        <v>34</v>
      </c>
      <c r="E31" s="5" t="s">
        <v>39</v>
      </c>
      <c r="F31" s="5">
        <v>12</v>
      </c>
      <c r="G31" s="5">
        <v>61360</v>
      </c>
      <c r="H31" s="5">
        <v>10</v>
      </c>
      <c r="I31" s="6">
        <v>46048</v>
      </c>
      <c r="J31" s="6">
        <v>46053</v>
      </c>
      <c r="K31" s="10" t="s">
        <v>51</v>
      </c>
      <c r="L31" s="21">
        <f t="shared" si="0"/>
        <v>662688</v>
      </c>
    </row>
    <row r="32" spans="1:12" ht="15" thickBot="1" x14ac:dyDescent="0.4">
      <c r="A32" s="5">
        <v>1355</v>
      </c>
      <c r="B32" s="5" t="s">
        <v>27</v>
      </c>
      <c r="C32" s="5" t="s">
        <v>12</v>
      </c>
      <c r="D32" s="5" t="s">
        <v>34</v>
      </c>
      <c r="E32" s="5" t="s">
        <v>60</v>
      </c>
      <c r="F32" s="5">
        <v>18</v>
      </c>
      <c r="G32" s="5">
        <v>35997</v>
      </c>
      <c r="H32" s="5">
        <v>2</v>
      </c>
      <c r="I32" s="6">
        <v>46024</v>
      </c>
      <c r="J32" s="6">
        <v>46031</v>
      </c>
      <c r="K32" s="10" t="s">
        <v>51</v>
      </c>
      <c r="L32" s="21">
        <f t="shared" si="0"/>
        <v>634987.07999999996</v>
      </c>
    </row>
    <row r="33" spans="1:12" ht="15" thickBot="1" x14ac:dyDescent="0.4">
      <c r="A33" s="5">
        <v>1122</v>
      </c>
      <c r="B33" s="5" t="s">
        <v>40</v>
      </c>
      <c r="C33" s="5" t="s">
        <v>22</v>
      </c>
      <c r="D33" s="5" t="s">
        <v>34</v>
      </c>
      <c r="E33" s="5" t="s">
        <v>39</v>
      </c>
      <c r="F33" s="5">
        <v>14</v>
      </c>
      <c r="G33" s="5">
        <v>49990</v>
      </c>
      <c r="H33" s="5">
        <v>10</v>
      </c>
      <c r="I33" s="6">
        <v>46132</v>
      </c>
      <c r="J33" s="6">
        <v>46135</v>
      </c>
      <c r="K33" s="10" t="s">
        <v>29</v>
      </c>
      <c r="L33" s="21">
        <f t="shared" si="0"/>
        <v>629874</v>
      </c>
    </row>
    <row r="34" spans="1:12" ht="15" thickBot="1" x14ac:dyDescent="0.4">
      <c r="A34" s="5">
        <v>1271</v>
      </c>
      <c r="B34" s="5" t="s">
        <v>40</v>
      </c>
      <c r="C34" s="5" t="s">
        <v>33</v>
      </c>
      <c r="D34" s="5" t="s">
        <v>34</v>
      </c>
      <c r="E34" s="5" t="s">
        <v>60</v>
      </c>
      <c r="F34" s="5">
        <v>20</v>
      </c>
      <c r="G34" s="5">
        <v>36941</v>
      </c>
      <c r="H34" s="5">
        <v>15</v>
      </c>
      <c r="I34" s="6">
        <v>46083</v>
      </c>
      <c r="J34" s="6">
        <v>46085</v>
      </c>
      <c r="K34" s="10" t="s">
        <v>29</v>
      </c>
      <c r="L34" s="21">
        <f t="shared" si="0"/>
        <v>627997</v>
      </c>
    </row>
    <row r="35" spans="1:12" ht="15" thickBot="1" x14ac:dyDescent="0.4">
      <c r="A35" s="5">
        <v>1387</v>
      </c>
      <c r="B35" s="5" t="s">
        <v>54</v>
      </c>
      <c r="C35" s="5" t="s">
        <v>33</v>
      </c>
      <c r="D35" s="5" t="s">
        <v>34</v>
      </c>
      <c r="E35" s="5" t="s">
        <v>35</v>
      </c>
      <c r="F35" s="5">
        <v>11</v>
      </c>
      <c r="G35" s="5">
        <v>56515</v>
      </c>
      <c r="H35" s="5">
        <v>5</v>
      </c>
      <c r="I35" s="6">
        <v>46102</v>
      </c>
      <c r="J35" s="6">
        <v>46112</v>
      </c>
      <c r="K35" s="10" t="s">
        <v>24</v>
      </c>
      <c r="L35" s="21">
        <f t="shared" si="0"/>
        <v>590581.75</v>
      </c>
    </row>
    <row r="36" spans="1:12" ht="15" thickBot="1" x14ac:dyDescent="0.4">
      <c r="A36" s="5">
        <v>1400</v>
      </c>
      <c r="B36" s="5" t="s">
        <v>40</v>
      </c>
      <c r="C36" s="5" t="s">
        <v>22</v>
      </c>
      <c r="D36" s="5" t="s">
        <v>34</v>
      </c>
      <c r="E36" s="5" t="s">
        <v>35</v>
      </c>
      <c r="F36" s="5">
        <v>13</v>
      </c>
      <c r="G36" s="5">
        <v>52411</v>
      </c>
      <c r="H36" s="5">
        <v>15</v>
      </c>
      <c r="I36" s="6">
        <v>46090</v>
      </c>
      <c r="J36" s="6">
        <v>46092</v>
      </c>
      <c r="K36" s="10" t="s">
        <v>20</v>
      </c>
      <c r="L36" s="21">
        <f t="shared" si="0"/>
        <v>579141.54999999993</v>
      </c>
    </row>
    <row r="37" spans="1:12" ht="15" thickBot="1" x14ac:dyDescent="0.4">
      <c r="A37" s="5">
        <v>1384</v>
      </c>
      <c r="B37" s="5" t="s">
        <v>59</v>
      </c>
      <c r="C37" s="5" t="s">
        <v>12</v>
      </c>
      <c r="D37" s="5" t="s">
        <v>34</v>
      </c>
      <c r="E37" s="5" t="s">
        <v>39</v>
      </c>
      <c r="F37" s="5">
        <v>15</v>
      </c>
      <c r="G37" s="5">
        <v>38116</v>
      </c>
      <c r="H37" s="5">
        <v>0</v>
      </c>
      <c r="I37" s="6">
        <v>46074</v>
      </c>
      <c r="J37" s="6">
        <v>46078</v>
      </c>
      <c r="K37" s="10" t="s">
        <v>29</v>
      </c>
      <c r="L37" s="21">
        <f t="shared" si="0"/>
        <v>571740</v>
      </c>
    </row>
    <row r="38" spans="1:12" ht="15" thickBot="1" x14ac:dyDescent="0.4">
      <c r="A38" s="5">
        <v>1334</v>
      </c>
      <c r="B38" s="5" t="s">
        <v>40</v>
      </c>
      <c r="C38" s="5" t="s">
        <v>12</v>
      </c>
      <c r="D38" s="5" t="s">
        <v>34</v>
      </c>
      <c r="E38" s="5" t="s">
        <v>41</v>
      </c>
      <c r="F38" s="5">
        <v>15</v>
      </c>
      <c r="G38" s="5">
        <v>39853</v>
      </c>
      <c r="H38" s="5">
        <v>7</v>
      </c>
      <c r="I38" s="6">
        <v>46038</v>
      </c>
      <c r="J38" s="6">
        <v>46047</v>
      </c>
      <c r="K38" s="10" t="s">
        <v>51</v>
      </c>
      <c r="L38" s="21">
        <f t="shared" si="0"/>
        <v>555949.35</v>
      </c>
    </row>
    <row r="39" spans="1:12" ht="15" thickBot="1" x14ac:dyDescent="0.4">
      <c r="A39" s="5">
        <v>1080</v>
      </c>
      <c r="B39" s="5" t="s">
        <v>21</v>
      </c>
      <c r="C39" s="5" t="s">
        <v>22</v>
      </c>
      <c r="D39" s="5" t="s">
        <v>34</v>
      </c>
      <c r="E39" s="5" t="s">
        <v>41</v>
      </c>
      <c r="F39" s="5">
        <v>12</v>
      </c>
      <c r="G39" s="5">
        <v>54161</v>
      </c>
      <c r="H39" s="5">
        <v>15</v>
      </c>
      <c r="I39" s="6">
        <v>46133</v>
      </c>
      <c r="J39" s="6">
        <v>46143</v>
      </c>
      <c r="K39" s="10" t="s">
        <v>24</v>
      </c>
      <c r="L39" s="21">
        <f t="shared" si="0"/>
        <v>552442.19999999995</v>
      </c>
    </row>
    <row r="40" spans="1:12" ht="15" thickBot="1" x14ac:dyDescent="0.4">
      <c r="A40" s="5">
        <v>1163</v>
      </c>
      <c r="B40" s="5" t="s">
        <v>29</v>
      </c>
      <c r="C40" s="5" t="s">
        <v>38</v>
      </c>
      <c r="D40" s="5" t="s">
        <v>34</v>
      </c>
      <c r="E40" s="5" t="s">
        <v>39</v>
      </c>
      <c r="F40" s="5">
        <v>9</v>
      </c>
      <c r="G40" s="5">
        <v>62440</v>
      </c>
      <c r="H40" s="5">
        <v>2</v>
      </c>
      <c r="I40" s="6">
        <v>46081</v>
      </c>
      <c r="J40" s="6">
        <v>46086</v>
      </c>
      <c r="K40" s="10" t="s">
        <v>29</v>
      </c>
      <c r="L40" s="21">
        <f t="shared" si="0"/>
        <v>550720.80000000005</v>
      </c>
    </row>
    <row r="41" spans="1:12" ht="15" thickBot="1" x14ac:dyDescent="0.4">
      <c r="A41" s="5">
        <v>1071</v>
      </c>
      <c r="B41" s="5" t="s">
        <v>59</v>
      </c>
      <c r="C41" s="5" t="s">
        <v>22</v>
      </c>
      <c r="D41" s="5" t="s">
        <v>34</v>
      </c>
      <c r="E41" s="5" t="s">
        <v>61</v>
      </c>
      <c r="F41" s="5">
        <v>18</v>
      </c>
      <c r="G41" s="5">
        <v>32197</v>
      </c>
      <c r="H41" s="5">
        <v>5</v>
      </c>
      <c r="I41" s="6">
        <v>46129</v>
      </c>
      <c r="J41" s="6">
        <v>46137</v>
      </c>
      <c r="K41" s="10" t="s">
        <v>20</v>
      </c>
      <c r="L41" s="21">
        <f t="shared" si="0"/>
        <v>550568.69999999995</v>
      </c>
    </row>
    <row r="42" spans="1:12" ht="15" thickBot="1" x14ac:dyDescent="0.4">
      <c r="A42" s="5">
        <v>1272</v>
      </c>
      <c r="B42" s="5" t="s">
        <v>52</v>
      </c>
      <c r="C42" s="5" t="s">
        <v>38</v>
      </c>
      <c r="D42" s="5" t="s">
        <v>34</v>
      </c>
      <c r="E42" s="5" t="s">
        <v>41</v>
      </c>
      <c r="F42" s="5">
        <v>13</v>
      </c>
      <c r="G42" s="5">
        <v>42179</v>
      </c>
      <c r="H42" s="5">
        <v>0</v>
      </c>
      <c r="I42" s="6">
        <v>46078</v>
      </c>
      <c r="J42" s="6">
        <v>46084</v>
      </c>
      <c r="K42" s="10" t="s">
        <v>20</v>
      </c>
      <c r="L42" s="21">
        <f t="shared" si="0"/>
        <v>548327</v>
      </c>
    </row>
    <row r="43" spans="1:12" ht="15" thickBot="1" x14ac:dyDescent="0.4">
      <c r="A43" s="5">
        <v>1345</v>
      </c>
      <c r="B43" s="5" t="s">
        <v>32</v>
      </c>
      <c r="C43" s="5" t="s">
        <v>12</v>
      </c>
      <c r="D43" s="5" t="s">
        <v>34</v>
      </c>
      <c r="E43" s="5" t="s">
        <v>45</v>
      </c>
      <c r="F43" s="5">
        <v>12</v>
      </c>
      <c r="G43" s="5">
        <v>50544</v>
      </c>
      <c r="H43" s="5">
        <v>10</v>
      </c>
      <c r="I43" s="6">
        <v>46095</v>
      </c>
      <c r="J43" s="6">
        <v>46097</v>
      </c>
      <c r="K43" s="10" t="s">
        <v>29</v>
      </c>
      <c r="L43" s="21">
        <f t="shared" si="0"/>
        <v>545875.20000000007</v>
      </c>
    </row>
    <row r="44" spans="1:12" ht="15" thickBot="1" x14ac:dyDescent="0.4">
      <c r="A44" s="5">
        <v>1305</v>
      </c>
      <c r="B44" s="5" t="s">
        <v>58</v>
      </c>
      <c r="C44" s="5" t="s">
        <v>31</v>
      </c>
      <c r="D44" s="5" t="s">
        <v>34</v>
      </c>
      <c r="E44" s="5" t="s">
        <v>60</v>
      </c>
      <c r="F44" s="5">
        <v>20</v>
      </c>
      <c r="G44" s="5">
        <v>31406</v>
      </c>
      <c r="H44" s="5">
        <v>15</v>
      </c>
      <c r="I44" s="6">
        <v>46146</v>
      </c>
      <c r="J44" s="6">
        <v>46154</v>
      </c>
      <c r="K44" s="10" t="s">
        <v>51</v>
      </c>
      <c r="L44" s="21">
        <f t="shared" si="0"/>
        <v>533902</v>
      </c>
    </row>
    <row r="45" spans="1:12" ht="15" thickBot="1" x14ac:dyDescent="0.4">
      <c r="A45" s="5">
        <v>1342</v>
      </c>
      <c r="B45" s="5" t="s">
        <v>59</v>
      </c>
      <c r="C45" s="5" t="s">
        <v>31</v>
      </c>
      <c r="D45" s="5" t="s">
        <v>34</v>
      </c>
      <c r="E45" s="5" t="s">
        <v>35</v>
      </c>
      <c r="F45" s="5">
        <v>13</v>
      </c>
      <c r="G45" s="5">
        <v>47881</v>
      </c>
      <c r="H45" s="5">
        <v>15</v>
      </c>
      <c r="I45" s="6">
        <v>46132</v>
      </c>
      <c r="J45" s="6">
        <v>46139</v>
      </c>
      <c r="K45" s="10" t="s">
        <v>29</v>
      </c>
      <c r="L45" s="21">
        <f t="shared" si="0"/>
        <v>529085.04999999993</v>
      </c>
    </row>
    <row r="46" spans="1:12" ht="15" thickBot="1" x14ac:dyDescent="0.4">
      <c r="A46" s="5">
        <v>1184</v>
      </c>
      <c r="B46" s="5" t="s">
        <v>40</v>
      </c>
      <c r="C46" s="5" t="s">
        <v>31</v>
      </c>
      <c r="D46" s="5" t="s">
        <v>34</v>
      </c>
      <c r="E46" s="5" t="s">
        <v>39</v>
      </c>
      <c r="F46" s="5">
        <v>12</v>
      </c>
      <c r="G46" s="5">
        <v>50517</v>
      </c>
      <c r="H46" s="5">
        <v>15</v>
      </c>
      <c r="I46" s="6">
        <v>46145</v>
      </c>
      <c r="J46" s="6">
        <v>46153</v>
      </c>
      <c r="K46" s="10" t="s">
        <v>29</v>
      </c>
      <c r="L46" s="21">
        <f t="shared" si="0"/>
        <v>515273.39999999997</v>
      </c>
    </row>
    <row r="47" spans="1:12" ht="15" thickBot="1" x14ac:dyDescent="0.4">
      <c r="A47" s="5">
        <v>1142</v>
      </c>
      <c r="B47" s="5" t="s">
        <v>40</v>
      </c>
      <c r="C47" s="5" t="s">
        <v>25</v>
      </c>
      <c r="D47" s="5" t="s">
        <v>34</v>
      </c>
      <c r="E47" s="5" t="s">
        <v>60</v>
      </c>
      <c r="F47" s="5">
        <v>9</v>
      </c>
      <c r="G47" s="5">
        <v>59788</v>
      </c>
      <c r="H47" s="5">
        <v>7</v>
      </c>
      <c r="I47" s="6">
        <v>46064</v>
      </c>
      <c r="J47" s="6">
        <v>46071</v>
      </c>
      <c r="K47" s="10" t="s">
        <v>29</v>
      </c>
      <c r="L47" s="21">
        <f t="shared" si="0"/>
        <v>500425.55999999994</v>
      </c>
    </row>
    <row r="48" spans="1:12" ht="15" thickBot="1" x14ac:dyDescent="0.4">
      <c r="A48" s="5">
        <v>1172</v>
      </c>
      <c r="B48" s="5" t="s">
        <v>16</v>
      </c>
      <c r="C48" s="5" t="s">
        <v>12</v>
      </c>
      <c r="D48" s="5" t="s">
        <v>34</v>
      </c>
      <c r="E48" s="5" t="s">
        <v>45</v>
      </c>
      <c r="F48" s="5">
        <v>13</v>
      </c>
      <c r="G48" s="5">
        <v>43163</v>
      </c>
      <c r="H48" s="5">
        <v>12</v>
      </c>
      <c r="I48" s="6">
        <v>46120</v>
      </c>
      <c r="J48" s="6">
        <v>46129</v>
      </c>
      <c r="K48" s="10" t="s">
        <v>24</v>
      </c>
      <c r="L48" s="21">
        <f t="shared" si="0"/>
        <v>493784.72000000003</v>
      </c>
    </row>
    <row r="49" spans="1:12" ht="15" thickBot="1" x14ac:dyDescent="0.4">
      <c r="A49" s="5">
        <v>1117</v>
      </c>
      <c r="B49" s="5" t="s">
        <v>55</v>
      </c>
      <c r="C49" s="5" t="s">
        <v>43</v>
      </c>
      <c r="D49" s="5" t="s">
        <v>34</v>
      </c>
      <c r="E49" s="5" t="s">
        <v>39</v>
      </c>
      <c r="F49" s="5">
        <v>16</v>
      </c>
      <c r="G49" s="5">
        <v>33162</v>
      </c>
      <c r="H49" s="5">
        <v>7</v>
      </c>
      <c r="I49" s="6">
        <v>46147</v>
      </c>
      <c r="J49" s="6">
        <v>46155</v>
      </c>
      <c r="K49" s="10" t="s">
        <v>29</v>
      </c>
      <c r="L49" s="21">
        <f t="shared" si="0"/>
        <v>493450.55999999994</v>
      </c>
    </row>
    <row r="50" spans="1:12" ht="15" thickBot="1" x14ac:dyDescent="0.4">
      <c r="A50" s="5">
        <v>1076</v>
      </c>
      <c r="B50" s="5" t="s">
        <v>29</v>
      </c>
      <c r="C50" s="5" t="s">
        <v>17</v>
      </c>
      <c r="D50" s="5" t="s">
        <v>34</v>
      </c>
      <c r="E50" s="5" t="s">
        <v>35</v>
      </c>
      <c r="F50" s="5">
        <v>19</v>
      </c>
      <c r="G50" s="5">
        <v>26714</v>
      </c>
      <c r="H50" s="5">
        <v>5</v>
      </c>
      <c r="I50" s="6">
        <v>46045</v>
      </c>
      <c r="J50" s="6">
        <v>46055</v>
      </c>
      <c r="K50" s="10" t="s">
        <v>29</v>
      </c>
      <c r="L50" s="21">
        <f t="shared" si="0"/>
        <v>482187.69999999995</v>
      </c>
    </row>
    <row r="51" spans="1:12" ht="15" thickBot="1" x14ac:dyDescent="0.4">
      <c r="A51" s="5">
        <v>1216</v>
      </c>
      <c r="B51" s="5" t="s">
        <v>40</v>
      </c>
      <c r="C51" s="5" t="s">
        <v>22</v>
      </c>
      <c r="D51" s="5" t="s">
        <v>34</v>
      </c>
      <c r="E51" s="5" t="s">
        <v>45</v>
      </c>
      <c r="F51" s="5">
        <v>10</v>
      </c>
      <c r="G51" s="5">
        <v>56709</v>
      </c>
      <c r="H51" s="5">
        <v>15</v>
      </c>
      <c r="I51" s="6">
        <v>46135</v>
      </c>
      <c r="J51" s="6">
        <v>46139</v>
      </c>
      <c r="K51" s="10" t="s">
        <v>29</v>
      </c>
      <c r="L51" s="21">
        <f t="shared" si="0"/>
        <v>482026.5</v>
      </c>
    </row>
    <row r="52" spans="1:12" ht="15" thickBot="1" x14ac:dyDescent="0.4">
      <c r="A52" s="5">
        <v>1146</v>
      </c>
      <c r="B52" s="5" t="s">
        <v>16</v>
      </c>
      <c r="C52" s="5" t="s">
        <v>43</v>
      </c>
      <c r="D52" s="5" t="s">
        <v>34</v>
      </c>
      <c r="E52" s="5" t="s">
        <v>45</v>
      </c>
      <c r="F52" s="5">
        <v>7</v>
      </c>
      <c r="G52" s="5">
        <v>68217</v>
      </c>
      <c r="H52" s="5">
        <v>0</v>
      </c>
      <c r="I52" s="6">
        <v>46190</v>
      </c>
      <c r="J52" s="6">
        <v>46197</v>
      </c>
      <c r="K52" s="10" t="s">
        <v>29</v>
      </c>
      <c r="L52" s="21">
        <f t="shared" si="0"/>
        <v>477519</v>
      </c>
    </row>
    <row r="53" spans="1:12" ht="15" thickBot="1" x14ac:dyDescent="0.4">
      <c r="A53" s="5">
        <v>1289</v>
      </c>
      <c r="B53" s="5" t="s">
        <v>26</v>
      </c>
      <c r="C53" s="5" t="s">
        <v>22</v>
      </c>
      <c r="D53" s="5" t="s">
        <v>34</v>
      </c>
      <c r="E53" s="5" t="s">
        <v>45</v>
      </c>
      <c r="F53" s="5">
        <v>19</v>
      </c>
      <c r="G53" s="5">
        <v>25336</v>
      </c>
      <c r="H53" s="5">
        <v>2</v>
      </c>
      <c r="I53" s="6">
        <v>46122</v>
      </c>
      <c r="J53" s="6">
        <v>46130</v>
      </c>
      <c r="K53" s="10" t="s">
        <v>24</v>
      </c>
      <c r="L53" s="21">
        <f t="shared" si="0"/>
        <v>471756.32</v>
      </c>
    </row>
    <row r="54" spans="1:12" ht="15" thickBot="1" x14ac:dyDescent="0.4">
      <c r="A54" s="5">
        <v>1182</v>
      </c>
      <c r="B54" s="5" t="s">
        <v>42</v>
      </c>
      <c r="C54" s="5" t="s">
        <v>12</v>
      </c>
      <c r="D54" s="5" t="s">
        <v>34</v>
      </c>
      <c r="E54" s="5" t="s">
        <v>39</v>
      </c>
      <c r="F54" s="5">
        <v>8</v>
      </c>
      <c r="G54" s="5">
        <v>66022</v>
      </c>
      <c r="H54" s="5">
        <v>12</v>
      </c>
      <c r="I54" s="6">
        <v>46108</v>
      </c>
      <c r="J54" s="6">
        <v>46114</v>
      </c>
      <c r="K54" s="10" t="s">
        <v>24</v>
      </c>
      <c r="L54" s="21">
        <f t="shared" si="0"/>
        <v>464794.88</v>
      </c>
    </row>
    <row r="55" spans="1:12" ht="15" thickBot="1" x14ac:dyDescent="0.4">
      <c r="A55" s="5">
        <v>1373</v>
      </c>
      <c r="B55" s="5" t="s">
        <v>54</v>
      </c>
      <c r="C55" s="5" t="s">
        <v>25</v>
      </c>
      <c r="D55" s="5" t="s">
        <v>34</v>
      </c>
      <c r="E55" s="5" t="s">
        <v>60</v>
      </c>
      <c r="F55" s="5">
        <v>11</v>
      </c>
      <c r="G55" s="5">
        <v>47930</v>
      </c>
      <c r="H55" s="5">
        <v>12</v>
      </c>
      <c r="I55" s="6">
        <v>46191</v>
      </c>
      <c r="J55" s="6">
        <v>46201</v>
      </c>
      <c r="K55" s="10" t="s">
        <v>20</v>
      </c>
      <c r="L55" s="21">
        <f t="shared" si="0"/>
        <v>463962.4</v>
      </c>
    </row>
    <row r="56" spans="1:12" ht="15" thickBot="1" x14ac:dyDescent="0.4">
      <c r="A56" s="5">
        <v>1325</v>
      </c>
      <c r="B56" s="5" t="s">
        <v>48</v>
      </c>
      <c r="C56" s="5" t="s">
        <v>43</v>
      </c>
      <c r="D56" s="5" t="s">
        <v>34</v>
      </c>
      <c r="E56" s="5" t="s">
        <v>39</v>
      </c>
      <c r="F56" s="5">
        <v>9</v>
      </c>
      <c r="G56" s="5">
        <v>58442</v>
      </c>
      <c r="H56" s="5">
        <v>12</v>
      </c>
      <c r="I56" s="6">
        <v>46076</v>
      </c>
      <c r="J56" s="6">
        <v>46085</v>
      </c>
      <c r="K56" s="10" t="s">
        <v>20</v>
      </c>
      <c r="L56" s="21">
        <f t="shared" si="0"/>
        <v>462860.64</v>
      </c>
    </row>
    <row r="57" spans="1:12" ht="15" thickBot="1" x14ac:dyDescent="0.4">
      <c r="A57" s="5">
        <v>1225</v>
      </c>
      <c r="B57" s="5" t="s">
        <v>42</v>
      </c>
      <c r="C57" s="5" t="s">
        <v>31</v>
      </c>
      <c r="D57" s="5" t="s">
        <v>34</v>
      </c>
      <c r="E57" s="5" t="s">
        <v>35</v>
      </c>
      <c r="F57" s="5">
        <v>16</v>
      </c>
      <c r="G57" s="5">
        <v>32262</v>
      </c>
      <c r="H57" s="5">
        <v>12</v>
      </c>
      <c r="I57" s="6">
        <v>46125</v>
      </c>
      <c r="J57" s="6">
        <v>46126</v>
      </c>
      <c r="K57" s="10" t="s">
        <v>20</v>
      </c>
      <c r="L57" s="21">
        <f t="shared" si="0"/>
        <v>454248.96000000002</v>
      </c>
    </row>
    <row r="58" spans="1:12" ht="15" thickBot="1" x14ac:dyDescent="0.4">
      <c r="A58" s="5">
        <v>1288</v>
      </c>
      <c r="B58" s="5" t="s">
        <v>54</v>
      </c>
      <c r="C58" s="5" t="s">
        <v>22</v>
      </c>
      <c r="D58" s="5" t="s">
        <v>34</v>
      </c>
      <c r="E58" s="5" t="s">
        <v>60</v>
      </c>
      <c r="F58" s="5">
        <v>14</v>
      </c>
      <c r="G58" s="5">
        <v>35601</v>
      </c>
      <c r="H58" s="5">
        <v>10</v>
      </c>
      <c r="I58" s="6">
        <v>46179</v>
      </c>
      <c r="J58" s="6">
        <v>46187</v>
      </c>
      <c r="K58" s="10" t="s">
        <v>29</v>
      </c>
      <c r="L58" s="21">
        <f t="shared" si="0"/>
        <v>448572.60000000003</v>
      </c>
    </row>
    <row r="59" spans="1:12" ht="15" thickBot="1" x14ac:dyDescent="0.4">
      <c r="A59" s="5">
        <v>1317</v>
      </c>
      <c r="B59" s="5" t="s">
        <v>59</v>
      </c>
      <c r="C59" s="5" t="s">
        <v>33</v>
      </c>
      <c r="D59" s="5" t="s">
        <v>34</v>
      </c>
      <c r="E59" s="5" t="s">
        <v>41</v>
      </c>
      <c r="F59" s="5">
        <v>7</v>
      </c>
      <c r="G59" s="5">
        <v>67339</v>
      </c>
      <c r="H59" s="5">
        <v>5</v>
      </c>
      <c r="I59" s="6">
        <v>46159</v>
      </c>
      <c r="J59" s="6">
        <v>46169</v>
      </c>
      <c r="K59" s="10" t="s">
        <v>51</v>
      </c>
      <c r="L59" s="21">
        <f t="shared" si="0"/>
        <v>447804.35</v>
      </c>
    </row>
    <row r="60" spans="1:12" ht="15" thickBot="1" x14ac:dyDescent="0.4">
      <c r="A60" s="5">
        <v>1139</v>
      </c>
      <c r="B60" s="5" t="s">
        <v>55</v>
      </c>
      <c r="C60" s="5" t="s">
        <v>33</v>
      </c>
      <c r="D60" s="5" t="s">
        <v>34</v>
      </c>
      <c r="E60" s="5" t="s">
        <v>61</v>
      </c>
      <c r="F60" s="5">
        <v>17</v>
      </c>
      <c r="G60" s="5">
        <v>28839</v>
      </c>
      <c r="H60" s="5">
        <v>10</v>
      </c>
      <c r="I60" s="6">
        <v>46093</v>
      </c>
      <c r="J60" s="6">
        <v>46099</v>
      </c>
      <c r="K60" s="10" t="s">
        <v>15</v>
      </c>
      <c r="L60" s="21">
        <f t="shared" si="0"/>
        <v>441236.7</v>
      </c>
    </row>
    <row r="61" spans="1:12" ht="15" thickBot="1" x14ac:dyDescent="0.4">
      <c r="A61" s="5">
        <v>1393</v>
      </c>
      <c r="B61" s="5" t="s">
        <v>30</v>
      </c>
      <c r="C61" s="5" t="s">
        <v>25</v>
      </c>
      <c r="D61" s="5" t="s">
        <v>34</v>
      </c>
      <c r="E61" s="5" t="s">
        <v>45</v>
      </c>
      <c r="F61" s="5">
        <v>17</v>
      </c>
      <c r="G61" s="5">
        <v>30351</v>
      </c>
      <c r="H61" s="5">
        <v>15</v>
      </c>
      <c r="I61" s="6">
        <v>46047</v>
      </c>
      <c r="J61" s="6">
        <v>46051</v>
      </c>
      <c r="K61" s="10" t="s">
        <v>51</v>
      </c>
      <c r="L61" s="21">
        <f t="shared" si="0"/>
        <v>438571.95</v>
      </c>
    </row>
    <row r="62" spans="1:12" ht="15" thickBot="1" x14ac:dyDescent="0.4">
      <c r="A62" s="5">
        <v>1063</v>
      </c>
      <c r="B62" s="5" t="s">
        <v>54</v>
      </c>
      <c r="C62" s="5" t="s">
        <v>22</v>
      </c>
      <c r="D62" s="5" t="s">
        <v>34</v>
      </c>
      <c r="E62" s="5" t="s">
        <v>45</v>
      </c>
      <c r="F62" s="5">
        <v>7</v>
      </c>
      <c r="G62" s="5">
        <v>66744</v>
      </c>
      <c r="H62" s="5">
        <v>7</v>
      </c>
      <c r="I62" s="6">
        <v>46148</v>
      </c>
      <c r="J62" s="6">
        <v>46155</v>
      </c>
      <c r="K62" s="10" t="s">
        <v>15</v>
      </c>
      <c r="L62" s="21">
        <f t="shared" si="0"/>
        <v>434503.43999999994</v>
      </c>
    </row>
    <row r="63" spans="1:12" ht="15" thickBot="1" x14ac:dyDescent="0.4">
      <c r="A63" s="5">
        <v>1274</v>
      </c>
      <c r="B63" s="5" t="s">
        <v>26</v>
      </c>
      <c r="C63" s="5" t="s">
        <v>25</v>
      </c>
      <c r="D63" s="5" t="s">
        <v>34</v>
      </c>
      <c r="E63" s="5" t="s">
        <v>41</v>
      </c>
      <c r="F63" s="5">
        <v>13</v>
      </c>
      <c r="G63" s="5">
        <v>36652</v>
      </c>
      <c r="H63" s="5">
        <v>12</v>
      </c>
      <c r="I63" s="6">
        <v>46179</v>
      </c>
      <c r="J63" s="6">
        <v>46186</v>
      </c>
      <c r="K63" s="10" t="s">
        <v>20</v>
      </c>
      <c r="L63" s="21">
        <f t="shared" si="0"/>
        <v>419298.88</v>
      </c>
    </row>
    <row r="64" spans="1:12" ht="15" thickBot="1" x14ac:dyDescent="0.4">
      <c r="A64" s="5">
        <v>1016</v>
      </c>
      <c r="B64" s="5" t="s">
        <v>32</v>
      </c>
      <c r="C64" s="5" t="s">
        <v>33</v>
      </c>
      <c r="D64" s="5" t="s">
        <v>34</v>
      </c>
      <c r="E64" s="5" t="s">
        <v>45</v>
      </c>
      <c r="F64" s="5">
        <v>16</v>
      </c>
      <c r="G64" s="5">
        <v>30234</v>
      </c>
      <c r="H64" s="5">
        <v>15</v>
      </c>
      <c r="I64" s="6">
        <v>46137</v>
      </c>
      <c r="J64" s="6">
        <v>46140</v>
      </c>
      <c r="K64" s="10" t="s">
        <v>24</v>
      </c>
      <c r="L64" s="21">
        <f t="shared" si="0"/>
        <v>411182.39999999997</v>
      </c>
    </row>
    <row r="65" spans="1:12" ht="15" thickBot="1" x14ac:dyDescent="0.4">
      <c r="A65" s="5">
        <v>1268</v>
      </c>
      <c r="B65" s="5" t="s">
        <v>42</v>
      </c>
      <c r="C65" s="5" t="s">
        <v>38</v>
      </c>
      <c r="D65" s="5" t="s">
        <v>34</v>
      </c>
      <c r="E65" s="5" t="s">
        <v>45</v>
      </c>
      <c r="F65" s="5">
        <v>10</v>
      </c>
      <c r="G65" s="5">
        <v>46291</v>
      </c>
      <c r="H65" s="5">
        <v>12</v>
      </c>
      <c r="I65" s="6">
        <v>46199</v>
      </c>
      <c r="J65" s="6">
        <v>46202</v>
      </c>
      <c r="K65" s="10" t="s">
        <v>20</v>
      </c>
      <c r="L65" s="21">
        <f t="shared" si="0"/>
        <v>407360.8</v>
      </c>
    </row>
    <row r="66" spans="1:12" ht="15" thickBot="1" x14ac:dyDescent="0.4">
      <c r="A66" s="5">
        <v>1382</v>
      </c>
      <c r="B66" s="5" t="s">
        <v>49</v>
      </c>
      <c r="C66" s="5" t="s">
        <v>33</v>
      </c>
      <c r="D66" s="5" t="s">
        <v>34</v>
      </c>
      <c r="E66" s="5" t="s">
        <v>60</v>
      </c>
      <c r="F66" s="5">
        <v>11</v>
      </c>
      <c r="G66" s="5">
        <v>36198</v>
      </c>
      <c r="H66" s="5">
        <v>0</v>
      </c>
      <c r="I66" s="6">
        <v>46130</v>
      </c>
      <c r="J66" s="6">
        <v>46134</v>
      </c>
      <c r="K66" s="10" t="s">
        <v>15</v>
      </c>
      <c r="L66" s="21">
        <f t="shared" ref="L66:L129" si="1">F66*G66*(1-H66/100)</f>
        <v>398178</v>
      </c>
    </row>
    <row r="67" spans="1:12" ht="15" thickBot="1" x14ac:dyDescent="0.4">
      <c r="A67" s="5">
        <v>1213</v>
      </c>
      <c r="B67" s="5" t="s">
        <v>32</v>
      </c>
      <c r="C67" s="5" t="s">
        <v>38</v>
      </c>
      <c r="D67" s="5" t="s">
        <v>34</v>
      </c>
      <c r="E67" s="5" t="s">
        <v>45</v>
      </c>
      <c r="F67" s="5">
        <v>16</v>
      </c>
      <c r="G67" s="5">
        <v>27741</v>
      </c>
      <c r="H67" s="5">
        <v>12</v>
      </c>
      <c r="I67" s="6">
        <v>46116</v>
      </c>
      <c r="J67" s="6">
        <v>46119</v>
      </c>
      <c r="K67" s="10" t="s">
        <v>15</v>
      </c>
      <c r="L67" s="21">
        <f t="shared" si="1"/>
        <v>390593.28000000003</v>
      </c>
    </row>
    <row r="68" spans="1:12" ht="15" thickBot="1" x14ac:dyDescent="0.4">
      <c r="A68" s="5">
        <v>1343</v>
      </c>
      <c r="B68" s="5" t="s">
        <v>59</v>
      </c>
      <c r="C68" s="5" t="s">
        <v>31</v>
      </c>
      <c r="D68" s="5" t="s">
        <v>34</v>
      </c>
      <c r="E68" s="5" t="s">
        <v>39</v>
      </c>
      <c r="F68" s="5">
        <v>14</v>
      </c>
      <c r="G68" s="5">
        <v>32719</v>
      </c>
      <c r="H68" s="5">
        <v>15</v>
      </c>
      <c r="I68" s="6">
        <v>46174</v>
      </c>
      <c r="J68" s="6">
        <v>46179</v>
      </c>
      <c r="K68" s="10" t="s">
        <v>15</v>
      </c>
      <c r="L68" s="21">
        <f t="shared" si="1"/>
        <v>389356.1</v>
      </c>
    </row>
    <row r="69" spans="1:12" ht="15" thickBot="1" x14ac:dyDescent="0.4">
      <c r="A69" s="5">
        <v>1298</v>
      </c>
      <c r="B69" s="5" t="s">
        <v>21</v>
      </c>
      <c r="C69" s="5" t="s">
        <v>12</v>
      </c>
      <c r="D69" s="5" t="s">
        <v>34</v>
      </c>
      <c r="E69" s="5" t="s">
        <v>61</v>
      </c>
      <c r="F69" s="5">
        <v>19</v>
      </c>
      <c r="G69" s="5">
        <v>20745</v>
      </c>
      <c r="H69" s="5">
        <v>2</v>
      </c>
      <c r="I69" s="6">
        <v>46083</v>
      </c>
      <c r="J69" s="6">
        <v>46093</v>
      </c>
      <c r="K69" s="10" t="s">
        <v>24</v>
      </c>
      <c r="L69" s="21">
        <f t="shared" si="1"/>
        <v>386271.89999999997</v>
      </c>
    </row>
    <row r="70" spans="1:12" ht="15" thickBot="1" x14ac:dyDescent="0.4">
      <c r="A70" s="5">
        <v>1009</v>
      </c>
      <c r="B70" s="5" t="s">
        <v>32</v>
      </c>
      <c r="C70" s="5" t="s">
        <v>33</v>
      </c>
      <c r="D70" s="5" t="s">
        <v>34</v>
      </c>
      <c r="E70" s="5" t="s">
        <v>35</v>
      </c>
      <c r="F70" s="5">
        <v>10</v>
      </c>
      <c r="G70" s="5">
        <v>40671</v>
      </c>
      <c r="H70" s="5">
        <v>12</v>
      </c>
      <c r="I70" s="6">
        <v>46183</v>
      </c>
      <c r="J70" s="6">
        <v>46193</v>
      </c>
      <c r="K70" s="10" t="s">
        <v>24</v>
      </c>
      <c r="L70" s="21">
        <f t="shared" si="1"/>
        <v>357904.8</v>
      </c>
    </row>
    <row r="71" spans="1:12" ht="15" thickBot="1" x14ac:dyDescent="0.4">
      <c r="A71" s="5">
        <v>1209</v>
      </c>
      <c r="B71" s="5" t="s">
        <v>48</v>
      </c>
      <c r="C71" s="5" t="s">
        <v>38</v>
      </c>
      <c r="D71" s="5" t="s">
        <v>34</v>
      </c>
      <c r="E71" s="5" t="s">
        <v>35</v>
      </c>
      <c r="F71" s="5">
        <v>19</v>
      </c>
      <c r="G71" s="5">
        <v>20284</v>
      </c>
      <c r="H71" s="5">
        <v>10</v>
      </c>
      <c r="I71" s="6">
        <v>46103</v>
      </c>
      <c r="J71" s="6">
        <v>46110</v>
      </c>
      <c r="K71" s="10" t="s">
        <v>20</v>
      </c>
      <c r="L71" s="21">
        <f t="shared" si="1"/>
        <v>346856.4</v>
      </c>
    </row>
    <row r="72" spans="1:12" ht="15" thickBot="1" x14ac:dyDescent="0.4">
      <c r="A72" s="5">
        <v>1359</v>
      </c>
      <c r="B72" s="5" t="s">
        <v>54</v>
      </c>
      <c r="C72" s="5" t="s">
        <v>12</v>
      </c>
      <c r="D72" s="5" t="s">
        <v>34</v>
      </c>
      <c r="E72" s="5" t="s">
        <v>61</v>
      </c>
      <c r="F72" s="5">
        <v>9</v>
      </c>
      <c r="G72" s="5">
        <v>38179</v>
      </c>
      <c r="H72" s="5">
        <v>0</v>
      </c>
      <c r="I72" s="6">
        <v>46096</v>
      </c>
      <c r="J72" s="6">
        <v>46099</v>
      </c>
      <c r="K72" s="10" t="s">
        <v>15</v>
      </c>
      <c r="L72" s="21">
        <f t="shared" si="1"/>
        <v>343611</v>
      </c>
    </row>
    <row r="73" spans="1:12" ht="15" thickBot="1" x14ac:dyDescent="0.4">
      <c r="A73" s="5">
        <v>1160</v>
      </c>
      <c r="B73" s="5" t="s">
        <v>59</v>
      </c>
      <c r="C73" s="5" t="s">
        <v>22</v>
      </c>
      <c r="D73" s="5" t="s">
        <v>34</v>
      </c>
      <c r="E73" s="5" t="s">
        <v>39</v>
      </c>
      <c r="F73" s="5">
        <v>7</v>
      </c>
      <c r="G73" s="5">
        <v>53986</v>
      </c>
      <c r="H73" s="5">
        <v>10</v>
      </c>
      <c r="I73" s="6">
        <v>46142</v>
      </c>
      <c r="J73" s="6">
        <v>46147</v>
      </c>
      <c r="K73" s="10" t="s">
        <v>51</v>
      </c>
      <c r="L73" s="21">
        <f t="shared" si="1"/>
        <v>340111.8</v>
      </c>
    </row>
    <row r="74" spans="1:12" ht="15" thickBot="1" x14ac:dyDescent="0.4">
      <c r="A74" s="5">
        <v>1259</v>
      </c>
      <c r="B74" s="5" t="s">
        <v>42</v>
      </c>
      <c r="C74" s="5" t="s">
        <v>22</v>
      </c>
      <c r="D74" s="5" t="s">
        <v>34</v>
      </c>
      <c r="E74" s="5" t="s">
        <v>45</v>
      </c>
      <c r="F74" s="5">
        <v>10</v>
      </c>
      <c r="G74" s="5">
        <v>38771</v>
      </c>
      <c r="H74" s="5">
        <v>15</v>
      </c>
      <c r="I74" s="6">
        <v>46172</v>
      </c>
      <c r="J74" s="6">
        <v>46182</v>
      </c>
      <c r="K74" s="10" t="s">
        <v>15</v>
      </c>
      <c r="L74" s="21">
        <f t="shared" si="1"/>
        <v>329553.5</v>
      </c>
    </row>
    <row r="75" spans="1:12" ht="15" thickBot="1" x14ac:dyDescent="0.4">
      <c r="A75" s="5">
        <v>1257</v>
      </c>
      <c r="B75" s="5" t="s">
        <v>54</v>
      </c>
      <c r="C75" s="5" t="s">
        <v>25</v>
      </c>
      <c r="D75" s="5" t="s">
        <v>34</v>
      </c>
      <c r="E75" s="5" t="s">
        <v>61</v>
      </c>
      <c r="F75" s="5">
        <v>7</v>
      </c>
      <c r="G75" s="5">
        <v>53243</v>
      </c>
      <c r="H75" s="5">
        <v>12</v>
      </c>
      <c r="I75" s="6">
        <v>46161</v>
      </c>
      <c r="J75" s="6">
        <v>46171</v>
      </c>
      <c r="K75" s="10" t="s">
        <v>15</v>
      </c>
      <c r="L75" s="21">
        <f t="shared" si="1"/>
        <v>327976.88</v>
      </c>
    </row>
    <row r="76" spans="1:12" ht="15" thickBot="1" x14ac:dyDescent="0.4">
      <c r="A76" s="5">
        <v>1140</v>
      </c>
      <c r="B76" s="5" t="s">
        <v>57</v>
      </c>
      <c r="C76" s="5" t="s">
        <v>38</v>
      </c>
      <c r="D76" s="5" t="s">
        <v>34</v>
      </c>
      <c r="E76" s="5" t="s">
        <v>41</v>
      </c>
      <c r="F76" s="5">
        <v>5</v>
      </c>
      <c r="G76" s="5">
        <v>68012</v>
      </c>
      <c r="H76" s="5">
        <v>5</v>
      </c>
      <c r="I76" s="6">
        <v>46061</v>
      </c>
      <c r="J76" s="6">
        <v>46065</v>
      </c>
      <c r="K76" s="10" t="s">
        <v>15</v>
      </c>
      <c r="L76" s="21">
        <f t="shared" si="1"/>
        <v>323057</v>
      </c>
    </row>
    <row r="77" spans="1:12" ht="15" thickBot="1" x14ac:dyDescent="0.4">
      <c r="A77" s="5">
        <v>1212</v>
      </c>
      <c r="B77" s="5" t="s">
        <v>59</v>
      </c>
      <c r="C77" s="5" t="s">
        <v>25</v>
      </c>
      <c r="D77" s="5" t="s">
        <v>34</v>
      </c>
      <c r="E77" s="5" t="s">
        <v>60</v>
      </c>
      <c r="F77" s="5">
        <v>10</v>
      </c>
      <c r="G77" s="5">
        <v>34380</v>
      </c>
      <c r="H77" s="5">
        <v>7</v>
      </c>
      <c r="I77" s="6">
        <v>46194</v>
      </c>
      <c r="J77" s="6">
        <v>46195</v>
      </c>
      <c r="K77" s="10" t="s">
        <v>29</v>
      </c>
      <c r="L77" s="21">
        <f t="shared" si="1"/>
        <v>319734</v>
      </c>
    </row>
    <row r="78" spans="1:12" ht="15" thickBot="1" x14ac:dyDescent="0.4">
      <c r="A78" s="5">
        <v>1363</v>
      </c>
      <c r="B78" s="5" t="s">
        <v>27</v>
      </c>
      <c r="C78" s="5" t="s">
        <v>25</v>
      </c>
      <c r="D78" s="5" t="s">
        <v>34</v>
      </c>
      <c r="E78" s="5" t="s">
        <v>35</v>
      </c>
      <c r="F78" s="5">
        <v>7</v>
      </c>
      <c r="G78" s="5">
        <v>45381</v>
      </c>
      <c r="H78" s="5">
        <v>0</v>
      </c>
      <c r="I78" s="6">
        <v>46122</v>
      </c>
      <c r="J78" s="6">
        <v>46128</v>
      </c>
      <c r="K78" s="10" t="s">
        <v>15</v>
      </c>
      <c r="L78" s="21">
        <f t="shared" si="1"/>
        <v>317667</v>
      </c>
    </row>
    <row r="79" spans="1:12" ht="15" thickBot="1" x14ac:dyDescent="0.4">
      <c r="A79" s="5">
        <v>1391</v>
      </c>
      <c r="B79" s="5" t="s">
        <v>30</v>
      </c>
      <c r="C79" s="5" t="s">
        <v>31</v>
      </c>
      <c r="D79" s="5" t="s">
        <v>34</v>
      </c>
      <c r="E79" s="5" t="s">
        <v>35</v>
      </c>
      <c r="F79" s="5">
        <v>5</v>
      </c>
      <c r="G79" s="5">
        <v>65270</v>
      </c>
      <c r="H79" s="5">
        <v>5</v>
      </c>
      <c r="I79" s="6">
        <v>46100</v>
      </c>
      <c r="J79" s="6">
        <v>46103</v>
      </c>
      <c r="K79" s="10" t="s">
        <v>24</v>
      </c>
      <c r="L79" s="21">
        <f t="shared" si="1"/>
        <v>310032.5</v>
      </c>
    </row>
    <row r="80" spans="1:12" ht="15" thickBot="1" x14ac:dyDescent="0.4">
      <c r="A80" s="5">
        <v>1297</v>
      </c>
      <c r="B80" s="5" t="s">
        <v>54</v>
      </c>
      <c r="C80" s="5" t="s">
        <v>25</v>
      </c>
      <c r="D80" s="5" t="s">
        <v>34</v>
      </c>
      <c r="E80" s="5" t="s">
        <v>35</v>
      </c>
      <c r="F80" s="5">
        <v>14</v>
      </c>
      <c r="G80" s="5">
        <v>24524</v>
      </c>
      <c r="H80" s="5">
        <v>10</v>
      </c>
      <c r="I80" s="6">
        <v>46178</v>
      </c>
      <c r="J80" s="6">
        <v>46187</v>
      </c>
      <c r="K80" s="10" t="s">
        <v>29</v>
      </c>
      <c r="L80" s="21">
        <f t="shared" si="1"/>
        <v>309002.40000000002</v>
      </c>
    </row>
    <row r="81" spans="1:12" ht="15" thickBot="1" x14ac:dyDescent="0.4">
      <c r="A81" s="5">
        <v>1101</v>
      </c>
      <c r="B81" s="5" t="s">
        <v>27</v>
      </c>
      <c r="C81" s="5" t="s">
        <v>22</v>
      </c>
      <c r="D81" s="5" t="s">
        <v>34</v>
      </c>
      <c r="E81" s="5" t="s">
        <v>61</v>
      </c>
      <c r="F81" s="5">
        <v>9</v>
      </c>
      <c r="G81" s="5">
        <v>37361</v>
      </c>
      <c r="H81" s="5">
        <v>10</v>
      </c>
      <c r="I81" s="6">
        <v>46141</v>
      </c>
      <c r="J81" s="6">
        <v>46142</v>
      </c>
      <c r="K81" s="10" t="s">
        <v>24</v>
      </c>
      <c r="L81" s="21">
        <f t="shared" si="1"/>
        <v>302624.10000000003</v>
      </c>
    </row>
    <row r="82" spans="1:12" ht="15" thickBot="1" x14ac:dyDescent="0.4">
      <c r="A82" s="5">
        <v>1378</v>
      </c>
      <c r="B82" s="5" t="s">
        <v>55</v>
      </c>
      <c r="C82" s="5" t="s">
        <v>22</v>
      </c>
      <c r="D82" s="5" t="s">
        <v>34</v>
      </c>
      <c r="E82" s="5" t="s">
        <v>45</v>
      </c>
      <c r="F82" s="5">
        <v>15</v>
      </c>
      <c r="G82" s="5">
        <v>22693</v>
      </c>
      <c r="H82" s="5">
        <v>12</v>
      </c>
      <c r="I82" s="6">
        <v>46074</v>
      </c>
      <c r="J82" s="6">
        <v>46080</v>
      </c>
      <c r="K82" s="10" t="s">
        <v>51</v>
      </c>
      <c r="L82" s="21">
        <f t="shared" si="1"/>
        <v>299547.59999999998</v>
      </c>
    </row>
    <row r="83" spans="1:12" ht="15" thickBot="1" x14ac:dyDescent="0.4">
      <c r="A83" s="5">
        <v>1392</v>
      </c>
      <c r="B83" s="5" t="s">
        <v>29</v>
      </c>
      <c r="C83" s="5" t="s">
        <v>43</v>
      </c>
      <c r="D83" s="5" t="s">
        <v>34</v>
      </c>
      <c r="E83" s="5" t="s">
        <v>35</v>
      </c>
      <c r="F83" s="5">
        <v>13</v>
      </c>
      <c r="G83" s="5">
        <v>23903</v>
      </c>
      <c r="H83" s="5">
        <v>5</v>
      </c>
      <c r="I83" s="6">
        <v>46124</v>
      </c>
      <c r="J83" s="6">
        <v>46125</v>
      </c>
      <c r="K83" s="10" t="s">
        <v>29</v>
      </c>
      <c r="L83" s="21">
        <f t="shared" si="1"/>
        <v>295202.05</v>
      </c>
    </row>
    <row r="84" spans="1:12" ht="15" thickBot="1" x14ac:dyDescent="0.4">
      <c r="A84" s="5">
        <v>1126</v>
      </c>
      <c r="B84" s="5" t="s">
        <v>46</v>
      </c>
      <c r="C84" s="5" t="s">
        <v>22</v>
      </c>
      <c r="D84" s="5" t="s">
        <v>34</v>
      </c>
      <c r="E84" s="5" t="s">
        <v>39</v>
      </c>
      <c r="F84" s="5">
        <v>17</v>
      </c>
      <c r="G84" s="5">
        <v>19390</v>
      </c>
      <c r="H84" s="5">
        <v>12</v>
      </c>
      <c r="I84" s="6">
        <v>46201</v>
      </c>
      <c r="J84" s="6">
        <v>46206</v>
      </c>
      <c r="K84" s="10" t="s">
        <v>29</v>
      </c>
      <c r="L84" s="21">
        <f t="shared" si="1"/>
        <v>290074.40000000002</v>
      </c>
    </row>
    <row r="85" spans="1:12" ht="15" thickBot="1" x14ac:dyDescent="0.4">
      <c r="A85" s="5">
        <v>1226</v>
      </c>
      <c r="B85" s="5" t="s">
        <v>29</v>
      </c>
      <c r="C85" s="5" t="s">
        <v>31</v>
      </c>
      <c r="D85" s="5" t="s">
        <v>34</v>
      </c>
      <c r="E85" s="5" t="s">
        <v>41</v>
      </c>
      <c r="F85" s="5">
        <v>13</v>
      </c>
      <c r="G85" s="5">
        <v>21332</v>
      </c>
      <c r="H85" s="5">
        <v>0</v>
      </c>
      <c r="I85" s="6">
        <v>46044</v>
      </c>
      <c r="J85" s="6">
        <v>46048</v>
      </c>
      <c r="K85" s="10" t="s">
        <v>29</v>
      </c>
      <c r="L85" s="21">
        <f t="shared" si="1"/>
        <v>277316</v>
      </c>
    </row>
    <row r="86" spans="1:12" ht="15" thickBot="1" x14ac:dyDescent="0.4">
      <c r="A86" s="5">
        <v>1039</v>
      </c>
      <c r="B86" s="5" t="s">
        <v>48</v>
      </c>
      <c r="C86" s="5" t="s">
        <v>38</v>
      </c>
      <c r="D86" s="5" t="s">
        <v>34</v>
      </c>
      <c r="E86" s="5" t="s">
        <v>45</v>
      </c>
      <c r="F86" s="5">
        <v>5</v>
      </c>
      <c r="G86" s="5">
        <v>60236</v>
      </c>
      <c r="H86" s="5">
        <v>10</v>
      </c>
      <c r="I86" s="6">
        <v>46107</v>
      </c>
      <c r="J86" s="6">
        <v>46110</v>
      </c>
      <c r="K86" s="10" t="s">
        <v>20</v>
      </c>
      <c r="L86" s="21">
        <f t="shared" si="1"/>
        <v>271062</v>
      </c>
    </row>
    <row r="87" spans="1:12" ht="15" thickBot="1" x14ac:dyDescent="0.4">
      <c r="A87" s="5">
        <v>1224</v>
      </c>
      <c r="B87" s="5" t="s">
        <v>30</v>
      </c>
      <c r="C87" s="5" t="s">
        <v>38</v>
      </c>
      <c r="D87" s="5" t="s">
        <v>34</v>
      </c>
      <c r="E87" s="5" t="s">
        <v>45</v>
      </c>
      <c r="F87" s="5">
        <v>16</v>
      </c>
      <c r="G87" s="5">
        <v>18378</v>
      </c>
      <c r="H87" s="5">
        <v>10</v>
      </c>
      <c r="I87" s="6">
        <v>46045</v>
      </c>
      <c r="J87" s="6">
        <v>46052</v>
      </c>
      <c r="K87" s="10" t="s">
        <v>24</v>
      </c>
      <c r="L87" s="21">
        <f t="shared" si="1"/>
        <v>264643.20000000001</v>
      </c>
    </row>
    <row r="88" spans="1:12" ht="15" thickBot="1" x14ac:dyDescent="0.4">
      <c r="A88" s="5">
        <v>1292</v>
      </c>
      <c r="B88" s="5" t="s">
        <v>54</v>
      </c>
      <c r="C88" s="5" t="s">
        <v>33</v>
      </c>
      <c r="D88" s="5" t="s">
        <v>34</v>
      </c>
      <c r="E88" s="5" t="s">
        <v>61</v>
      </c>
      <c r="F88" s="5">
        <v>11</v>
      </c>
      <c r="G88" s="5">
        <v>25158</v>
      </c>
      <c r="H88" s="5">
        <v>5</v>
      </c>
      <c r="I88" s="6">
        <v>46186</v>
      </c>
      <c r="J88" s="6">
        <v>46193</v>
      </c>
      <c r="K88" s="10" t="s">
        <v>20</v>
      </c>
      <c r="L88" s="21">
        <f t="shared" si="1"/>
        <v>262901.09999999998</v>
      </c>
    </row>
    <row r="89" spans="1:12" ht="15" thickBot="1" x14ac:dyDescent="0.4">
      <c r="A89" s="5">
        <v>1214</v>
      </c>
      <c r="B89" s="5" t="s">
        <v>42</v>
      </c>
      <c r="C89" s="5" t="s">
        <v>25</v>
      </c>
      <c r="D89" s="5" t="s">
        <v>18</v>
      </c>
      <c r="E89" s="5" t="s">
        <v>28</v>
      </c>
      <c r="F89" s="5">
        <v>19</v>
      </c>
      <c r="G89" s="5">
        <v>13832</v>
      </c>
      <c r="H89" s="5">
        <v>0</v>
      </c>
      <c r="I89" s="6">
        <v>46140</v>
      </c>
      <c r="J89" s="6">
        <v>46145</v>
      </c>
      <c r="K89" s="10" t="s">
        <v>51</v>
      </c>
      <c r="L89" s="21">
        <f t="shared" si="1"/>
        <v>262808</v>
      </c>
    </row>
    <row r="90" spans="1:12" ht="15" thickBot="1" x14ac:dyDescent="0.4">
      <c r="A90" s="5">
        <v>1097</v>
      </c>
      <c r="B90" s="5" t="s">
        <v>52</v>
      </c>
      <c r="C90" s="5" t="s">
        <v>22</v>
      </c>
      <c r="D90" s="5" t="s">
        <v>34</v>
      </c>
      <c r="E90" s="5" t="s">
        <v>61</v>
      </c>
      <c r="F90" s="5">
        <v>10</v>
      </c>
      <c r="G90" s="5">
        <v>28980</v>
      </c>
      <c r="H90" s="5">
        <v>10</v>
      </c>
      <c r="I90" s="6">
        <v>46089</v>
      </c>
      <c r="J90" s="6">
        <v>46094</v>
      </c>
      <c r="K90" s="10" t="s">
        <v>24</v>
      </c>
      <c r="L90" s="21">
        <f t="shared" si="1"/>
        <v>260820</v>
      </c>
    </row>
    <row r="91" spans="1:12" ht="15" thickBot="1" x14ac:dyDescent="0.4">
      <c r="A91" s="5">
        <v>1228</v>
      </c>
      <c r="B91" s="5" t="s">
        <v>29</v>
      </c>
      <c r="C91" s="5" t="s">
        <v>25</v>
      </c>
      <c r="D91" s="5" t="s">
        <v>34</v>
      </c>
      <c r="E91" s="5" t="s">
        <v>45</v>
      </c>
      <c r="F91" s="5">
        <v>16</v>
      </c>
      <c r="G91" s="5">
        <v>17477</v>
      </c>
      <c r="H91" s="5">
        <v>10</v>
      </c>
      <c r="I91" s="6">
        <v>46041</v>
      </c>
      <c r="J91" s="6">
        <v>46043</v>
      </c>
      <c r="K91" s="10" t="s">
        <v>24</v>
      </c>
      <c r="L91" s="21">
        <f t="shared" si="1"/>
        <v>251668.80000000002</v>
      </c>
    </row>
    <row r="92" spans="1:12" ht="15" thickBot="1" x14ac:dyDescent="0.4">
      <c r="A92" s="5">
        <v>1134</v>
      </c>
      <c r="B92" s="5" t="s">
        <v>57</v>
      </c>
      <c r="C92" s="5" t="s">
        <v>31</v>
      </c>
      <c r="D92" s="5" t="s">
        <v>34</v>
      </c>
      <c r="E92" s="5" t="s">
        <v>61</v>
      </c>
      <c r="F92" s="5">
        <v>10</v>
      </c>
      <c r="G92" s="5">
        <v>29217</v>
      </c>
      <c r="H92" s="5">
        <v>15</v>
      </c>
      <c r="I92" s="6">
        <v>46148</v>
      </c>
      <c r="J92" s="6">
        <v>46150</v>
      </c>
      <c r="K92" s="10" t="s">
        <v>24</v>
      </c>
      <c r="L92" s="21">
        <f t="shared" si="1"/>
        <v>248344.5</v>
      </c>
    </row>
    <row r="93" spans="1:12" ht="15" thickBot="1" x14ac:dyDescent="0.4">
      <c r="A93" s="5">
        <v>1185</v>
      </c>
      <c r="B93" s="5" t="s">
        <v>58</v>
      </c>
      <c r="C93" s="5" t="s">
        <v>22</v>
      </c>
      <c r="D93" s="5" t="s">
        <v>34</v>
      </c>
      <c r="E93" s="5" t="s">
        <v>60</v>
      </c>
      <c r="F93" s="5">
        <v>16</v>
      </c>
      <c r="G93" s="5">
        <v>15536</v>
      </c>
      <c r="H93" s="5">
        <v>2</v>
      </c>
      <c r="I93" s="6">
        <v>46153</v>
      </c>
      <c r="J93" s="6">
        <v>46156</v>
      </c>
      <c r="K93" s="10" t="s">
        <v>15</v>
      </c>
      <c r="L93" s="21">
        <f t="shared" si="1"/>
        <v>243604.47999999998</v>
      </c>
    </row>
    <row r="94" spans="1:12" ht="15" thickBot="1" x14ac:dyDescent="0.4">
      <c r="A94" s="5">
        <v>1136</v>
      </c>
      <c r="B94" s="5" t="s">
        <v>27</v>
      </c>
      <c r="C94" s="5" t="s">
        <v>43</v>
      </c>
      <c r="D94" s="5" t="s">
        <v>18</v>
      </c>
      <c r="E94" s="5" t="s">
        <v>56</v>
      </c>
      <c r="F94" s="5">
        <v>19</v>
      </c>
      <c r="G94" s="5">
        <v>14528</v>
      </c>
      <c r="H94" s="5">
        <v>12</v>
      </c>
      <c r="I94" s="6">
        <v>46056</v>
      </c>
      <c r="J94" s="6">
        <v>46062</v>
      </c>
      <c r="K94" s="10" t="s">
        <v>24</v>
      </c>
      <c r="L94" s="21">
        <f t="shared" si="1"/>
        <v>242908.16</v>
      </c>
    </row>
    <row r="95" spans="1:12" ht="15" thickBot="1" x14ac:dyDescent="0.4">
      <c r="A95" s="5">
        <v>1310</v>
      </c>
      <c r="B95" s="5" t="s">
        <v>49</v>
      </c>
      <c r="C95" s="5" t="s">
        <v>17</v>
      </c>
      <c r="D95" s="5" t="s">
        <v>18</v>
      </c>
      <c r="E95" s="5" t="s">
        <v>56</v>
      </c>
      <c r="F95" s="5">
        <v>19</v>
      </c>
      <c r="G95" s="5">
        <v>12691</v>
      </c>
      <c r="H95" s="5">
        <v>0</v>
      </c>
      <c r="I95" s="6">
        <v>46181</v>
      </c>
      <c r="J95" s="6">
        <v>46189</v>
      </c>
      <c r="K95" s="10" t="s">
        <v>29</v>
      </c>
      <c r="L95" s="21">
        <f t="shared" si="1"/>
        <v>241129</v>
      </c>
    </row>
    <row r="96" spans="1:12" ht="15" thickBot="1" x14ac:dyDescent="0.4">
      <c r="A96" s="5">
        <v>1159</v>
      </c>
      <c r="B96" s="5" t="s">
        <v>32</v>
      </c>
      <c r="C96" s="5" t="s">
        <v>43</v>
      </c>
      <c r="D96" s="5" t="s">
        <v>18</v>
      </c>
      <c r="E96" s="5" t="s">
        <v>28</v>
      </c>
      <c r="F96" s="5">
        <v>20</v>
      </c>
      <c r="G96" s="5">
        <v>14000</v>
      </c>
      <c r="H96" s="5">
        <v>15</v>
      </c>
      <c r="I96" s="6">
        <v>46184</v>
      </c>
      <c r="J96" s="6">
        <v>46187</v>
      </c>
      <c r="K96" s="10" t="s">
        <v>15</v>
      </c>
      <c r="L96" s="21">
        <f t="shared" si="1"/>
        <v>238000</v>
      </c>
    </row>
    <row r="97" spans="1:12" ht="15" thickBot="1" x14ac:dyDescent="0.4">
      <c r="A97" s="5">
        <v>1233</v>
      </c>
      <c r="B97" s="5" t="s">
        <v>58</v>
      </c>
      <c r="C97" s="5" t="s">
        <v>22</v>
      </c>
      <c r="D97" s="5" t="s">
        <v>18</v>
      </c>
      <c r="E97" s="5" t="s">
        <v>19</v>
      </c>
      <c r="F97" s="5">
        <v>20</v>
      </c>
      <c r="G97" s="5">
        <v>13941</v>
      </c>
      <c r="H97" s="5">
        <v>15</v>
      </c>
      <c r="I97" s="6">
        <v>46198</v>
      </c>
      <c r="J97" s="6">
        <v>46202</v>
      </c>
      <c r="K97" s="10" t="s">
        <v>24</v>
      </c>
      <c r="L97" s="21">
        <f t="shared" si="1"/>
        <v>236997</v>
      </c>
    </row>
    <row r="98" spans="1:12" ht="15" thickBot="1" x14ac:dyDescent="0.4">
      <c r="A98" s="5">
        <v>1078</v>
      </c>
      <c r="B98" s="5" t="s">
        <v>52</v>
      </c>
      <c r="C98" s="5" t="s">
        <v>17</v>
      </c>
      <c r="D98" s="5" t="s">
        <v>34</v>
      </c>
      <c r="E98" s="5" t="s">
        <v>39</v>
      </c>
      <c r="F98" s="5">
        <v>11</v>
      </c>
      <c r="G98" s="5">
        <v>24278</v>
      </c>
      <c r="H98" s="5">
        <v>12</v>
      </c>
      <c r="I98" s="6">
        <v>46084</v>
      </c>
      <c r="J98" s="6">
        <v>46090</v>
      </c>
      <c r="K98" s="10" t="s">
        <v>29</v>
      </c>
      <c r="L98" s="21">
        <f t="shared" si="1"/>
        <v>235011.04</v>
      </c>
    </row>
    <row r="99" spans="1:12" ht="15" thickBot="1" x14ac:dyDescent="0.4">
      <c r="A99" s="5">
        <v>1075</v>
      </c>
      <c r="B99" s="5" t="s">
        <v>42</v>
      </c>
      <c r="C99" s="5" t="s">
        <v>43</v>
      </c>
      <c r="D99" s="5" t="s">
        <v>34</v>
      </c>
      <c r="E99" s="5" t="s">
        <v>61</v>
      </c>
      <c r="F99" s="5">
        <v>4</v>
      </c>
      <c r="G99" s="5">
        <v>64773</v>
      </c>
      <c r="H99" s="5">
        <v>10</v>
      </c>
      <c r="I99" s="6">
        <v>46185</v>
      </c>
      <c r="J99" s="6">
        <v>46186</v>
      </c>
      <c r="K99" s="10" t="s">
        <v>51</v>
      </c>
      <c r="L99" s="21">
        <f t="shared" si="1"/>
        <v>233182.80000000002</v>
      </c>
    </row>
    <row r="100" spans="1:12" ht="15" thickBot="1" x14ac:dyDescent="0.4">
      <c r="A100" s="5">
        <v>1032</v>
      </c>
      <c r="B100" s="5" t="s">
        <v>54</v>
      </c>
      <c r="C100" s="5" t="s">
        <v>43</v>
      </c>
      <c r="D100" s="5" t="s">
        <v>34</v>
      </c>
      <c r="E100" s="5" t="s">
        <v>39</v>
      </c>
      <c r="F100" s="5">
        <v>20</v>
      </c>
      <c r="G100" s="5">
        <v>11305</v>
      </c>
      <c r="H100" s="5">
        <v>2</v>
      </c>
      <c r="I100" s="6">
        <v>46163</v>
      </c>
      <c r="J100" s="6">
        <v>46165</v>
      </c>
      <c r="K100" s="10" t="s">
        <v>29</v>
      </c>
      <c r="L100" s="21">
        <f t="shared" si="1"/>
        <v>221578</v>
      </c>
    </row>
    <row r="101" spans="1:12" ht="15" thickBot="1" x14ac:dyDescent="0.4">
      <c r="A101" s="5">
        <v>1111</v>
      </c>
      <c r="B101" s="5" t="s">
        <v>47</v>
      </c>
      <c r="C101" s="5" t="s">
        <v>17</v>
      </c>
      <c r="D101" s="5" t="s">
        <v>34</v>
      </c>
      <c r="E101" s="5" t="s">
        <v>35</v>
      </c>
      <c r="F101" s="5">
        <v>5</v>
      </c>
      <c r="G101" s="5">
        <v>49945</v>
      </c>
      <c r="H101" s="5">
        <v>12</v>
      </c>
      <c r="I101" s="6">
        <v>46133</v>
      </c>
      <c r="J101" s="6">
        <v>46141</v>
      </c>
      <c r="K101" s="10" t="s">
        <v>29</v>
      </c>
      <c r="L101" s="21">
        <f t="shared" si="1"/>
        <v>219758</v>
      </c>
    </row>
    <row r="102" spans="1:12" ht="15" thickBot="1" x14ac:dyDescent="0.4">
      <c r="A102" s="5">
        <v>1121</v>
      </c>
      <c r="B102" s="5" t="s">
        <v>29</v>
      </c>
      <c r="C102" s="5" t="s">
        <v>12</v>
      </c>
      <c r="D102" s="5" t="s">
        <v>34</v>
      </c>
      <c r="E102" s="5" t="s">
        <v>39</v>
      </c>
      <c r="F102" s="5">
        <v>4</v>
      </c>
      <c r="G102" s="5">
        <v>55809</v>
      </c>
      <c r="H102" s="5">
        <v>2</v>
      </c>
      <c r="I102" s="6">
        <v>46103</v>
      </c>
      <c r="J102" s="6">
        <v>46108</v>
      </c>
      <c r="K102" s="10" t="s">
        <v>29</v>
      </c>
      <c r="L102" s="21">
        <f t="shared" si="1"/>
        <v>218771.28</v>
      </c>
    </row>
    <row r="103" spans="1:12" ht="15" thickBot="1" x14ac:dyDescent="0.4">
      <c r="A103" s="5">
        <v>1273</v>
      </c>
      <c r="B103" s="5" t="s">
        <v>46</v>
      </c>
      <c r="C103" s="5" t="s">
        <v>25</v>
      </c>
      <c r="D103" s="5" t="s">
        <v>34</v>
      </c>
      <c r="E103" s="5" t="s">
        <v>39</v>
      </c>
      <c r="F103" s="5">
        <v>12</v>
      </c>
      <c r="G103" s="5">
        <v>20618</v>
      </c>
      <c r="H103" s="5">
        <v>12</v>
      </c>
      <c r="I103" s="6">
        <v>46172</v>
      </c>
      <c r="J103" s="6">
        <v>46174</v>
      </c>
      <c r="K103" s="10" t="s">
        <v>20</v>
      </c>
      <c r="L103" s="21">
        <f t="shared" si="1"/>
        <v>217726.07999999999</v>
      </c>
    </row>
    <row r="104" spans="1:12" ht="15" thickBot="1" x14ac:dyDescent="0.4">
      <c r="A104" s="5">
        <v>1149</v>
      </c>
      <c r="B104" s="5" t="s">
        <v>26</v>
      </c>
      <c r="C104" s="5" t="s">
        <v>38</v>
      </c>
      <c r="D104" s="5" t="s">
        <v>34</v>
      </c>
      <c r="E104" s="5" t="s">
        <v>35</v>
      </c>
      <c r="F104" s="5">
        <v>10</v>
      </c>
      <c r="G104" s="5">
        <v>22853</v>
      </c>
      <c r="H104" s="5">
        <v>7</v>
      </c>
      <c r="I104" s="6">
        <v>46053</v>
      </c>
      <c r="J104" s="6">
        <v>46054</v>
      </c>
      <c r="K104" s="10" t="s">
        <v>29</v>
      </c>
      <c r="L104" s="21">
        <f t="shared" si="1"/>
        <v>212532.9</v>
      </c>
    </row>
    <row r="105" spans="1:12" ht="15" thickBot="1" x14ac:dyDescent="0.4">
      <c r="A105" s="5">
        <v>1068</v>
      </c>
      <c r="B105" s="5" t="s">
        <v>52</v>
      </c>
      <c r="C105" s="5" t="s">
        <v>43</v>
      </c>
      <c r="D105" s="5" t="s">
        <v>34</v>
      </c>
      <c r="E105" s="5" t="s">
        <v>60</v>
      </c>
      <c r="F105" s="5">
        <v>15</v>
      </c>
      <c r="G105" s="5">
        <v>14534</v>
      </c>
      <c r="H105" s="5">
        <v>5</v>
      </c>
      <c r="I105" s="6">
        <v>46196</v>
      </c>
      <c r="J105" s="6">
        <v>46199</v>
      </c>
      <c r="K105" s="10" t="s">
        <v>29</v>
      </c>
      <c r="L105" s="21">
        <f t="shared" si="1"/>
        <v>207109.5</v>
      </c>
    </row>
    <row r="106" spans="1:12" ht="15" thickBot="1" x14ac:dyDescent="0.4">
      <c r="A106" s="5">
        <v>1092</v>
      </c>
      <c r="B106" s="5" t="s">
        <v>21</v>
      </c>
      <c r="C106" s="5" t="s">
        <v>22</v>
      </c>
      <c r="D106" s="5" t="s">
        <v>34</v>
      </c>
      <c r="E106" s="5" t="s">
        <v>41</v>
      </c>
      <c r="F106" s="5">
        <v>9</v>
      </c>
      <c r="G106" s="5">
        <v>23438</v>
      </c>
      <c r="H106" s="5">
        <v>2</v>
      </c>
      <c r="I106" s="6">
        <v>46049</v>
      </c>
      <c r="J106" s="6">
        <v>46055</v>
      </c>
      <c r="K106" s="10" t="s">
        <v>29</v>
      </c>
      <c r="L106" s="21">
        <f t="shared" si="1"/>
        <v>206723.16</v>
      </c>
    </row>
    <row r="107" spans="1:12" ht="15" thickBot="1" x14ac:dyDescent="0.4">
      <c r="A107" s="5">
        <v>1161</v>
      </c>
      <c r="B107" s="5" t="s">
        <v>27</v>
      </c>
      <c r="C107" s="5" t="s">
        <v>25</v>
      </c>
      <c r="D107" s="5" t="s">
        <v>34</v>
      </c>
      <c r="E107" s="5" t="s">
        <v>39</v>
      </c>
      <c r="F107" s="5">
        <v>4</v>
      </c>
      <c r="G107" s="5">
        <v>54659</v>
      </c>
      <c r="H107" s="5">
        <v>7</v>
      </c>
      <c r="I107" s="6">
        <v>46105</v>
      </c>
      <c r="J107" s="6">
        <v>46109</v>
      </c>
      <c r="K107" s="10" t="s">
        <v>20</v>
      </c>
      <c r="L107" s="21">
        <f t="shared" si="1"/>
        <v>203331.47999999998</v>
      </c>
    </row>
    <row r="108" spans="1:12" ht="15" thickBot="1" x14ac:dyDescent="0.4">
      <c r="A108" s="5">
        <v>1197</v>
      </c>
      <c r="B108" s="5" t="s">
        <v>52</v>
      </c>
      <c r="C108" s="5" t="s">
        <v>31</v>
      </c>
      <c r="D108" s="5" t="s">
        <v>34</v>
      </c>
      <c r="E108" s="5" t="s">
        <v>35</v>
      </c>
      <c r="F108" s="5">
        <v>5</v>
      </c>
      <c r="G108" s="5">
        <v>45352</v>
      </c>
      <c r="H108" s="5">
        <v>12</v>
      </c>
      <c r="I108" s="6">
        <v>46045</v>
      </c>
      <c r="J108" s="6">
        <v>46048</v>
      </c>
      <c r="K108" s="10" t="s">
        <v>15</v>
      </c>
      <c r="L108" s="21">
        <f t="shared" si="1"/>
        <v>199548.79999999999</v>
      </c>
    </row>
    <row r="109" spans="1:12" ht="15" thickBot="1" x14ac:dyDescent="0.4">
      <c r="A109" s="5">
        <v>1175</v>
      </c>
      <c r="B109" s="5" t="s">
        <v>26</v>
      </c>
      <c r="C109" s="5" t="s">
        <v>17</v>
      </c>
      <c r="D109" s="5" t="s">
        <v>34</v>
      </c>
      <c r="E109" s="5" t="s">
        <v>41</v>
      </c>
      <c r="F109" s="5">
        <v>10</v>
      </c>
      <c r="G109" s="5">
        <v>20339</v>
      </c>
      <c r="H109" s="5">
        <v>2</v>
      </c>
      <c r="I109" s="6">
        <v>46088</v>
      </c>
      <c r="J109" s="6">
        <v>46094</v>
      </c>
      <c r="K109" s="10" t="s">
        <v>20</v>
      </c>
      <c r="L109" s="21">
        <f t="shared" si="1"/>
        <v>199322.19999999998</v>
      </c>
    </row>
    <row r="110" spans="1:12" ht="15" thickBot="1" x14ac:dyDescent="0.4">
      <c r="A110" s="5">
        <v>1108</v>
      </c>
      <c r="B110" s="5" t="s">
        <v>42</v>
      </c>
      <c r="C110" s="5" t="s">
        <v>33</v>
      </c>
      <c r="D110" s="5" t="s">
        <v>18</v>
      </c>
      <c r="E110" s="5" t="s">
        <v>28</v>
      </c>
      <c r="F110" s="5">
        <v>15</v>
      </c>
      <c r="G110" s="5">
        <v>13843</v>
      </c>
      <c r="H110" s="5">
        <v>7</v>
      </c>
      <c r="I110" s="6">
        <v>46119</v>
      </c>
      <c r="J110" s="6">
        <v>46127</v>
      </c>
      <c r="K110" s="10" t="s">
        <v>20</v>
      </c>
      <c r="L110" s="21">
        <f t="shared" si="1"/>
        <v>193109.84999999998</v>
      </c>
    </row>
    <row r="111" spans="1:12" ht="15" thickBot="1" x14ac:dyDescent="0.4">
      <c r="A111" s="5">
        <v>1354</v>
      </c>
      <c r="B111" s="5" t="s">
        <v>47</v>
      </c>
      <c r="C111" s="5" t="s">
        <v>43</v>
      </c>
      <c r="D111" s="5" t="s">
        <v>34</v>
      </c>
      <c r="E111" s="5" t="s">
        <v>35</v>
      </c>
      <c r="F111" s="5">
        <v>15</v>
      </c>
      <c r="G111" s="5">
        <v>14927</v>
      </c>
      <c r="H111" s="5">
        <v>15</v>
      </c>
      <c r="I111" s="6">
        <v>46118</v>
      </c>
      <c r="J111" s="6">
        <v>46120</v>
      </c>
      <c r="K111" s="10" t="s">
        <v>51</v>
      </c>
      <c r="L111" s="21">
        <f t="shared" si="1"/>
        <v>190319.25</v>
      </c>
    </row>
    <row r="112" spans="1:12" ht="15" thickBot="1" x14ac:dyDescent="0.4">
      <c r="A112" s="5">
        <v>1096</v>
      </c>
      <c r="B112" s="5" t="s">
        <v>49</v>
      </c>
      <c r="C112" s="5" t="s">
        <v>17</v>
      </c>
      <c r="D112" s="5" t="s">
        <v>18</v>
      </c>
      <c r="E112" s="5" t="s">
        <v>23</v>
      </c>
      <c r="F112" s="5">
        <v>15</v>
      </c>
      <c r="G112" s="5">
        <v>14724</v>
      </c>
      <c r="H112" s="5">
        <v>15</v>
      </c>
      <c r="I112" s="6">
        <v>46054</v>
      </c>
      <c r="J112" s="6">
        <v>46061</v>
      </c>
      <c r="K112" s="10" t="s">
        <v>20</v>
      </c>
      <c r="L112" s="21">
        <f t="shared" si="1"/>
        <v>187731</v>
      </c>
    </row>
    <row r="113" spans="1:12" ht="15" thickBot="1" x14ac:dyDescent="0.4">
      <c r="A113" s="5">
        <v>1290</v>
      </c>
      <c r="B113" s="5" t="s">
        <v>26</v>
      </c>
      <c r="C113" s="5" t="s">
        <v>22</v>
      </c>
      <c r="D113" s="5" t="s">
        <v>34</v>
      </c>
      <c r="E113" s="5" t="s">
        <v>35</v>
      </c>
      <c r="F113" s="5">
        <v>3</v>
      </c>
      <c r="G113" s="5">
        <v>69793</v>
      </c>
      <c r="H113" s="5">
        <v>15</v>
      </c>
      <c r="I113" s="6">
        <v>46110</v>
      </c>
      <c r="J113" s="6">
        <v>46111</v>
      </c>
      <c r="K113" s="10" t="s">
        <v>29</v>
      </c>
      <c r="L113" s="21">
        <f t="shared" si="1"/>
        <v>177972.15</v>
      </c>
    </row>
    <row r="114" spans="1:12" ht="15" thickBot="1" x14ac:dyDescent="0.4">
      <c r="A114" s="5">
        <v>1045</v>
      </c>
      <c r="B114" s="5" t="s">
        <v>32</v>
      </c>
      <c r="C114" s="5" t="s">
        <v>38</v>
      </c>
      <c r="D114" s="5" t="s">
        <v>34</v>
      </c>
      <c r="E114" s="5" t="s">
        <v>35</v>
      </c>
      <c r="F114" s="5">
        <v>3</v>
      </c>
      <c r="G114" s="5">
        <v>62762</v>
      </c>
      <c r="H114" s="5">
        <v>7</v>
      </c>
      <c r="I114" s="6">
        <v>46038</v>
      </c>
      <c r="J114" s="6">
        <v>46039</v>
      </c>
      <c r="K114" s="10" t="s">
        <v>29</v>
      </c>
      <c r="L114" s="21">
        <f t="shared" si="1"/>
        <v>175105.97999999998</v>
      </c>
    </row>
    <row r="115" spans="1:12" ht="15" thickBot="1" x14ac:dyDescent="0.4">
      <c r="A115" s="5">
        <v>1012</v>
      </c>
      <c r="B115" s="5" t="s">
        <v>26</v>
      </c>
      <c r="C115" s="5" t="s">
        <v>38</v>
      </c>
      <c r="D115" s="5" t="s">
        <v>34</v>
      </c>
      <c r="E115" s="5" t="s">
        <v>39</v>
      </c>
      <c r="F115" s="5">
        <v>3</v>
      </c>
      <c r="G115" s="5">
        <v>64615</v>
      </c>
      <c r="H115" s="5">
        <v>10</v>
      </c>
      <c r="I115" s="6">
        <v>46086</v>
      </c>
      <c r="J115" s="6">
        <v>46095</v>
      </c>
      <c r="K115" s="10" t="s">
        <v>29</v>
      </c>
      <c r="L115" s="21">
        <f t="shared" si="1"/>
        <v>174460.5</v>
      </c>
    </row>
    <row r="116" spans="1:12" ht="15" thickBot="1" x14ac:dyDescent="0.4">
      <c r="A116" s="5">
        <v>1022</v>
      </c>
      <c r="B116" s="5" t="s">
        <v>26</v>
      </c>
      <c r="C116" s="5" t="s">
        <v>17</v>
      </c>
      <c r="D116" s="5" t="s">
        <v>34</v>
      </c>
      <c r="E116" s="5" t="s">
        <v>45</v>
      </c>
      <c r="F116" s="5">
        <v>15</v>
      </c>
      <c r="G116" s="5">
        <v>11596</v>
      </c>
      <c r="H116" s="5">
        <v>0</v>
      </c>
      <c r="I116" s="6">
        <v>46117</v>
      </c>
      <c r="J116" s="6">
        <v>46121</v>
      </c>
      <c r="K116" s="10" t="s">
        <v>29</v>
      </c>
      <c r="L116" s="21">
        <f t="shared" si="1"/>
        <v>173940</v>
      </c>
    </row>
    <row r="117" spans="1:12" ht="15" thickBot="1" x14ac:dyDescent="0.4">
      <c r="A117" s="5">
        <v>1153</v>
      </c>
      <c r="B117" s="5" t="s">
        <v>42</v>
      </c>
      <c r="C117" s="5" t="s">
        <v>25</v>
      </c>
      <c r="D117" s="5" t="s">
        <v>18</v>
      </c>
      <c r="E117" s="5" t="s">
        <v>23</v>
      </c>
      <c r="F117" s="5">
        <v>19</v>
      </c>
      <c r="G117" s="5">
        <v>10273</v>
      </c>
      <c r="H117" s="5">
        <v>12</v>
      </c>
      <c r="I117" s="6">
        <v>46069</v>
      </c>
      <c r="J117" s="6">
        <v>46072</v>
      </c>
      <c r="K117" s="10" t="s">
        <v>29</v>
      </c>
      <c r="L117" s="21">
        <f t="shared" si="1"/>
        <v>171764.56</v>
      </c>
    </row>
    <row r="118" spans="1:12" ht="15" thickBot="1" x14ac:dyDescent="0.4">
      <c r="A118" s="5">
        <v>1066</v>
      </c>
      <c r="B118" s="5" t="s">
        <v>47</v>
      </c>
      <c r="C118" s="5" t="s">
        <v>25</v>
      </c>
      <c r="D118" s="5" t="s">
        <v>18</v>
      </c>
      <c r="E118" s="5" t="s">
        <v>44</v>
      </c>
      <c r="F118" s="5">
        <v>15</v>
      </c>
      <c r="G118" s="5">
        <v>11987</v>
      </c>
      <c r="H118" s="5">
        <v>5</v>
      </c>
      <c r="I118" s="6">
        <v>46082</v>
      </c>
      <c r="J118" s="6">
        <v>46083</v>
      </c>
      <c r="K118" s="10" t="s">
        <v>15</v>
      </c>
      <c r="L118" s="21">
        <f t="shared" si="1"/>
        <v>170814.75</v>
      </c>
    </row>
    <row r="119" spans="1:12" ht="15" thickBot="1" x14ac:dyDescent="0.4">
      <c r="A119" s="5">
        <v>1295</v>
      </c>
      <c r="B119" s="5" t="s">
        <v>52</v>
      </c>
      <c r="C119" s="5" t="s">
        <v>38</v>
      </c>
      <c r="D119" s="5" t="s">
        <v>18</v>
      </c>
      <c r="E119" s="5" t="s">
        <v>28</v>
      </c>
      <c r="F119" s="5">
        <v>16</v>
      </c>
      <c r="G119" s="5">
        <v>11935</v>
      </c>
      <c r="H119" s="5">
        <v>12</v>
      </c>
      <c r="I119" s="6">
        <v>46157</v>
      </c>
      <c r="J119" s="6">
        <v>46162</v>
      </c>
      <c r="K119" s="10" t="s">
        <v>15</v>
      </c>
      <c r="L119" s="21">
        <f t="shared" si="1"/>
        <v>168044.79999999999</v>
      </c>
    </row>
    <row r="120" spans="1:12" ht="15" thickBot="1" x14ac:dyDescent="0.4">
      <c r="A120" s="5">
        <v>1089</v>
      </c>
      <c r="B120" s="5" t="s">
        <v>46</v>
      </c>
      <c r="C120" s="5" t="s">
        <v>12</v>
      </c>
      <c r="D120" s="5" t="s">
        <v>34</v>
      </c>
      <c r="E120" s="5" t="s">
        <v>35</v>
      </c>
      <c r="F120" s="5">
        <v>10</v>
      </c>
      <c r="G120" s="5">
        <v>17041</v>
      </c>
      <c r="H120" s="5">
        <v>2</v>
      </c>
      <c r="I120" s="6">
        <v>46066</v>
      </c>
      <c r="J120" s="6">
        <v>46071</v>
      </c>
      <c r="K120" s="10" t="s">
        <v>24</v>
      </c>
      <c r="L120" s="21">
        <f t="shared" si="1"/>
        <v>167001.79999999999</v>
      </c>
    </row>
    <row r="121" spans="1:12" ht="15" thickBot="1" x14ac:dyDescent="0.4">
      <c r="A121" s="5">
        <v>1350</v>
      </c>
      <c r="B121" s="5" t="s">
        <v>26</v>
      </c>
      <c r="C121" s="5" t="s">
        <v>43</v>
      </c>
      <c r="D121" s="5" t="s">
        <v>18</v>
      </c>
      <c r="E121" s="5" t="s">
        <v>28</v>
      </c>
      <c r="F121" s="5">
        <v>16</v>
      </c>
      <c r="G121" s="5">
        <v>11790</v>
      </c>
      <c r="H121" s="5">
        <v>12</v>
      </c>
      <c r="I121" s="6">
        <v>46185</v>
      </c>
      <c r="J121" s="6">
        <v>46190</v>
      </c>
      <c r="K121" s="10" t="s">
        <v>29</v>
      </c>
      <c r="L121" s="21">
        <f t="shared" si="1"/>
        <v>166003.20000000001</v>
      </c>
    </row>
    <row r="122" spans="1:12" ht="15" thickBot="1" x14ac:dyDescent="0.4">
      <c r="A122" s="5">
        <v>1004</v>
      </c>
      <c r="B122" s="5" t="s">
        <v>16</v>
      </c>
      <c r="C122" s="5" t="s">
        <v>25</v>
      </c>
      <c r="D122" s="5" t="s">
        <v>18</v>
      </c>
      <c r="E122" s="5" t="s">
        <v>23</v>
      </c>
      <c r="F122" s="5">
        <v>16</v>
      </c>
      <c r="G122" s="5">
        <v>11739</v>
      </c>
      <c r="H122" s="5">
        <v>12</v>
      </c>
      <c r="I122" s="6">
        <v>46034</v>
      </c>
      <c r="J122" s="6">
        <v>46040</v>
      </c>
      <c r="K122" s="10" t="s">
        <v>20</v>
      </c>
      <c r="L122" s="21">
        <f t="shared" si="1"/>
        <v>165285.12</v>
      </c>
    </row>
    <row r="123" spans="1:12" ht="15" thickBot="1" x14ac:dyDescent="0.4">
      <c r="A123" s="5">
        <v>1389</v>
      </c>
      <c r="B123" s="5" t="s">
        <v>32</v>
      </c>
      <c r="C123" s="5" t="s">
        <v>12</v>
      </c>
      <c r="D123" s="5" t="s">
        <v>34</v>
      </c>
      <c r="E123" s="5" t="s">
        <v>41</v>
      </c>
      <c r="F123" s="5">
        <v>3</v>
      </c>
      <c r="G123" s="5">
        <v>56380</v>
      </c>
      <c r="H123" s="5">
        <v>5</v>
      </c>
      <c r="I123" s="6">
        <v>46044</v>
      </c>
      <c r="J123" s="6">
        <v>46048</v>
      </c>
      <c r="K123" s="10" t="s">
        <v>51</v>
      </c>
      <c r="L123" s="21">
        <f t="shared" si="1"/>
        <v>160683</v>
      </c>
    </row>
    <row r="124" spans="1:12" ht="15" thickBot="1" x14ac:dyDescent="0.4">
      <c r="A124" s="5">
        <v>1158</v>
      </c>
      <c r="B124" s="5" t="s">
        <v>26</v>
      </c>
      <c r="C124" s="5" t="s">
        <v>38</v>
      </c>
      <c r="D124" s="5" t="s">
        <v>34</v>
      </c>
      <c r="E124" s="5" t="s">
        <v>41</v>
      </c>
      <c r="F124" s="5">
        <v>13</v>
      </c>
      <c r="G124" s="5">
        <v>12518</v>
      </c>
      <c r="H124" s="5">
        <v>2</v>
      </c>
      <c r="I124" s="6">
        <v>46079</v>
      </c>
      <c r="J124" s="6">
        <v>46082</v>
      </c>
      <c r="K124" s="10" t="s">
        <v>51</v>
      </c>
      <c r="L124" s="21">
        <f t="shared" si="1"/>
        <v>159479.32</v>
      </c>
    </row>
    <row r="125" spans="1:12" ht="15" thickBot="1" x14ac:dyDescent="0.4">
      <c r="A125" s="5">
        <v>1395</v>
      </c>
      <c r="B125" s="5" t="s">
        <v>54</v>
      </c>
      <c r="C125" s="5" t="s">
        <v>33</v>
      </c>
      <c r="D125" s="5" t="s">
        <v>18</v>
      </c>
      <c r="E125" s="5" t="s">
        <v>44</v>
      </c>
      <c r="F125" s="5">
        <v>18</v>
      </c>
      <c r="G125" s="5">
        <v>10402</v>
      </c>
      <c r="H125" s="5">
        <v>15</v>
      </c>
      <c r="I125" s="6">
        <v>46062</v>
      </c>
      <c r="J125" s="6">
        <v>46067</v>
      </c>
      <c r="K125" s="10" t="s">
        <v>29</v>
      </c>
      <c r="L125" s="21">
        <f t="shared" si="1"/>
        <v>159150.6</v>
      </c>
    </row>
    <row r="126" spans="1:12" ht="15" thickBot="1" x14ac:dyDescent="0.4">
      <c r="A126" s="5">
        <v>1338</v>
      </c>
      <c r="B126" s="5" t="s">
        <v>59</v>
      </c>
      <c r="C126" s="5" t="s">
        <v>25</v>
      </c>
      <c r="D126" s="5" t="s">
        <v>34</v>
      </c>
      <c r="E126" s="5" t="s">
        <v>60</v>
      </c>
      <c r="F126" s="5">
        <v>10</v>
      </c>
      <c r="G126" s="5">
        <v>16719</v>
      </c>
      <c r="H126" s="5">
        <v>5</v>
      </c>
      <c r="I126" s="6">
        <v>46177</v>
      </c>
      <c r="J126" s="6">
        <v>46179</v>
      </c>
      <c r="K126" s="10" t="s">
        <v>15</v>
      </c>
      <c r="L126" s="21">
        <f t="shared" si="1"/>
        <v>158830.5</v>
      </c>
    </row>
    <row r="127" spans="1:12" ht="15" thickBot="1" x14ac:dyDescent="0.4">
      <c r="A127" s="5">
        <v>1330</v>
      </c>
      <c r="B127" s="5" t="s">
        <v>49</v>
      </c>
      <c r="C127" s="5" t="s">
        <v>17</v>
      </c>
      <c r="D127" s="5" t="s">
        <v>18</v>
      </c>
      <c r="E127" s="5" t="s">
        <v>19</v>
      </c>
      <c r="F127" s="5">
        <v>13</v>
      </c>
      <c r="G127" s="5">
        <v>12071</v>
      </c>
      <c r="H127" s="5">
        <v>0</v>
      </c>
      <c r="I127" s="6">
        <v>46032</v>
      </c>
      <c r="J127" s="6">
        <v>46036</v>
      </c>
      <c r="K127" s="10" t="s">
        <v>51</v>
      </c>
      <c r="L127" s="21">
        <f t="shared" si="1"/>
        <v>156923</v>
      </c>
    </row>
    <row r="128" spans="1:12" ht="15" thickBot="1" x14ac:dyDescent="0.4">
      <c r="A128" s="5">
        <v>1015</v>
      </c>
      <c r="B128" s="5" t="s">
        <v>42</v>
      </c>
      <c r="C128" s="5" t="s">
        <v>43</v>
      </c>
      <c r="D128" s="5" t="s">
        <v>18</v>
      </c>
      <c r="E128" s="5" t="s">
        <v>44</v>
      </c>
      <c r="F128" s="5">
        <v>11</v>
      </c>
      <c r="G128" s="5">
        <v>14511</v>
      </c>
      <c r="H128" s="5">
        <v>2</v>
      </c>
      <c r="I128" s="6">
        <v>46175</v>
      </c>
      <c r="J128" s="6">
        <v>46185</v>
      </c>
      <c r="K128" s="10" t="s">
        <v>20</v>
      </c>
      <c r="L128" s="21">
        <f t="shared" si="1"/>
        <v>156428.57999999999</v>
      </c>
    </row>
    <row r="129" spans="1:12" ht="15" thickBot="1" x14ac:dyDescent="0.4">
      <c r="A129" s="5">
        <v>1118</v>
      </c>
      <c r="B129" s="5" t="s">
        <v>21</v>
      </c>
      <c r="C129" s="5" t="s">
        <v>22</v>
      </c>
      <c r="D129" s="5" t="s">
        <v>18</v>
      </c>
      <c r="E129" s="5" t="s">
        <v>23</v>
      </c>
      <c r="F129" s="5">
        <v>18</v>
      </c>
      <c r="G129" s="5">
        <v>9118</v>
      </c>
      <c r="H129" s="5">
        <v>5</v>
      </c>
      <c r="I129" s="6">
        <v>46178</v>
      </c>
      <c r="J129" s="6">
        <v>46187</v>
      </c>
      <c r="K129" s="10" t="s">
        <v>29</v>
      </c>
      <c r="L129" s="21">
        <f t="shared" si="1"/>
        <v>155917.79999999999</v>
      </c>
    </row>
    <row r="130" spans="1:12" ht="15" thickBot="1" x14ac:dyDescent="0.4">
      <c r="A130" s="5">
        <v>1127</v>
      </c>
      <c r="B130" s="5" t="s">
        <v>26</v>
      </c>
      <c r="C130" s="5" t="s">
        <v>33</v>
      </c>
      <c r="D130" s="5" t="s">
        <v>18</v>
      </c>
      <c r="E130" s="5" t="s">
        <v>28</v>
      </c>
      <c r="F130" s="5">
        <v>15</v>
      </c>
      <c r="G130" s="5">
        <v>11694</v>
      </c>
      <c r="H130" s="5">
        <v>12</v>
      </c>
      <c r="I130" s="6">
        <v>46170</v>
      </c>
      <c r="J130" s="6">
        <v>46179</v>
      </c>
      <c r="K130" s="10" t="s">
        <v>29</v>
      </c>
      <c r="L130" s="21">
        <f t="shared" ref="L130:L193" si="2">F130*G130*(1-H130/100)</f>
        <v>154360.79999999999</v>
      </c>
    </row>
    <row r="131" spans="1:12" ht="15" thickBot="1" x14ac:dyDescent="0.4">
      <c r="A131" s="5">
        <v>1048</v>
      </c>
      <c r="B131" s="5" t="s">
        <v>59</v>
      </c>
      <c r="C131" s="5" t="s">
        <v>25</v>
      </c>
      <c r="D131" s="5" t="s">
        <v>34</v>
      </c>
      <c r="E131" s="5" t="s">
        <v>60</v>
      </c>
      <c r="F131" s="5">
        <v>14</v>
      </c>
      <c r="G131" s="5">
        <v>11762</v>
      </c>
      <c r="H131" s="5">
        <v>7</v>
      </c>
      <c r="I131" s="6">
        <v>46180</v>
      </c>
      <c r="J131" s="6">
        <v>46186</v>
      </c>
      <c r="K131" s="10" t="s">
        <v>24</v>
      </c>
      <c r="L131" s="21">
        <f t="shared" si="2"/>
        <v>153141.24</v>
      </c>
    </row>
    <row r="132" spans="1:12" ht="15" thickBot="1" x14ac:dyDescent="0.4">
      <c r="A132" s="5">
        <v>1067</v>
      </c>
      <c r="B132" s="5" t="s">
        <v>32</v>
      </c>
      <c r="C132" s="5" t="s">
        <v>43</v>
      </c>
      <c r="D132" s="5" t="s">
        <v>18</v>
      </c>
      <c r="E132" s="5" t="s">
        <v>56</v>
      </c>
      <c r="F132" s="5">
        <v>14</v>
      </c>
      <c r="G132" s="5">
        <v>10869</v>
      </c>
      <c r="H132" s="5">
        <v>0</v>
      </c>
      <c r="I132" s="6">
        <v>46058</v>
      </c>
      <c r="J132" s="6">
        <v>46062</v>
      </c>
      <c r="K132" s="10" t="s">
        <v>29</v>
      </c>
      <c r="L132" s="21">
        <f t="shared" si="2"/>
        <v>152166</v>
      </c>
    </row>
    <row r="133" spans="1:12" ht="15" thickBot="1" x14ac:dyDescent="0.4">
      <c r="A133" s="5">
        <v>1164</v>
      </c>
      <c r="B133" s="5" t="s">
        <v>40</v>
      </c>
      <c r="C133" s="5" t="s">
        <v>43</v>
      </c>
      <c r="D133" s="5" t="s">
        <v>34</v>
      </c>
      <c r="E133" s="5" t="s">
        <v>61</v>
      </c>
      <c r="F133" s="5">
        <v>7</v>
      </c>
      <c r="G133" s="5">
        <v>24615</v>
      </c>
      <c r="H133" s="5">
        <v>12</v>
      </c>
      <c r="I133" s="6">
        <v>46196</v>
      </c>
      <c r="J133" s="6">
        <v>46203</v>
      </c>
      <c r="K133" s="10" t="s">
        <v>51</v>
      </c>
      <c r="L133" s="21">
        <f t="shared" si="2"/>
        <v>151628.4</v>
      </c>
    </row>
    <row r="134" spans="1:12" ht="15" thickBot="1" x14ac:dyDescent="0.4">
      <c r="A134" s="5">
        <v>1186</v>
      </c>
      <c r="B134" s="5" t="s">
        <v>16</v>
      </c>
      <c r="C134" s="5" t="s">
        <v>25</v>
      </c>
      <c r="D134" s="5" t="s">
        <v>18</v>
      </c>
      <c r="E134" s="5" t="s">
        <v>44</v>
      </c>
      <c r="F134" s="5">
        <v>10</v>
      </c>
      <c r="G134" s="5">
        <v>14951</v>
      </c>
      <c r="H134" s="5">
        <v>2</v>
      </c>
      <c r="I134" s="6">
        <v>46188</v>
      </c>
      <c r="J134" s="6">
        <v>46196</v>
      </c>
      <c r="K134" s="10" t="s">
        <v>24</v>
      </c>
      <c r="L134" s="21">
        <f t="shared" si="2"/>
        <v>146519.79999999999</v>
      </c>
    </row>
    <row r="135" spans="1:12" ht="15" thickBot="1" x14ac:dyDescent="0.4">
      <c r="A135" s="5">
        <v>1025</v>
      </c>
      <c r="B135" s="5" t="s">
        <v>21</v>
      </c>
      <c r="C135" s="5" t="s">
        <v>12</v>
      </c>
      <c r="D135" s="5" t="s">
        <v>18</v>
      </c>
      <c r="E135" s="5" t="s">
        <v>19</v>
      </c>
      <c r="F135" s="5">
        <v>18</v>
      </c>
      <c r="G135" s="5">
        <v>7924</v>
      </c>
      <c r="H135" s="5">
        <v>0</v>
      </c>
      <c r="I135" s="6">
        <v>46175</v>
      </c>
      <c r="J135" s="6">
        <v>46181</v>
      </c>
      <c r="K135" s="10" t="s">
        <v>15</v>
      </c>
      <c r="L135" s="21">
        <f t="shared" si="2"/>
        <v>142632</v>
      </c>
    </row>
    <row r="136" spans="1:12" ht="15" thickBot="1" x14ac:dyDescent="0.4">
      <c r="A136" s="5">
        <v>1194</v>
      </c>
      <c r="B136" s="5" t="s">
        <v>57</v>
      </c>
      <c r="C136" s="5" t="s">
        <v>43</v>
      </c>
      <c r="D136" s="5" t="s">
        <v>18</v>
      </c>
      <c r="E136" s="5" t="s">
        <v>28</v>
      </c>
      <c r="F136" s="5">
        <v>13</v>
      </c>
      <c r="G136" s="5">
        <v>12856</v>
      </c>
      <c r="H136" s="5">
        <v>15</v>
      </c>
      <c r="I136" s="6">
        <v>46129</v>
      </c>
      <c r="J136" s="6">
        <v>46133</v>
      </c>
      <c r="K136" s="10" t="s">
        <v>51</v>
      </c>
      <c r="L136" s="21">
        <f t="shared" si="2"/>
        <v>142058.79999999999</v>
      </c>
    </row>
    <row r="137" spans="1:12" ht="15" thickBot="1" x14ac:dyDescent="0.4">
      <c r="A137" s="5">
        <v>1169</v>
      </c>
      <c r="B137" s="5" t="s">
        <v>47</v>
      </c>
      <c r="C137" s="5" t="s">
        <v>12</v>
      </c>
      <c r="D137" s="5" t="s">
        <v>18</v>
      </c>
      <c r="E137" s="5" t="s">
        <v>56</v>
      </c>
      <c r="F137" s="5">
        <v>12</v>
      </c>
      <c r="G137" s="5">
        <v>12104</v>
      </c>
      <c r="H137" s="5">
        <v>7</v>
      </c>
      <c r="I137" s="6">
        <v>46121</v>
      </c>
      <c r="J137" s="6">
        <v>46130</v>
      </c>
      <c r="K137" s="10" t="s">
        <v>24</v>
      </c>
      <c r="L137" s="21">
        <f t="shared" si="2"/>
        <v>135080.63999999998</v>
      </c>
    </row>
    <row r="138" spans="1:12" ht="15" thickBot="1" x14ac:dyDescent="0.4">
      <c r="A138" s="5">
        <v>1141</v>
      </c>
      <c r="B138" s="5" t="s">
        <v>11</v>
      </c>
      <c r="C138" s="5" t="s">
        <v>17</v>
      </c>
      <c r="D138" s="5" t="s">
        <v>18</v>
      </c>
      <c r="E138" s="5" t="s">
        <v>44</v>
      </c>
      <c r="F138" s="5">
        <v>20</v>
      </c>
      <c r="G138" s="5">
        <v>6835</v>
      </c>
      <c r="H138" s="5">
        <v>2</v>
      </c>
      <c r="I138" s="6">
        <v>46043</v>
      </c>
      <c r="J138" s="6">
        <v>46053</v>
      </c>
      <c r="K138" s="10" t="s">
        <v>15</v>
      </c>
      <c r="L138" s="21">
        <f t="shared" si="2"/>
        <v>133966</v>
      </c>
    </row>
    <row r="139" spans="1:12" ht="15" thickBot="1" x14ac:dyDescent="0.4">
      <c r="A139" s="5">
        <v>1398</v>
      </c>
      <c r="B139" s="5" t="s">
        <v>58</v>
      </c>
      <c r="C139" s="5" t="s">
        <v>43</v>
      </c>
      <c r="D139" s="5" t="s">
        <v>34</v>
      </c>
      <c r="E139" s="5" t="s">
        <v>39</v>
      </c>
      <c r="F139" s="5">
        <v>12</v>
      </c>
      <c r="G139" s="5">
        <v>10668</v>
      </c>
      <c r="H139" s="5">
        <v>0</v>
      </c>
      <c r="I139" s="6">
        <v>46170</v>
      </c>
      <c r="J139" s="6">
        <v>46176</v>
      </c>
      <c r="K139" s="10" t="s">
        <v>15</v>
      </c>
      <c r="L139" s="21">
        <f t="shared" si="2"/>
        <v>128016</v>
      </c>
    </row>
    <row r="140" spans="1:12" ht="15" thickBot="1" x14ac:dyDescent="0.4">
      <c r="A140" s="5">
        <v>1360</v>
      </c>
      <c r="B140" s="5" t="s">
        <v>11</v>
      </c>
      <c r="C140" s="5" t="s">
        <v>43</v>
      </c>
      <c r="D140" s="5" t="s">
        <v>18</v>
      </c>
      <c r="E140" s="5" t="s">
        <v>23</v>
      </c>
      <c r="F140" s="5">
        <v>19</v>
      </c>
      <c r="G140" s="5">
        <v>6681</v>
      </c>
      <c r="H140" s="5">
        <v>2</v>
      </c>
      <c r="I140" s="6">
        <v>46146</v>
      </c>
      <c r="J140" s="6">
        <v>46150</v>
      </c>
      <c r="K140" s="10" t="s">
        <v>15</v>
      </c>
      <c r="L140" s="21">
        <f t="shared" si="2"/>
        <v>124400.22</v>
      </c>
    </row>
    <row r="141" spans="1:12" ht="15" thickBot="1" x14ac:dyDescent="0.4">
      <c r="A141" s="5">
        <v>1388</v>
      </c>
      <c r="B141" s="5" t="s">
        <v>55</v>
      </c>
      <c r="C141" s="5" t="s">
        <v>31</v>
      </c>
      <c r="D141" s="5" t="s">
        <v>18</v>
      </c>
      <c r="E141" s="5" t="s">
        <v>28</v>
      </c>
      <c r="F141" s="5">
        <v>12</v>
      </c>
      <c r="G141" s="5">
        <v>11662</v>
      </c>
      <c r="H141" s="5">
        <v>12</v>
      </c>
      <c r="I141" s="6">
        <v>46094</v>
      </c>
      <c r="J141" s="6">
        <v>46096</v>
      </c>
      <c r="K141" s="10" t="s">
        <v>20</v>
      </c>
      <c r="L141" s="21">
        <f t="shared" si="2"/>
        <v>123150.72</v>
      </c>
    </row>
    <row r="142" spans="1:12" ht="15" thickBot="1" x14ac:dyDescent="0.4">
      <c r="A142" s="5">
        <v>1250</v>
      </c>
      <c r="B142" s="5" t="s">
        <v>11</v>
      </c>
      <c r="C142" s="5" t="s">
        <v>17</v>
      </c>
      <c r="D142" s="5" t="s">
        <v>34</v>
      </c>
      <c r="E142" s="5" t="s">
        <v>45</v>
      </c>
      <c r="F142" s="5">
        <v>2</v>
      </c>
      <c r="G142" s="5">
        <v>65953</v>
      </c>
      <c r="H142" s="5">
        <v>7</v>
      </c>
      <c r="I142" s="6">
        <v>46051</v>
      </c>
      <c r="J142" s="6">
        <v>46053</v>
      </c>
      <c r="K142" s="10" t="s">
        <v>29</v>
      </c>
      <c r="L142" s="21">
        <f t="shared" si="2"/>
        <v>122672.57999999999</v>
      </c>
    </row>
    <row r="143" spans="1:12" ht="15" thickBot="1" x14ac:dyDescent="0.4">
      <c r="A143" s="5">
        <v>1307</v>
      </c>
      <c r="B143" s="5" t="s">
        <v>57</v>
      </c>
      <c r="C143" s="5" t="s">
        <v>43</v>
      </c>
      <c r="D143" s="5" t="s">
        <v>34</v>
      </c>
      <c r="E143" s="5" t="s">
        <v>35</v>
      </c>
      <c r="F143" s="5">
        <v>18</v>
      </c>
      <c r="G143" s="5">
        <v>7541</v>
      </c>
      <c r="H143" s="5">
        <v>12</v>
      </c>
      <c r="I143" s="6">
        <v>46048</v>
      </c>
      <c r="J143" s="6">
        <v>46051</v>
      </c>
      <c r="K143" s="10" t="s">
        <v>51</v>
      </c>
      <c r="L143" s="21">
        <f t="shared" si="2"/>
        <v>119449.44</v>
      </c>
    </row>
    <row r="144" spans="1:12" ht="15" thickBot="1" x14ac:dyDescent="0.4">
      <c r="A144" s="5">
        <v>1231</v>
      </c>
      <c r="B144" s="5" t="s">
        <v>48</v>
      </c>
      <c r="C144" s="5" t="s">
        <v>38</v>
      </c>
      <c r="D144" s="5" t="s">
        <v>18</v>
      </c>
      <c r="E144" s="5" t="s">
        <v>19</v>
      </c>
      <c r="F144" s="5">
        <v>13</v>
      </c>
      <c r="G144" s="5">
        <v>10297</v>
      </c>
      <c r="H144" s="5">
        <v>12</v>
      </c>
      <c r="I144" s="6">
        <v>46178</v>
      </c>
      <c r="J144" s="6">
        <v>46186</v>
      </c>
      <c r="K144" s="10" t="s">
        <v>20</v>
      </c>
      <c r="L144" s="21">
        <f t="shared" si="2"/>
        <v>117797.68000000001</v>
      </c>
    </row>
    <row r="145" spans="1:12" ht="15" thickBot="1" x14ac:dyDescent="0.4">
      <c r="A145" s="5">
        <v>1203</v>
      </c>
      <c r="B145" s="5" t="s">
        <v>40</v>
      </c>
      <c r="C145" s="5" t="s">
        <v>22</v>
      </c>
      <c r="D145" s="5" t="s">
        <v>18</v>
      </c>
      <c r="E145" s="5" t="s">
        <v>23</v>
      </c>
      <c r="F145" s="5">
        <v>17</v>
      </c>
      <c r="G145" s="5">
        <v>6695</v>
      </c>
      <c r="H145" s="5">
        <v>2</v>
      </c>
      <c r="I145" s="6">
        <v>46119</v>
      </c>
      <c r="J145" s="6">
        <v>46122</v>
      </c>
      <c r="K145" s="10" t="s">
        <v>51</v>
      </c>
      <c r="L145" s="21">
        <f t="shared" si="2"/>
        <v>111538.7</v>
      </c>
    </row>
    <row r="146" spans="1:12" ht="15" thickBot="1" x14ac:dyDescent="0.4">
      <c r="A146" s="5">
        <v>1109</v>
      </c>
      <c r="B146" s="5" t="s">
        <v>21</v>
      </c>
      <c r="C146" s="5" t="s">
        <v>31</v>
      </c>
      <c r="D146" s="5" t="s">
        <v>18</v>
      </c>
      <c r="E146" s="5" t="s">
        <v>44</v>
      </c>
      <c r="F146" s="5">
        <v>19</v>
      </c>
      <c r="G146" s="5">
        <v>6512</v>
      </c>
      <c r="H146" s="5">
        <v>10</v>
      </c>
      <c r="I146" s="6">
        <v>46033</v>
      </c>
      <c r="J146" s="6">
        <v>46037</v>
      </c>
      <c r="K146" s="10" t="s">
        <v>20</v>
      </c>
      <c r="L146" s="21">
        <f t="shared" si="2"/>
        <v>111355.2</v>
      </c>
    </row>
    <row r="147" spans="1:12" ht="15" thickBot="1" x14ac:dyDescent="0.4">
      <c r="A147" s="5">
        <v>1104</v>
      </c>
      <c r="B147" s="5" t="s">
        <v>16</v>
      </c>
      <c r="C147" s="5" t="s">
        <v>43</v>
      </c>
      <c r="D147" s="5" t="s">
        <v>18</v>
      </c>
      <c r="E147" s="5" t="s">
        <v>19</v>
      </c>
      <c r="F147" s="5">
        <v>10</v>
      </c>
      <c r="G147" s="5">
        <v>12848</v>
      </c>
      <c r="H147" s="5">
        <v>15</v>
      </c>
      <c r="I147" s="6">
        <v>46060</v>
      </c>
      <c r="J147" s="6">
        <v>46064</v>
      </c>
      <c r="K147" s="10" t="s">
        <v>29</v>
      </c>
      <c r="L147" s="21">
        <f t="shared" si="2"/>
        <v>109208</v>
      </c>
    </row>
    <row r="148" spans="1:12" ht="15" thickBot="1" x14ac:dyDescent="0.4">
      <c r="A148" s="5">
        <v>1322</v>
      </c>
      <c r="B148" s="5" t="s">
        <v>27</v>
      </c>
      <c r="C148" s="5" t="s">
        <v>12</v>
      </c>
      <c r="D148" s="5" t="s">
        <v>18</v>
      </c>
      <c r="E148" s="5" t="s">
        <v>23</v>
      </c>
      <c r="F148" s="5">
        <v>14</v>
      </c>
      <c r="G148" s="5">
        <v>9081</v>
      </c>
      <c r="H148" s="5">
        <v>15</v>
      </c>
      <c r="I148" s="6">
        <v>46141</v>
      </c>
      <c r="J148" s="6">
        <v>46146</v>
      </c>
      <c r="K148" s="10" t="s">
        <v>15</v>
      </c>
      <c r="L148" s="21">
        <f t="shared" si="2"/>
        <v>108063.9</v>
      </c>
    </row>
    <row r="149" spans="1:12" ht="15" thickBot="1" x14ac:dyDescent="0.4">
      <c r="A149" s="5">
        <v>1369</v>
      </c>
      <c r="B149" s="5" t="s">
        <v>57</v>
      </c>
      <c r="C149" s="5" t="s">
        <v>25</v>
      </c>
      <c r="D149" s="5" t="s">
        <v>18</v>
      </c>
      <c r="E149" s="5" t="s">
        <v>19</v>
      </c>
      <c r="F149" s="5">
        <v>19</v>
      </c>
      <c r="G149" s="5">
        <v>5840</v>
      </c>
      <c r="H149" s="5">
        <v>5</v>
      </c>
      <c r="I149" s="6">
        <v>46062</v>
      </c>
      <c r="J149" s="6">
        <v>46067</v>
      </c>
      <c r="K149" s="10" t="s">
        <v>15</v>
      </c>
      <c r="L149" s="21">
        <f t="shared" si="2"/>
        <v>105412</v>
      </c>
    </row>
    <row r="150" spans="1:12" ht="15" thickBot="1" x14ac:dyDescent="0.4">
      <c r="A150" s="5">
        <v>1341</v>
      </c>
      <c r="B150" s="5" t="s">
        <v>57</v>
      </c>
      <c r="C150" s="5" t="s">
        <v>38</v>
      </c>
      <c r="D150" s="5" t="s">
        <v>18</v>
      </c>
      <c r="E150" s="5" t="s">
        <v>19</v>
      </c>
      <c r="F150" s="5">
        <v>19</v>
      </c>
      <c r="G150" s="5">
        <v>6488</v>
      </c>
      <c r="H150" s="5">
        <v>15</v>
      </c>
      <c r="I150" s="6">
        <v>46026</v>
      </c>
      <c r="J150" s="6">
        <v>46030</v>
      </c>
      <c r="K150" s="10" t="s">
        <v>20</v>
      </c>
      <c r="L150" s="21">
        <f t="shared" si="2"/>
        <v>104781.2</v>
      </c>
    </row>
    <row r="151" spans="1:12" ht="15" thickBot="1" x14ac:dyDescent="0.4">
      <c r="A151" s="5">
        <v>1294</v>
      </c>
      <c r="B151" s="5" t="s">
        <v>21</v>
      </c>
      <c r="C151" s="5" t="s">
        <v>12</v>
      </c>
      <c r="D151" s="5" t="s">
        <v>18</v>
      </c>
      <c r="E151" s="5" t="s">
        <v>19</v>
      </c>
      <c r="F151" s="5">
        <v>8</v>
      </c>
      <c r="G151" s="5">
        <v>14448</v>
      </c>
      <c r="H151" s="5">
        <v>10</v>
      </c>
      <c r="I151" s="6">
        <v>46181</v>
      </c>
      <c r="J151" s="6">
        <v>46189</v>
      </c>
      <c r="K151" s="10" t="s">
        <v>15</v>
      </c>
      <c r="L151" s="21">
        <f t="shared" si="2"/>
        <v>104025.60000000001</v>
      </c>
    </row>
    <row r="152" spans="1:12" ht="15" thickBot="1" x14ac:dyDescent="0.4">
      <c r="A152" s="5">
        <v>1152</v>
      </c>
      <c r="B152" s="5" t="s">
        <v>27</v>
      </c>
      <c r="C152" s="5" t="s">
        <v>31</v>
      </c>
      <c r="D152" s="5" t="s">
        <v>34</v>
      </c>
      <c r="E152" s="5" t="s">
        <v>61</v>
      </c>
      <c r="F152" s="5">
        <v>14</v>
      </c>
      <c r="G152" s="5">
        <v>8150</v>
      </c>
      <c r="H152" s="5">
        <v>10</v>
      </c>
      <c r="I152" s="6">
        <v>46062</v>
      </c>
      <c r="J152" s="6">
        <v>46070</v>
      </c>
      <c r="K152" s="10" t="s">
        <v>15</v>
      </c>
      <c r="L152" s="21">
        <f t="shared" si="2"/>
        <v>102690</v>
      </c>
    </row>
    <row r="153" spans="1:12" ht="15" thickBot="1" x14ac:dyDescent="0.4">
      <c r="A153" s="5">
        <v>1249</v>
      </c>
      <c r="B153" s="5" t="s">
        <v>16</v>
      </c>
      <c r="C153" s="5" t="s">
        <v>25</v>
      </c>
      <c r="D153" s="5" t="s">
        <v>34</v>
      </c>
      <c r="E153" s="5" t="s">
        <v>41</v>
      </c>
      <c r="F153" s="5">
        <v>18</v>
      </c>
      <c r="G153" s="5">
        <v>6360</v>
      </c>
      <c r="H153" s="5">
        <v>12</v>
      </c>
      <c r="I153" s="6">
        <v>46163</v>
      </c>
      <c r="J153" s="6">
        <v>46165</v>
      </c>
      <c r="K153" s="10" t="s">
        <v>20</v>
      </c>
      <c r="L153" s="21">
        <f t="shared" si="2"/>
        <v>100742.39999999999</v>
      </c>
    </row>
    <row r="154" spans="1:12" ht="15" thickBot="1" x14ac:dyDescent="0.4">
      <c r="A154" s="5">
        <v>1177</v>
      </c>
      <c r="B154" s="5" t="s">
        <v>29</v>
      </c>
      <c r="C154" s="5" t="s">
        <v>22</v>
      </c>
      <c r="D154" s="5" t="s">
        <v>18</v>
      </c>
      <c r="E154" s="5" t="s">
        <v>19</v>
      </c>
      <c r="F154" s="5">
        <v>14</v>
      </c>
      <c r="G154" s="5">
        <v>7501</v>
      </c>
      <c r="H154" s="5">
        <v>7</v>
      </c>
      <c r="I154" s="6">
        <v>46169</v>
      </c>
      <c r="J154" s="6">
        <v>46179</v>
      </c>
      <c r="K154" s="10" t="s">
        <v>20</v>
      </c>
      <c r="L154" s="21">
        <f t="shared" si="2"/>
        <v>97663.01999999999</v>
      </c>
    </row>
    <row r="155" spans="1:12" ht="15" thickBot="1" x14ac:dyDescent="0.4">
      <c r="A155" s="5">
        <v>1047</v>
      </c>
      <c r="B155" s="5" t="s">
        <v>58</v>
      </c>
      <c r="C155" s="5" t="s">
        <v>38</v>
      </c>
      <c r="D155" s="5" t="s">
        <v>18</v>
      </c>
      <c r="E155" s="5" t="s">
        <v>56</v>
      </c>
      <c r="F155" s="5">
        <v>11</v>
      </c>
      <c r="G155" s="5">
        <v>9976</v>
      </c>
      <c r="H155" s="5">
        <v>12</v>
      </c>
      <c r="I155" s="6">
        <v>46200</v>
      </c>
      <c r="J155" s="6">
        <v>46209</v>
      </c>
      <c r="K155" s="10" t="s">
        <v>15</v>
      </c>
      <c r="L155" s="21">
        <f t="shared" si="2"/>
        <v>96567.680000000008</v>
      </c>
    </row>
    <row r="156" spans="1:12" ht="15" thickBot="1" x14ac:dyDescent="0.4">
      <c r="A156" s="5">
        <v>1237</v>
      </c>
      <c r="B156" s="5" t="s">
        <v>46</v>
      </c>
      <c r="C156" s="5" t="s">
        <v>38</v>
      </c>
      <c r="D156" s="5" t="s">
        <v>18</v>
      </c>
      <c r="E156" s="5" t="s">
        <v>56</v>
      </c>
      <c r="F156" s="5">
        <v>8</v>
      </c>
      <c r="G156" s="5">
        <v>12123</v>
      </c>
      <c r="H156" s="5">
        <v>2</v>
      </c>
      <c r="I156" s="6">
        <v>46137</v>
      </c>
      <c r="J156" s="6">
        <v>46145</v>
      </c>
      <c r="K156" s="10" t="s">
        <v>15</v>
      </c>
      <c r="L156" s="21">
        <f t="shared" si="2"/>
        <v>95044.319999999992</v>
      </c>
    </row>
    <row r="157" spans="1:12" ht="15" thickBot="1" x14ac:dyDescent="0.4">
      <c r="A157" s="5">
        <v>1346</v>
      </c>
      <c r="B157" s="5" t="s">
        <v>32</v>
      </c>
      <c r="C157" s="5" t="s">
        <v>22</v>
      </c>
      <c r="D157" s="5" t="s">
        <v>18</v>
      </c>
      <c r="E157" s="5" t="s">
        <v>19</v>
      </c>
      <c r="F157" s="5">
        <v>16</v>
      </c>
      <c r="G157" s="5">
        <v>6910</v>
      </c>
      <c r="H157" s="5">
        <v>15</v>
      </c>
      <c r="I157" s="6">
        <v>46140</v>
      </c>
      <c r="J157" s="6">
        <v>46142</v>
      </c>
      <c r="K157" s="10" t="s">
        <v>29</v>
      </c>
      <c r="L157" s="21">
        <f t="shared" si="2"/>
        <v>93976</v>
      </c>
    </row>
    <row r="158" spans="1:12" ht="15" thickBot="1" x14ac:dyDescent="0.4">
      <c r="A158" s="5">
        <v>1154</v>
      </c>
      <c r="B158" s="5" t="s">
        <v>32</v>
      </c>
      <c r="C158" s="5" t="s">
        <v>17</v>
      </c>
      <c r="D158" s="5" t="s">
        <v>18</v>
      </c>
      <c r="E158" s="5" t="s">
        <v>56</v>
      </c>
      <c r="F158" s="5">
        <v>15</v>
      </c>
      <c r="G158" s="5">
        <v>6101</v>
      </c>
      <c r="H158" s="5">
        <v>0</v>
      </c>
      <c r="I158" s="6">
        <v>46178</v>
      </c>
      <c r="J158" s="6">
        <v>46183</v>
      </c>
      <c r="K158" s="10" t="s">
        <v>51</v>
      </c>
      <c r="L158" s="21">
        <f t="shared" si="2"/>
        <v>91515</v>
      </c>
    </row>
    <row r="159" spans="1:12" ht="15" thickBot="1" x14ac:dyDescent="0.4">
      <c r="A159" s="5">
        <v>1189</v>
      </c>
      <c r="B159" s="5" t="s">
        <v>49</v>
      </c>
      <c r="C159" s="5" t="s">
        <v>31</v>
      </c>
      <c r="D159" s="5" t="s">
        <v>18</v>
      </c>
      <c r="E159" s="5" t="s">
        <v>56</v>
      </c>
      <c r="F159" s="5">
        <v>12</v>
      </c>
      <c r="G159" s="5">
        <v>8327</v>
      </c>
      <c r="H159" s="5">
        <v>10</v>
      </c>
      <c r="I159" s="6">
        <v>46184</v>
      </c>
      <c r="J159" s="6">
        <v>46185</v>
      </c>
      <c r="K159" s="10" t="s">
        <v>29</v>
      </c>
      <c r="L159" s="21">
        <f t="shared" si="2"/>
        <v>89931.6</v>
      </c>
    </row>
    <row r="160" spans="1:12" ht="15" thickBot="1" x14ac:dyDescent="0.4">
      <c r="A160" s="5">
        <v>1110</v>
      </c>
      <c r="B160" s="5" t="s">
        <v>49</v>
      </c>
      <c r="C160" s="5" t="s">
        <v>38</v>
      </c>
      <c r="D160" s="5" t="s">
        <v>18</v>
      </c>
      <c r="E160" s="5" t="s">
        <v>23</v>
      </c>
      <c r="F160" s="5">
        <v>14</v>
      </c>
      <c r="G160" s="5">
        <v>6793</v>
      </c>
      <c r="H160" s="5">
        <v>7</v>
      </c>
      <c r="I160" s="6">
        <v>46077</v>
      </c>
      <c r="J160" s="6">
        <v>46082</v>
      </c>
      <c r="K160" s="10" t="s">
        <v>29</v>
      </c>
      <c r="L160" s="21">
        <f t="shared" si="2"/>
        <v>88444.86</v>
      </c>
    </row>
    <row r="161" spans="1:12" ht="15" thickBot="1" x14ac:dyDescent="0.4">
      <c r="A161" s="5">
        <v>1264</v>
      </c>
      <c r="B161" s="5" t="s">
        <v>11</v>
      </c>
      <c r="C161" s="5" t="s">
        <v>22</v>
      </c>
      <c r="D161" s="5" t="s">
        <v>18</v>
      </c>
      <c r="E161" s="5" t="s">
        <v>28</v>
      </c>
      <c r="F161" s="5">
        <v>15</v>
      </c>
      <c r="G161" s="5">
        <v>6365</v>
      </c>
      <c r="H161" s="5">
        <v>10</v>
      </c>
      <c r="I161" s="6">
        <v>46200</v>
      </c>
      <c r="J161" s="6">
        <v>46206</v>
      </c>
      <c r="K161" s="10" t="s">
        <v>20</v>
      </c>
      <c r="L161" s="21">
        <f t="shared" si="2"/>
        <v>85927.5</v>
      </c>
    </row>
    <row r="162" spans="1:12" ht="15" thickBot="1" x14ac:dyDescent="0.4">
      <c r="A162" s="5">
        <v>1060</v>
      </c>
      <c r="B162" s="5" t="s">
        <v>49</v>
      </c>
      <c r="C162" s="5" t="s">
        <v>12</v>
      </c>
      <c r="D162" s="5" t="s">
        <v>18</v>
      </c>
      <c r="E162" s="5" t="s">
        <v>44</v>
      </c>
      <c r="F162" s="5">
        <v>9</v>
      </c>
      <c r="G162" s="5">
        <v>9727</v>
      </c>
      <c r="H162" s="5">
        <v>2</v>
      </c>
      <c r="I162" s="6">
        <v>46024</v>
      </c>
      <c r="J162" s="6">
        <v>46030</v>
      </c>
      <c r="K162" s="10" t="s">
        <v>20</v>
      </c>
      <c r="L162" s="21">
        <f t="shared" si="2"/>
        <v>85792.14</v>
      </c>
    </row>
    <row r="163" spans="1:12" ht="15" thickBot="1" x14ac:dyDescent="0.4">
      <c r="A163" s="5">
        <v>1331</v>
      </c>
      <c r="B163" s="5" t="s">
        <v>21</v>
      </c>
      <c r="C163" s="5" t="s">
        <v>25</v>
      </c>
      <c r="D163" s="5" t="s">
        <v>34</v>
      </c>
      <c r="E163" s="5" t="s">
        <v>61</v>
      </c>
      <c r="F163" s="5">
        <v>2</v>
      </c>
      <c r="G163" s="5">
        <v>43557</v>
      </c>
      <c r="H163" s="5">
        <v>2</v>
      </c>
      <c r="I163" s="6">
        <v>46190</v>
      </c>
      <c r="J163" s="6">
        <v>46200</v>
      </c>
      <c r="K163" s="10" t="s">
        <v>15</v>
      </c>
      <c r="L163" s="21">
        <f t="shared" si="2"/>
        <v>85371.72</v>
      </c>
    </row>
    <row r="164" spans="1:12" ht="15" thickBot="1" x14ac:dyDescent="0.4">
      <c r="A164" s="5">
        <v>1347</v>
      </c>
      <c r="B164" s="5" t="s">
        <v>29</v>
      </c>
      <c r="C164" s="5" t="s">
        <v>22</v>
      </c>
      <c r="D164" s="5" t="s">
        <v>34</v>
      </c>
      <c r="E164" s="5" t="s">
        <v>35</v>
      </c>
      <c r="F164" s="5">
        <v>16</v>
      </c>
      <c r="G164" s="5">
        <v>6034</v>
      </c>
      <c r="H164" s="5">
        <v>15</v>
      </c>
      <c r="I164" s="6">
        <v>46037</v>
      </c>
      <c r="J164" s="6">
        <v>46044</v>
      </c>
      <c r="K164" s="10" t="s">
        <v>24</v>
      </c>
      <c r="L164" s="21">
        <f t="shared" si="2"/>
        <v>82062.399999999994</v>
      </c>
    </row>
    <row r="165" spans="1:12" ht="15" thickBot="1" x14ac:dyDescent="0.4">
      <c r="A165" s="5">
        <v>1049</v>
      </c>
      <c r="B165" s="5" t="s">
        <v>52</v>
      </c>
      <c r="C165" s="5" t="s">
        <v>25</v>
      </c>
      <c r="D165" s="5" t="s">
        <v>34</v>
      </c>
      <c r="E165" s="5" t="s">
        <v>45</v>
      </c>
      <c r="F165" s="5">
        <v>2</v>
      </c>
      <c r="G165" s="5">
        <v>40789</v>
      </c>
      <c r="H165" s="5">
        <v>0</v>
      </c>
      <c r="I165" s="6">
        <v>46102</v>
      </c>
      <c r="J165" s="6">
        <v>46108</v>
      </c>
      <c r="K165" s="10" t="s">
        <v>24</v>
      </c>
      <c r="L165" s="21">
        <f t="shared" si="2"/>
        <v>81578</v>
      </c>
    </row>
    <row r="166" spans="1:12" ht="15" thickBot="1" x14ac:dyDescent="0.4">
      <c r="A166" s="5">
        <v>1103</v>
      </c>
      <c r="B166" s="5" t="s">
        <v>16</v>
      </c>
      <c r="C166" s="5" t="s">
        <v>12</v>
      </c>
      <c r="D166" s="5" t="s">
        <v>18</v>
      </c>
      <c r="E166" s="5" t="s">
        <v>23</v>
      </c>
      <c r="F166" s="5">
        <v>7</v>
      </c>
      <c r="G166" s="5">
        <v>11925</v>
      </c>
      <c r="H166" s="5">
        <v>5</v>
      </c>
      <c r="I166" s="6">
        <v>46040</v>
      </c>
      <c r="J166" s="6">
        <v>46041</v>
      </c>
      <c r="K166" s="10" t="s">
        <v>29</v>
      </c>
      <c r="L166" s="21">
        <f t="shared" si="2"/>
        <v>79301.25</v>
      </c>
    </row>
    <row r="167" spans="1:12" ht="15" thickBot="1" x14ac:dyDescent="0.4">
      <c r="A167" s="5">
        <v>1269</v>
      </c>
      <c r="B167" s="5" t="s">
        <v>52</v>
      </c>
      <c r="C167" s="5" t="s">
        <v>43</v>
      </c>
      <c r="D167" s="5" t="s">
        <v>18</v>
      </c>
      <c r="E167" s="5" t="s">
        <v>19</v>
      </c>
      <c r="F167" s="5">
        <v>14</v>
      </c>
      <c r="G167" s="5">
        <v>5704</v>
      </c>
      <c r="H167" s="5">
        <v>2</v>
      </c>
      <c r="I167" s="6">
        <v>46129</v>
      </c>
      <c r="J167" s="6">
        <v>46131</v>
      </c>
      <c r="K167" s="10" t="s">
        <v>15</v>
      </c>
      <c r="L167" s="21">
        <f t="shared" si="2"/>
        <v>78258.880000000005</v>
      </c>
    </row>
    <row r="168" spans="1:12" ht="15" thickBot="1" x14ac:dyDescent="0.4">
      <c r="A168" s="5">
        <v>1372</v>
      </c>
      <c r="B168" s="5" t="s">
        <v>48</v>
      </c>
      <c r="C168" s="5" t="s">
        <v>17</v>
      </c>
      <c r="D168" s="5" t="s">
        <v>34</v>
      </c>
      <c r="E168" s="5" t="s">
        <v>39</v>
      </c>
      <c r="F168" s="5">
        <v>9</v>
      </c>
      <c r="G168" s="5">
        <v>9551</v>
      </c>
      <c r="H168" s="5">
        <v>10</v>
      </c>
      <c r="I168" s="6">
        <v>46161</v>
      </c>
      <c r="J168" s="6">
        <v>46168</v>
      </c>
      <c r="K168" s="10" t="s">
        <v>15</v>
      </c>
      <c r="L168" s="21">
        <f t="shared" si="2"/>
        <v>77363.100000000006</v>
      </c>
    </row>
    <row r="169" spans="1:12" ht="15" thickBot="1" x14ac:dyDescent="0.4">
      <c r="A169" s="5">
        <v>1278</v>
      </c>
      <c r="B169" s="5" t="s">
        <v>47</v>
      </c>
      <c r="C169" s="5" t="s">
        <v>22</v>
      </c>
      <c r="D169" s="5" t="s">
        <v>34</v>
      </c>
      <c r="E169" s="5" t="s">
        <v>61</v>
      </c>
      <c r="F169" s="5">
        <v>4</v>
      </c>
      <c r="G169" s="5">
        <v>20639</v>
      </c>
      <c r="H169" s="5">
        <v>7</v>
      </c>
      <c r="I169" s="6">
        <v>46180</v>
      </c>
      <c r="J169" s="6">
        <v>46186</v>
      </c>
      <c r="K169" s="10" t="s">
        <v>20</v>
      </c>
      <c r="L169" s="21">
        <f t="shared" si="2"/>
        <v>76777.08</v>
      </c>
    </row>
    <row r="170" spans="1:12" ht="15" thickBot="1" x14ac:dyDescent="0.4">
      <c r="A170" s="5">
        <v>1034</v>
      </c>
      <c r="B170" s="5" t="s">
        <v>55</v>
      </c>
      <c r="C170" s="5" t="s">
        <v>33</v>
      </c>
      <c r="D170" s="5" t="s">
        <v>18</v>
      </c>
      <c r="E170" s="5" t="s">
        <v>28</v>
      </c>
      <c r="F170" s="5">
        <v>17</v>
      </c>
      <c r="G170" s="5">
        <v>5104</v>
      </c>
      <c r="H170" s="5">
        <v>12</v>
      </c>
      <c r="I170" s="6">
        <v>46052</v>
      </c>
      <c r="J170" s="6">
        <v>46061</v>
      </c>
      <c r="K170" s="10" t="s">
        <v>51</v>
      </c>
      <c r="L170" s="21">
        <f t="shared" si="2"/>
        <v>76355.839999999997</v>
      </c>
    </row>
    <row r="171" spans="1:12" ht="15" thickBot="1" x14ac:dyDescent="0.4">
      <c r="A171" s="5">
        <v>1037</v>
      </c>
      <c r="B171" s="5" t="s">
        <v>46</v>
      </c>
      <c r="C171" s="5" t="s">
        <v>43</v>
      </c>
      <c r="D171" s="5" t="s">
        <v>18</v>
      </c>
      <c r="E171" s="5" t="s">
        <v>56</v>
      </c>
      <c r="F171" s="5">
        <v>6</v>
      </c>
      <c r="G171" s="5">
        <v>14385</v>
      </c>
      <c r="H171" s="5">
        <v>12</v>
      </c>
      <c r="I171" s="6">
        <v>46033</v>
      </c>
      <c r="J171" s="6">
        <v>46043</v>
      </c>
      <c r="K171" s="10" t="s">
        <v>24</v>
      </c>
      <c r="L171" s="21">
        <f t="shared" si="2"/>
        <v>75952.800000000003</v>
      </c>
    </row>
    <row r="172" spans="1:12" ht="15" thickBot="1" x14ac:dyDescent="0.4">
      <c r="A172" s="5">
        <v>1113</v>
      </c>
      <c r="B172" s="5" t="s">
        <v>26</v>
      </c>
      <c r="C172" s="5" t="s">
        <v>43</v>
      </c>
      <c r="D172" s="5" t="s">
        <v>18</v>
      </c>
      <c r="E172" s="5" t="s">
        <v>56</v>
      </c>
      <c r="F172" s="5">
        <v>13</v>
      </c>
      <c r="G172" s="5">
        <v>6719</v>
      </c>
      <c r="H172" s="5">
        <v>15</v>
      </c>
      <c r="I172" s="6">
        <v>46076</v>
      </c>
      <c r="J172" s="6">
        <v>46081</v>
      </c>
      <c r="K172" s="10" t="s">
        <v>24</v>
      </c>
      <c r="L172" s="21">
        <f t="shared" si="2"/>
        <v>74244.95</v>
      </c>
    </row>
    <row r="173" spans="1:12" ht="15" thickBot="1" x14ac:dyDescent="0.4">
      <c r="A173" s="5">
        <v>1040</v>
      </c>
      <c r="B173" s="5" t="s">
        <v>49</v>
      </c>
      <c r="C173" s="5" t="s">
        <v>38</v>
      </c>
      <c r="D173" s="5" t="s">
        <v>18</v>
      </c>
      <c r="E173" s="5" t="s">
        <v>28</v>
      </c>
      <c r="F173" s="5">
        <v>10</v>
      </c>
      <c r="G173" s="5">
        <v>7531</v>
      </c>
      <c r="H173" s="5">
        <v>2</v>
      </c>
      <c r="I173" s="6">
        <v>46171</v>
      </c>
      <c r="J173" s="6">
        <v>46178</v>
      </c>
      <c r="K173" s="10" t="s">
        <v>24</v>
      </c>
      <c r="L173" s="21">
        <f t="shared" si="2"/>
        <v>73803.8</v>
      </c>
    </row>
    <row r="174" spans="1:12" ht="15" thickBot="1" x14ac:dyDescent="0.4">
      <c r="A174" s="5">
        <v>1229</v>
      </c>
      <c r="B174" s="5" t="s">
        <v>57</v>
      </c>
      <c r="C174" s="5" t="s">
        <v>12</v>
      </c>
      <c r="D174" s="5" t="s">
        <v>18</v>
      </c>
      <c r="E174" s="5" t="s">
        <v>56</v>
      </c>
      <c r="F174" s="5">
        <v>14</v>
      </c>
      <c r="G174" s="5">
        <v>5859</v>
      </c>
      <c r="H174" s="5">
        <v>12</v>
      </c>
      <c r="I174" s="6">
        <v>46027</v>
      </c>
      <c r="J174" s="6">
        <v>46036</v>
      </c>
      <c r="K174" s="10" t="s">
        <v>20</v>
      </c>
      <c r="L174" s="21">
        <f t="shared" si="2"/>
        <v>72182.880000000005</v>
      </c>
    </row>
    <row r="175" spans="1:12" ht="15" thickBot="1" x14ac:dyDescent="0.4">
      <c r="A175" s="5">
        <v>1138</v>
      </c>
      <c r="B175" s="5" t="s">
        <v>55</v>
      </c>
      <c r="C175" s="5" t="s">
        <v>43</v>
      </c>
      <c r="D175" s="5" t="s">
        <v>18</v>
      </c>
      <c r="E175" s="5" t="s">
        <v>19</v>
      </c>
      <c r="F175" s="5">
        <v>5</v>
      </c>
      <c r="G175" s="5">
        <v>14466</v>
      </c>
      <c r="H175" s="5">
        <v>2</v>
      </c>
      <c r="I175" s="6">
        <v>46084</v>
      </c>
      <c r="J175" s="6">
        <v>46092</v>
      </c>
      <c r="K175" s="10" t="s">
        <v>51</v>
      </c>
      <c r="L175" s="21">
        <f t="shared" si="2"/>
        <v>70883.399999999994</v>
      </c>
    </row>
    <row r="176" spans="1:12" ht="15" thickBot="1" x14ac:dyDescent="0.4">
      <c r="A176" s="5">
        <v>1191</v>
      </c>
      <c r="B176" s="5" t="s">
        <v>52</v>
      </c>
      <c r="C176" s="5" t="s">
        <v>33</v>
      </c>
      <c r="D176" s="5" t="s">
        <v>18</v>
      </c>
      <c r="E176" s="5" t="s">
        <v>56</v>
      </c>
      <c r="F176" s="5">
        <v>9</v>
      </c>
      <c r="G176" s="5">
        <v>8631</v>
      </c>
      <c r="H176" s="5">
        <v>10</v>
      </c>
      <c r="I176" s="6">
        <v>46149</v>
      </c>
      <c r="J176" s="6">
        <v>46156</v>
      </c>
      <c r="K176" s="10" t="s">
        <v>20</v>
      </c>
      <c r="L176" s="21">
        <f t="shared" si="2"/>
        <v>69911.100000000006</v>
      </c>
    </row>
    <row r="177" spans="1:12" ht="15" thickBot="1" x14ac:dyDescent="0.4">
      <c r="A177" s="5">
        <v>1390</v>
      </c>
      <c r="B177" s="5" t="s">
        <v>58</v>
      </c>
      <c r="C177" s="5" t="s">
        <v>43</v>
      </c>
      <c r="D177" s="5" t="s">
        <v>18</v>
      </c>
      <c r="E177" s="5" t="s">
        <v>19</v>
      </c>
      <c r="F177" s="5">
        <v>9</v>
      </c>
      <c r="G177" s="5">
        <v>7670</v>
      </c>
      <c r="H177" s="5">
        <v>0</v>
      </c>
      <c r="I177" s="6">
        <v>46076</v>
      </c>
      <c r="J177" s="6">
        <v>46081</v>
      </c>
      <c r="K177" s="10" t="s">
        <v>51</v>
      </c>
      <c r="L177" s="21">
        <f t="shared" si="2"/>
        <v>69030</v>
      </c>
    </row>
    <row r="178" spans="1:12" ht="15" thickBot="1" x14ac:dyDescent="0.4">
      <c r="A178" s="5">
        <v>1054</v>
      </c>
      <c r="B178" s="5" t="s">
        <v>26</v>
      </c>
      <c r="C178" s="5" t="s">
        <v>25</v>
      </c>
      <c r="D178" s="5" t="s">
        <v>18</v>
      </c>
      <c r="E178" s="5" t="s">
        <v>23</v>
      </c>
      <c r="F178" s="5">
        <v>8</v>
      </c>
      <c r="G178" s="5">
        <v>9798</v>
      </c>
      <c r="H178" s="5">
        <v>12</v>
      </c>
      <c r="I178" s="6">
        <v>46200</v>
      </c>
      <c r="J178" s="6">
        <v>46201</v>
      </c>
      <c r="K178" s="10" t="s">
        <v>51</v>
      </c>
      <c r="L178" s="21">
        <f t="shared" si="2"/>
        <v>68977.919999999998</v>
      </c>
    </row>
    <row r="179" spans="1:12" ht="15" thickBot="1" x14ac:dyDescent="0.4">
      <c r="A179" s="5">
        <v>1299</v>
      </c>
      <c r="B179" s="5" t="s">
        <v>26</v>
      </c>
      <c r="C179" s="5" t="s">
        <v>17</v>
      </c>
      <c r="D179" s="5" t="s">
        <v>18</v>
      </c>
      <c r="E179" s="5" t="s">
        <v>56</v>
      </c>
      <c r="F179" s="5">
        <v>8</v>
      </c>
      <c r="G179" s="5">
        <v>8783</v>
      </c>
      <c r="H179" s="5">
        <v>2</v>
      </c>
      <c r="I179" s="6">
        <v>46123</v>
      </c>
      <c r="J179" s="6">
        <v>46132</v>
      </c>
      <c r="K179" s="10" t="s">
        <v>15</v>
      </c>
      <c r="L179" s="21">
        <f t="shared" si="2"/>
        <v>68858.720000000001</v>
      </c>
    </row>
    <row r="180" spans="1:12" ht="15" thickBot="1" x14ac:dyDescent="0.4">
      <c r="A180" s="5">
        <v>1293</v>
      </c>
      <c r="B180" s="5" t="s">
        <v>49</v>
      </c>
      <c r="C180" s="5" t="s">
        <v>43</v>
      </c>
      <c r="D180" s="5" t="s">
        <v>18</v>
      </c>
      <c r="E180" s="5" t="s">
        <v>23</v>
      </c>
      <c r="F180" s="5">
        <v>7</v>
      </c>
      <c r="G180" s="5">
        <v>11481</v>
      </c>
      <c r="H180" s="5">
        <v>15</v>
      </c>
      <c r="I180" s="6">
        <v>46045</v>
      </c>
      <c r="J180" s="6">
        <v>46050</v>
      </c>
      <c r="K180" s="10" t="s">
        <v>20</v>
      </c>
      <c r="L180" s="21">
        <f t="shared" si="2"/>
        <v>68311.95</v>
      </c>
    </row>
    <row r="181" spans="1:12" ht="15" thickBot="1" x14ac:dyDescent="0.4">
      <c r="A181" s="5">
        <v>1303</v>
      </c>
      <c r="B181" s="5" t="s">
        <v>57</v>
      </c>
      <c r="C181" s="5" t="s">
        <v>38</v>
      </c>
      <c r="D181" s="5" t="s">
        <v>34</v>
      </c>
      <c r="E181" s="5" t="s">
        <v>35</v>
      </c>
      <c r="F181" s="5">
        <v>13</v>
      </c>
      <c r="G181" s="5">
        <v>5170</v>
      </c>
      <c r="H181" s="5">
        <v>2</v>
      </c>
      <c r="I181" s="6">
        <v>46124</v>
      </c>
      <c r="J181" s="6">
        <v>46127</v>
      </c>
      <c r="K181" s="10" t="s">
        <v>15</v>
      </c>
      <c r="L181" s="21">
        <f t="shared" si="2"/>
        <v>65865.8</v>
      </c>
    </row>
    <row r="182" spans="1:12" ht="15" thickBot="1" x14ac:dyDescent="0.4">
      <c r="A182" s="5">
        <v>1062</v>
      </c>
      <c r="B182" s="5" t="s">
        <v>40</v>
      </c>
      <c r="C182" s="5" t="s">
        <v>43</v>
      </c>
      <c r="D182" s="5" t="s">
        <v>18</v>
      </c>
      <c r="E182" s="5" t="s">
        <v>23</v>
      </c>
      <c r="F182" s="5">
        <v>8</v>
      </c>
      <c r="G182" s="5">
        <v>8360</v>
      </c>
      <c r="H182" s="5">
        <v>2</v>
      </c>
      <c r="I182" s="6">
        <v>46190</v>
      </c>
      <c r="J182" s="6">
        <v>46200</v>
      </c>
      <c r="K182" s="10" t="s">
        <v>51</v>
      </c>
      <c r="L182" s="21">
        <f t="shared" si="2"/>
        <v>65542.399999999994</v>
      </c>
    </row>
    <row r="183" spans="1:12" ht="15" thickBot="1" x14ac:dyDescent="0.4">
      <c r="A183" s="5">
        <v>1302</v>
      </c>
      <c r="B183" s="5" t="s">
        <v>57</v>
      </c>
      <c r="C183" s="5" t="s">
        <v>12</v>
      </c>
      <c r="D183" s="5" t="s">
        <v>34</v>
      </c>
      <c r="E183" s="5" t="s">
        <v>35</v>
      </c>
      <c r="F183" s="5">
        <v>9</v>
      </c>
      <c r="G183" s="5">
        <v>8500</v>
      </c>
      <c r="H183" s="5">
        <v>15</v>
      </c>
      <c r="I183" s="6">
        <v>46163</v>
      </c>
      <c r="J183" s="6">
        <v>46172</v>
      </c>
      <c r="K183" s="10" t="s">
        <v>24</v>
      </c>
      <c r="L183" s="21">
        <f t="shared" si="2"/>
        <v>65025</v>
      </c>
    </row>
    <row r="184" spans="1:12" ht="15" thickBot="1" x14ac:dyDescent="0.4">
      <c r="A184" s="5">
        <v>1386</v>
      </c>
      <c r="B184" s="5" t="s">
        <v>27</v>
      </c>
      <c r="C184" s="5" t="s">
        <v>31</v>
      </c>
      <c r="D184" s="5" t="s">
        <v>18</v>
      </c>
      <c r="E184" s="5" t="s">
        <v>28</v>
      </c>
      <c r="F184" s="5">
        <v>9</v>
      </c>
      <c r="G184" s="5">
        <v>7509</v>
      </c>
      <c r="H184" s="5">
        <v>5</v>
      </c>
      <c r="I184" s="6">
        <v>46162</v>
      </c>
      <c r="J184" s="6">
        <v>46171</v>
      </c>
      <c r="K184" s="10" t="s">
        <v>51</v>
      </c>
      <c r="L184" s="21">
        <f t="shared" si="2"/>
        <v>64201.95</v>
      </c>
    </row>
    <row r="185" spans="1:12" ht="15" thickBot="1" x14ac:dyDescent="0.4">
      <c r="A185" s="5">
        <v>1312</v>
      </c>
      <c r="B185" s="5" t="s">
        <v>57</v>
      </c>
      <c r="C185" s="5" t="s">
        <v>22</v>
      </c>
      <c r="D185" s="5" t="s">
        <v>18</v>
      </c>
      <c r="E185" s="5" t="s">
        <v>56</v>
      </c>
      <c r="F185" s="5">
        <v>20</v>
      </c>
      <c r="G185" s="5">
        <v>3274</v>
      </c>
      <c r="H185" s="5">
        <v>2</v>
      </c>
      <c r="I185" s="6">
        <v>46148</v>
      </c>
      <c r="J185" s="6">
        <v>46156</v>
      </c>
      <c r="K185" s="10" t="s">
        <v>24</v>
      </c>
      <c r="L185" s="21">
        <f t="shared" si="2"/>
        <v>64170.400000000001</v>
      </c>
    </row>
    <row r="186" spans="1:12" ht="15" thickBot="1" x14ac:dyDescent="0.4">
      <c r="A186" s="5">
        <v>1316</v>
      </c>
      <c r="B186" s="5" t="s">
        <v>46</v>
      </c>
      <c r="C186" s="5" t="s">
        <v>12</v>
      </c>
      <c r="D186" s="5" t="s">
        <v>18</v>
      </c>
      <c r="E186" s="5" t="s">
        <v>28</v>
      </c>
      <c r="F186" s="5">
        <v>7</v>
      </c>
      <c r="G186" s="5">
        <v>9838</v>
      </c>
      <c r="H186" s="5">
        <v>7</v>
      </c>
      <c r="I186" s="6">
        <v>46078</v>
      </c>
      <c r="J186" s="6">
        <v>46085</v>
      </c>
      <c r="K186" s="10" t="s">
        <v>20</v>
      </c>
      <c r="L186" s="21">
        <f t="shared" si="2"/>
        <v>64045.38</v>
      </c>
    </row>
    <row r="187" spans="1:12" ht="15" thickBot="1" x14ac:dyDescent="0.4">
      <c r="A187" s="5">
        <v>1147</v>
      </c>
      <c r="B187" s="5" t="s">
        <v>11</v>
      </c>
      <c r="C187" s="5" t="s">
        <v>22</v>
      </c>
      <c r="D187" s="5" t="s">
        <v>18</v>
      </c>
      <c r="E187" s="5" t="s">
        <v>28</v>
      </c>
      <c r="F187" s="5">
        <v>7</v>
      </c>
      <c r="G187" s="5">
        <v>9581</v>
      </c>
      <c r="H187" s="5">
        <v>5</v>
      </c>
      <c r="I187" s="6">
        <v>46154</v>
      </c>
      <c r="J187" s="6">
        <v>46155</v>
      </c>
      <c r="K187" s="10" t="s">
        <v>20</v>
      </c>
      <c r="L187" s="21">
        <f t="shared" si="2"/>
        <v>63713.649999999994</v>
      </c>
    </row>
    <row r="188" spans="1:12" ht="15" thickBot="1" x14ac:dyDescent="0.4">
      <c r="A188" s="5">
        <v>1314</v>
      </c>
      <c r="B188" s="5" t="s">
        <v>52</v>
      </c>
      <c r="C188" s="5" t="s">
        <v>33</v>
      </c>
      <c r="D188" s="5" t="s">
        <v>18</v>
      </c>
      <c r="E188" s="5" t="s">
        <v>19</v>
      </c>
      <c r="F188" s="5">
        <v>10</v>
      </c>
      <c r="G188" s="5">
        <v>6328</v>
      </c>
      <c r="H188" s="5">
        <v>2</v>
      </c>
      <c r="I188" s="6">
        <v>46196</v>
      </c>
      <c r="J188" s="6">
        <v>46197</v>
      </c>
      <c r="K188" s="10" t="s">
        <v>29</v>
      </c>
      <c r="L188" s="21">
        <f t="shared" si="2"/>
        <v>62014.400000000001</v>
      </c>
    </row>
    <row r="189" spans="1:12" ht="15" thickBot="1" x14ac:dyDescent="0.4">
      <c r="A189" s="5">
        <v>1179</v>
      </c>
      <c r="B189" s="5" t="s">
        <v>47</v>
      </c>
      <c r="C189" s="5" t="s">
        <v>17</v>
      </c>
      <c r="D189" s="5" t="s">
        <v>34</v>
      </c>
      <c r="E189" s="5" t="s">
        <v>39</v>
      </c>
      <c r="F189" s="5">
        <v>6</v>
      </c>
      <c r="G189" s="5">
        <v>10400</v>
      </c>
      <c r="H189" s="5">
        <v>2</v>
      </c>
      <c r="I189" s="6">
        <v>46155</v>
      </c>
      <c r="J189" s="6">
        <v>46158</v>
      </c>
      <c r="K189" s="10" t="s">
        <v>15</v>
      </c>
      <c r="L189" s="21">
        <f t="shared" si="2"/>
        <v>61152</v>
      </c>
    </row>
    <row r="190" spans="1:12" ht="15" thickBot="1" x14ac:dyDescent="0.4">
      <c r="A190" s="5">
        <v>1145</v>
      </c>
      <c r="B190" s="5" t="s">
        <v>42</v>
      </c>
      <c r="C190" s="5" t="s">
        <v>33</v>
      </c>
      <c r="D190" s="5" t="s">
        <v>34</v>
      </c>
      <c r="E190" s="5" t="s">
        <v>39</v>
      </c>
      <c r="F190" s="5">
        <v>2</v>
      </c>
      <c r="G190" s="5">
        <v>34429</v>
      </c>
      <c r="H190" s="5">
        <v>12</v>
      </c>
      <c r="I190" s="6">
        <v>46102</v>
      </c>
      <c r="J190" s="6">
        <v>46112</v>
      </c>
      <c r="K190" s="10" t="s">
        <v>24</v>
      </c>
      <c r="L190" s="21">
        <f t="shared" si="2"/>
        <v>60595.040000000001</v>
      </c>
    </row>
    <row r="191" spans="1:12" ht="15" thickBot="1" x14ac:dyDescent="0.4">
      <c r="A191" s="5">
        <v>1196</v>
      </c>
      <c r="B191" s="5" t="s">
        <v>48</v>
      </c>
      <c r="C191" s="5" t="s">
        <v>22</v>
      </c>
      <c r="D191" s="5" t="s">
        <v>34</v>
      </c>
      <c r="E191" s="5" t="s">
        <v>35</v>
      </c>
      <c r="F191" s="5">
        <v>20</v>
      </c>
      <c r="G191" s="5">
        <v>3172</v>
      </c>
      <c r="H191" s="5">
        <v>5</v>
      </c>
      <c r="I191" s="6">
        <v>46155</v>
      </c>
      <c r="J191" s="6">
        <v>46159</v>
      </c>
      <c r="K191" s="10" t="s">
        <v>20</v>
      </c>
      <c r="L191" s="21">
        <f t="shared" si="2"/>
        <v>60268</v>
      </c>
    </row>
    <row r="192" spans="1:12" ht="15" thickBot="1" x14ac:dyDescent="0.4">
      <c r="A192" s="5">
        <v>1313</v>
      </c>
      <c r="B192" s="5" t="s">
        <v>59</v>
      </c>
      <c r="C192" s="5" t="s">
        <v>22</v>
      </c>
      <c r="D192" s="5" t="s">
        <v>18</v>
      </c>
      <c r="E192" s="5" t="s">
        <v>56</v>
      </c>
      <c r="F192" s="5">
        <v>6</v>
      </c>
      <c r="G192" s="5">
        <v>10864</v>
      </c>
      <c r="H192" s="5">
        <v>10</v>
      </c>
      <c r="I192" s="6">
        <v>46041</v>
      </c>
      <c r="J192" s="6">
        <v>46049</v>
      </c>
      <c r="K192" s="10" t="s">
        <v>15</v>
      </c>
      <c r="L192" s="21">
        <f t="shared" si="2"/>
        <v>58665.599999999999</v>
      </c>
    </row>
    <row r="193" spans="1:12" ht="15" thickBot="1" x14ac:dyDescent="0.4">
      <c r="A193" s="5">
        <v>1188</v>
      </c>
      <c r="B193" s="5" t="s">
        <v>29</v>
      </c>
      <c r="C193" s="5" t="s">
        <v>22</v>
      </c>
      <c r="D193" s="5" t="s">
        <v>18</v>
      </c>
      <c r="E193" s="5" t="s">
        <v>56</v>
      </c>
      <c r="F193" s="5">
        <v>6</v>
      </c>
      <c r="G193" s="5">
        <v>10368</v>
      </c>
      <c r="H193" s="5">
        <v>7</v>
      </c>
      <c r="I193" s="6">
        <v>46137</v>
      </c>
      <c r="J193" s="6">
        <v>46142</v>
      </c>
      <c r="K193" s="10" t="s">
        <v>15</v>
      </c>
      <c r="L193" s="21">
        <f t="shared" si="2"/>
        <v>57853.439999999995</v>
      </c>
    </row>
    <row r="194" spans="1:12" ht="15" thickBot="1" x14ac:dyDescent="0.4">
      <c r="A194" s="5">
        <v>1044</v>
      </c>
      <c r="B194" s="5" t="s">
        <v>48</v>
      </c>
      <c r="C194" s="5" t="s">
        <v>38</v>
      </c>
      <c r="D194" s="5" t="s">
        <v>18</v>
      </c>
      <c r="E194" s="5" t="s">
        <v>19</v>
      </c>
      <c r="F194" s="5">
        <v>4</v>
      </c>
      <c r="G194" s="5">
        <v>14731</v>
      </c>
      <c r="H194" s="5">
        <v>2</v>
      </c>
      <c r="I194" s="6">
        <v>46173</v>
      </c>
      <c r="J194" s="6">
        <v>46176</v>
      </c>
      <c r="K194" s="10" t="s">
        <v>20</v>
      </c>
      <c r="L194" s="21">
        <f t="shared" ref="L194:L257" si="3">F194*G194*(1-H194/100)</f>
        <v>57745.52</v>
      </c>
    </row>
    <row r="195" spans="1:12" ht="15" thickBot="1" x14ac:dyDescent="0.4">
      <c r="A195" s="5">
        <v>1323</v>
      </c>
      <c r="B195" s="5" t="s">
        <v>57</v>
      </c>
      <c r="C195" s="5" t="s">
        <v>38</v>
      </c>
      <c r="D195" s="5" t="s">
        <v>34</v>
      </c>
      <c r="E195" s="5" t="s">
        <v>61</v>
      </c>
      <c r="F195" s="5">
        <v>2</v>
      </c>
      <c r="G195" s="5">
        <v>32074</v>
      </c>
      <c r="H195" s="5">
        <v>10</v>
      </c>
      <c r="I195" s="6">
        <v>46073</v>
      </c>
      <c r="J195" s="6">
        <v>46078</v>
      </c>
      <c r="K195" s="10" t="s">
        <v>15</v>
      </c>
      <c r="L195" s="21">
        <f t="shared" si="3"/>
        <v>57733.200000000004</v>
      </c>
    </row>
    <row r="196" spans="1:12" ht="15" thickBot="1" x14ac:dyDescent="0.4">
      <c r="A196" s="5">
        <v>1336</v>
      </c>
      <c r="B196" s="5" t="s">
        <v>16</v>
      </c>
      <c r="C196" s="5" t="s">
        <v>25</v>
      </c>
      <c r="D196" s="5" t="s">
        <v>18</v>
      </c>
      <c r="E196" s="5" t="s">
        <v>56</v>
      </c>
      <c r="F196" s="5">
        <v>10</v>
      </c>
      <c r="G196" s="5">
        <v>5624</v>
      </c>
      <c r="H196" s="5">
        <v>0</v>
      </c>
      <c r="I196" s="6">
        <v>46086</v>
      </c>
      <c r="J196" s="6">
        <v>46092</v>
      </c>
      <c r="K196" s="10" t="s">
        <v>29</v>
      </c>
      <c r="L196" s="21">
        <f t="shared" si="3"/>
        <v>56240</v>
      </c>
    </row>
    <row r="197" spans="1:12" ht="15" thickBot="1" x14ac:dyDescent="0.4">
      <c r="A197" s="5">
        <v>1107</v>
      </c>
      <c r="B197" s="5" t="s">
        <v>52</v>
      </c>
      <c r="C197" s="5" t="s">
        <v>17</v>
      </c>
      <c r="D197" s="5" t="s">
        <v>34</v>
      </c>
      <c r="E197" s="5" t="s">
        <v>60</v>
      </c>
      <c r="F197" s="5">
        <v>4</v>
      </c>
      <c r="G197" s="5">
        <v>14291</v>
      </c>
      <c r="H197" s="5">
        <v>2</v>
      </c>
      <c r="I197" s="6">
        <v>46076</v>
      </c>
      <c r="J197" s="6">
        <v>46078</v>
      </c>
      <c r="K197" s="10" t="s">
        <v>15</v>
      </c>
      <c r="L197" s="21">
        <f t="shared" si="3"/>
        <v>56020.72</v>
      </c>
    </row>
    <row r="198" spans="1:12" ht="15" thickBot="1" x14ac:dyDescent="0.4">
      <c r="A198" s="5">
        <v>1244</v>
      </c>
      <c r="B198" s="5" t="s">
        <v>57</v>
      </c>
      <c r="C198" s="5" t="s">
        <v>38</v>
      </c>
      <c r="D198" s="5" t="s">
        <v>18</v>
      </c>
      <c r="E198" s="5" t="s">
        <v>28</v>
      </c>
      <c r="F198" s="5">
        <v>10</v>
      </c>
      <c r="G198" s="5">
        <v>6339</v>
      </c>
      <c r="H198" s="5">
        <v>12</v>
      </c>
      <c r="I198" s="6">
        <v>46200</v>
      </c>
      <c r="J198" s="6">
        <v>46205</v>
      </c>
      <c r="K198" s="10" t="s">
        <v>15</v>
      </c>
      <c r="L198" s="21">
        <f t="shared" si="3"/>
        <v>55783.199999999997</v>
      </c>
    </row>
    <row r="199" spans="1:12" ht="15" thickBot="1" x14ac:dyDescent="0.4">
      <c r="A199" s="5">
        <v>1133</v>
      </c>
      <c r="B199" s="5" t="s">
        <v>11</v>
      </c>
      <c r="C199" s="5" t="s">
        <v>12</v>
      </c>
      <c r="D199" s="5" t="s">
        <v>18</v>
      </c>
      <c r="E199" s="5" t="s">
        <v>56</v>
      </c>
      <c r="F199" s="5">
        <v>6</v>
      </c>
      <c r="G199" s="5">
        <v>9037</v>
      </c>
      <c r="H199" s="5">
        <v>2</v>
      </c>
      <c r="I199" s="6">
        <v>46112</v>
      </c>
      <c r="J199" s="6">
        <v>46121</v>
      </c>
      <c r="K199" s="10" t="s">
        <v>51</v>
      </c>
      <c r="L199" s="21">
        <f t="shared" si="3"/>
        <v>53137.56</v>
      </c>
    </row>
    <row r="200" spans="1:12" ht="15" thickBot="1" x14ac:dyDescent="0.4">
      <c r="A200" s="5">
        <v>1046</v>
      </c>
      <c r="B200" s="5" t="s">
        <v>57</v>
      </c>
      <c r="C200" s="5" t="s">
        <v>38</v>
      </c>
      <c r="D200" s="5" t="s">
        <v>34</v>
      </c>
      <c r="E200" s="5" t="s">
        <v>45</v>
      </c>
      <c r="F200" s="5">
        <v>3</v>
      </c>
      <c r="G200" s="5">
        <v>19443</v>
      </c>
      <c r="H200" s="5">
        <v>10</v>
      </c>
      <c r="I200" s="6">
        <v>46153</v>
      </c>
      <c r="J200" s="6">
        <v>46158</v>
      </c>
      <c r="K200" s="10" t="s">
        <v>29</v>
      </c>
      <c r="L200" s="21">
        <f t="shared" si="3"/>
        <v>52496.1</v>
      </c>
    </row>
    <row r="201" spans="1:12" ht="15" thickBot="1" x14ac:dyDescent="0.4">
      <c r="A201" s="5">
        <v>1002</v>
      </c>
      <c r="B201" s="5" t="s">
        <v>16</v>
      </c>
      <c r="C201" s="5" t="s">
        <v>17</v>
      </c>
      <c r="D201" s="5" t="s">
        <v>18</v>
      </c>
      <c r="E201" s="5" t="s">
        <v>19</v>
      </c>
      <c r="F201" s="5">
        <v>7</v>
      </c>
      <c r="G201" s="5">
        <v>8448</v>
      </c>
      <c r="H201" s="5">
        <v>12</v>
      </c>
      <c r="I201" s="6">
        <v>46174</v>
      </c>
      <c r="J201" s="6">
        <v>46179</v>
      </c>
      <c r="K201" s="10" t="s">
        <v>20</v>
      </c>
      <c r="L201" s="21">
        <f t="shared" si="3"/>
        <v>52039.68</v>
      </c>
    </row>
    <row r="202" spans="1:12" ht="15" thickBot="1" x14ac:dyDescent="0.4">
      <c r="A202" s="5">
        <v>1023</v>
      </c>
      <c r="B202" s="5" t="s">
        <v>40</v>
      </c>
      <c r="C202" s="5" t="s">
        <v>12</v>
      </c>
      <c r="D202" s="5" t="s">
        <v>18</v>
      </c>
      <c r="E202" s="5" t="s">
        <v>44</v>
      </c>
      <c r="F202" s="5">
        <v>15</v>
      </c>
      <c r="G202" s="5">
        <v>3506</v>
      </c>
      <c r="H202" s="5">
        <v>2</v>
      </c>
      <c r="I202" s="6">
        <v>46193</v>
      </c>
      <c r="J202" s="6">
        <v>46194</v>
      </c>
      <c r="K202" s="10" t="s">
        <v>29</v>
      </c>
      <c r="L202" s="21">
        <f t="shared" si="3"/>
        <v>51538.2</v>
      </c>
    </row>
    <row r="203" spans="1:12" ht="15" thickBot="1" x14ac:dyDescent="0.4">
      <c r="A203" s="5">
        <v>1058</v>
      </c>
      <c r="B203" s="5" t="s">
        <v>52</v>
      </c>
      <c r="C203" s="5" t="s">
        <v>38</v>
      </c>
      <c r="D203" s="5" t="s">
        <v>18</v>
      </c>
      <c r="E203" s="5" t="s">
        <v>28</v>
      </c>
      <c r="F203" s="5">
        <v>10</v>
      </c>
      <c r="G203" s="5">
        <v>5532</v>
      </c>
      <c r="H203" s="5">
        <v>7</v>
      </c>
      <c r="I203" s="6">
        <v>46074</v>
      </c>
      <c r="J203" s="6">
        <v>46084</v>
      </c>
      <c r="K203" s="10" t="s">
        <v>24</v>
      </c>
      <c r="L203" s="21">
        <f t="shared" si="3"/>
        <v>51447.6</v>
      </c>
    </row>
    <row r="204" spans="1:12" ht="15" thickBot="1" x14ac:dyDescent="0.4">
      <c r="A204" s="5">
        <v>1162</v>
      </c>
      <c r="B204" s="5" t="s">
        <v>57</v>
      </c>
      <c r="C204" s="5" t="s">
        <v>31</v>
      </c>
      <c r="D204" s="5" t="s">
        <v>34</v>
      </c>
      <c r="E204" s="5" t="s">
        <v>45</v>
      </c>
      <c r="F204" s="5">
        <v>2</v>
      </c>
      <c r="G204" s="5">
        <v>28176</v>
      </c>
      <c r="H204" s="5">
        <v>10</v>
      </c>
      <c r="I204" s="6">
        <v>46100</v>
      </c>
      <c r="J204" s="6">
        <v>46101</v>
      </c>
      <c r="K204" s="10" t="s">
        <v>20</v>
      </c>
      <c r="L204" s="21">
        <f t="shared" si="3"/>
        <v>50716.800000000003</v>
      </c>
    </row>
    <row r="205" spans="1:12" ht="15" thickBot="1" x14ac:dyDescent="0.4">
      <c r="A205" s="5">
        <v>1150</v>
      </c>
      <c r="B205" s="5" t="s">
        <v>42</v>
      </c>
      <c r="C205" s="5" t="s">
        <v>12</v>
      </c>
      <c r="D205" s="5" t="s">
        <v>18</v>
      </c>
      <c r="E205" s="5" t="s">
        <v>56</v>
      </c>
      <c r="F205" s="5">
        <v>10</v>
      </c>
      <c r="G205" s="5">
        <v>5323</v>
      </c>
      <c r="H205" s="5">
        <v>7</v>
      </c>
      <c r="I205" s="6">
        <v>46143</v>
      </c>
      <c r="J205" s="6">
        <v>46153</v>
      </c>
      <c r="K205" s="10" t="s">
        <v>24</v>
      </c>
      <c r="L205" s="21">
        <f t="shared" si="3"/>
        <v>49503.899999999994</v>
      </c>
    </row>
    <row r="206" spans="1:12" ht="15" thickBot="1" x14ac:dyDescent="0.4">
      <c r="A206" s="5">
        <v>1243</v>
      </c>
      <c r="B206" s="5" t="s">
        <v>30</v>
      </c>
      <c r="C206" s="5" t="s">
        <v>31</v>
      </c>
      <c r="D206" s="5" t="s">
        <v>34</v>
      </c>
      <c r="E206" s="5" t="s">
        <v>41</v>
      </c>
      <c r="F206" s="5">
        <v>5</v>
      </c>
      <c r="G206" s="5">
        <v>11570</v>
      </c>
      <c r="H206" s="5">
        <v>15</v>
      </c>
      <c r="I206" s="6">
        <v>46069</v>
      </c>
      <c r="J206" s="6">
        <v>46077</v>
      </c>
      <c r="K206" s="10" t="s">
        <v>24</v>
      </c>
      <c r="L206" s="21">
        <f t="shared" si="3"/>
        <v>49172.5</v>
      </c>
    </row>
    <row r="207" spans="1:12" ht="15" thickBot="1" x14ac:dyDescent="0.4">
      <c r="A207" s="5">
        <v>1124</v>
      </c>
      <c r="B207" s="5" t="s">
        <v>27</v>
      </c>
      <c r="C207" s="5" t="s">
        <v>38</v>
      </c>
      <c r="D207" s="5" t="s">
        <v>18</v>
      </c>
      <c r="E207" s="5" t="s">
        <v>56</v>
      </c>
      <c r="F207" s="5">
        <v>4</v>
      </c>
      <c r="G207" s="5">
        <v>14195</v>
      </c>
      <c r="H207" s="5">
        <v>15</v>
      </c>
      <c r="I207" s="6">
        <v>46182</v>
      </c>
      <c r="J207" s="6">
        <v>46189</v>
      </c>
      <c r="K207" s="10" t="s">
        <v>51</v>
      </c>
      <c r="L207" s="21">
        <f t="shared" si="3"/>
        <v>48263</v>
      </c>
    </row>
    <row r="208" spans="1:12" ht="15" thickBot="1" x14ac:dyDescent="0.4">
      <c r="A208" s="5">
        <v>1155</v>
      </c>
      <c r="B208" s="5" t="s">
        <v>11</v>
      </c>
      <c r="C208" s="5" t="s">
        <v>31</v>
      </c>
      <c r="D208" s="5" t="s">
        <v>18</v>
      </c>
      <c r="E208" s="5" t="s">
        <v>28</v>
      </c>
      <c r="F208" s="5">
        <v>13</v>
      </c>
      <c r="G208" s="5">
        <v>4341</v>
      </c>
      <c r="H208" s="5">
        <v>15</v>
      </c>
      <c r="I208" s="6">
        <v>46093</v>
      </c>
      <c r="J208" s="6">
        <v>46096</v>
      </c>
      <c r="K208" s="10" t="s">
        <v>24</v>
      </c>
      <c r="L208" s="21">
        <f t="shared" si="3"/>
        <v>47968.049999999996</v>
      </c>
    </row>
    <row r="209" spans="1:12" ht="15" thickBot="1" x14ac:dyDescent="0.4">
      <c r="A209" s="5">
        <v>1193</v>
      </c>
      <c r="B209" s="5" t="s">
        <v>57</v>
      </c>
      <c r="C209" s="5" t="s">
        <v>12</v>
      </c>
      <c r="D209" s="5" t="s">
        <v>18</v>
      </c>
      <c r="E209" s="5" t="s">
        <v>23</v>
      </c>
      <c r="F209" s="5">
        <v>19</v>
      </c>
      <c r="G209" s="5">
        <v>2699</v>
      </c>
      <c r="H209" s="5">
        <v>7</v>
      </c>
      <c r="I209" s="6">
        <v>46110</v>
      </c>
      <c r="J209" s="6">
        <v>46112</v>
      </c>
      <c r="K209" s="10" t="s">
        <v>29</v>
      </c>
      <c r="L209" s="21">
        <f t="shared" si="3"/>
        <v>47691.329999999994</v>
      </c>
    </row>
    <row r="210" spans="1:12" ht="15" thickBot="1" x14ac:dyDescent="0.4">
      <c r="A210" s="5">
        <v>1358</v>
      </c>
      <c r="B210" s="5" t="s">
        <v>40</v>
      </c>
      <c r="C210" s="5" t="s">
        <v>38</v>
      </c>
      <c r="D210" s="5" t="s">
        <v>18</v>
      </c>
      <c r="E210" s="5" t="s">
        <v>19</v>
      </c>
      <c r="F210" s="5">
        <v>7</v>
      </c>
      <c r="G210" s="5">
        <v>6618</v>
      </c>
      <c r="H210" s="5">
        <v>0</v>
      </c>
      <c r="I210" s="6">
        <v>46127</v>
      </c>
      <c r="J210" s="6">
        <v>46129</v>
      </c>
      <c r="K210" s="10" t="s">
        <v>20</v>
      </c>
      <c r="L210" s="21">
        <f t="shared" si="3"/>
        <v>46326</v>
      </c>
    </row>
    <row r="211" spans="1:12" ht="15" thickBot="1" x14ac:dyDescent="0.4">
      <c r="A211" s="5">
        <v>1221</v>
      </c>
      <c r="B211" s="5" t="s">
        <v>11</v>
      </c>
      <c r="C211" s="5" t="s">
        <v>31</v>
      </c>
      <c r="D211" s="5" t="s">
        <v>18</v>
      </c>
      <c r="E211" s="5" t="s">
        <v>56</v>
      </c>
      <c r="F211" s="5">
        <v>18</v>
      </c>
      <c r="G211" s="5">
        <v>2681</v>
      </c>
      <c r="H211" s="5">
        <v>10</v>
      </c>
      <c r="I211" s="6">
        <v>46122</v>
      </c>
      <c r="J211" s="6">
        <v>46125</v>
      </c>
      <c r="K211" s="10" t="s">
        <v>51</v>
      </c>
      <c r="L211" s="21">
        <f t="shared" si="3"/>
        <v>43432.200000000004</v>
      </c>
    </row>
    <row r="212" spans="1:12" ht="15" thickBot="1" x14ac:dyDescent="0.4">
      <c r="A212" s="5">
        <v>1033</v>
      </c>
      <c r="B212" s="5" t="s">
        <v>11</v>
      </c>
      <c r="C212" s="5" t="s">
        <v>43</v>
      </c>
      <c r="D212" s="5" t="s">
        <v>18</v>
      </c>
      <c r="E212" s="5" t="s">
        <v>19</v>
      </c>
      <c r="F212" s="5">
        <v>9</v>
      </c>
      <c r="G212" s="5">
        <v>4895</v>
      </c>
      <c r="H212" s="5">
        <v>2</v>
      </c>
      <c r="I212" s="6">
        <v>46082</v>
      </c>
      <c r="J212" s="6">
        <v>46084</v>
      </c>
      <c r="K212" s="10" t="s">
        <v>29</v>
      </c>
      <c r="L212" s="21">
        <f t="shared" si="3"/>
        <v>43173.9</v>
      </c>
    </row>
    <row r="213" spans="1:12" ht="15" thickBot="1" x14ac:dyDescent="0.4">
      <c r="A213" s="5">
        <v>1106</v>
      </c>
      <c r="B213" s="5" t="s">
        <v>27</v>
      </c>
      <c r="C213" s="5" t="s">
        <v>43</v>
      </c>
      <c r="D213" s="5" t="s">
        <v>18</v>
      </c>
      <c r="E213" s="5" t="s">
        <v>23</v>
      </c>
      <c r="F213" s="5">
        <v>20</v>
      </c>
      <c r="G213" s="5">
        <v>2141</v>
      </c>
      <c r="H213" s="5">
        <v>2</v>
      </c>
      <c r="I213" s="6">
        <v>46091</v>
      </c>
      <c r="J213" s="6">
        <v>46097</v>
      </c>
      <c r="K213" s="10" t="s">
        <v>29</v>
      </c>
      <c r="L213" s="21">
        <f t="shared" si="3"/>
        <v>41963.6</v>
      </c>
    </row>
    <row r="214" spans="1:12" ht="15" thickBot="1" x14ac:dyDescent="0.4">
      <c r="A214" s="5">
        <v>1093</v>
      </c>
      <c r="B214" s="5" t="s">
        <v>47</v>
      </c>
      <c r="C214" s="5" t="s">
        <v>25</v>
      </c>
      <c r="D214" s="5" t="s">
        <v>18</v>
      </c>
      <c r="E214" s="5" t="s">
        <v>23</v>
      </c>
      <c r="F214" s="5">
        <v>6</v>
      </c>
      <c r="G214" s="5">
        <v>8224</v>
      </c>
      <c r="H214" s="5">
        <v>15</v>
      </c>
      <c r="I214" s="6">
        <v>46175</v>
      </c>
      <c r="J214" s="6">
        <v>46185</v>
      </c>
      <c r="K214" s="10" t="s">
        <v>51</v>
      </c>
      <c r="L214" s="21">
        <f t="shared" si="3"/>
        <v>41942.400000000001</v>
      </c>
    </row>
    <row r="215" spans="1:12" ht="15" thickBot="1" x14ac:dyDescent="0.4">
      <c r="A215" s="5">
        <v>1321</v>
      </c>
      <c r="B215" s="5" t="s">
        <v>32</v>
      </c>
      <c r="C215" s="5" t="s">
        <v>22</v>
      </c>
      <c r="D215" s="5" t="s">
        <v>18</v>
      </c>
      <c r="E215" s="5" t="s">
        <v>19</v>
      </c>
      <c r="F215" s="5">
        <v>8</v>
      </c>
      <c r="G215" s="5">
        <v>5619</v>
      </c>
      <c r="H215" s="5">
        <v>7</v>
      </c>
      <c r="I215" s="6">
        <v>46107</v>
      </c>
      <c r="J215" s="6">
        <v>46109</v>
      </c>
      <c r="K215" s="10" t="s">
        <v>51</v>
      </c>
      <c r="L215" s="21">
        <f t="shared" si="3"/>
        <v>41805.360000000001</v>
      </c>
    </row>
    <row r="216" spans="1:12" ht="15" thickBot="1" x14ac:dyDescent="0.4">
      <c r="A216" s="5">
        <v>1208</v>
      </c>
      <c r="B216" s="5" t="s">
        <v>54</v>
      </c>
      <c r="C216" s="5" t="s">
        <v>43</v>
      </c>
      <c r="D216" s="5" t="s">
        <v>18</v>
      </c>
      <c r="E216" s="5" t="s">
        <v>44</v>
      </c>
      <c r="F216" s="5">
        <v>6</v>
      </c>
      <c r="G216" s="5">
        <v>7627</v>
      </c>
      <c r="H216" s="5">
        <v>10</v>
      </c>
      <c r="I216" s="6">
        <v>46042</v>
      </c>
      <c r="J216" s="6">
        <v>46047</v>
      </c>
      <c r="K216" s="10" t="s">
        <v>20</v>
      </c>
      <c r="L216" s="21">
        <f t="shared" si="3"/>
        <v>41185.800000000003</v>
      </c>
    </row>
    <row r="217" spans="1:12" ht="15" thickBot="1" x14ac:dyDescent="0.4">
      <c r="A217" s="5">
        <v>1340</v>
      </c>
      <c r="B217" s="5" t="s">
        <v>48</v>
      </c>
      <c r="C217" s="5" t="s">
        <v>17</v>
      </c>
      <c r="D217" s="5" t="s">
        <v>18</v>
      </c>
      <c r="E217" s="5" t="s">
        <v>19</v>
      </c>
      <c r="F217" s="5">
        <v>12</v>
      </c>
      <c r="G217" s="5">
        <v>3857</v>
      </c>
      <c r="H217" s="5">
        <v>12</v>
      </c>
      <c r="I217" s="6">
        <v>46196</v>
      </c>
      <c r="J217" s="6">
        <v>46198</v>
      </c>
      <c r="K217" s="10" t="s">
        <v>51</v>
      </c>
      <c r="L217" s="21">
        <f t="shared" si="3"/>
        <v>40729.919999999998</v>
      </c>
    </row>
    <row r="218" spans="1:12" ht="15" thickBot="1" x14ac:dyDescent="0.4">
      <c r="A218" s="5">
        <v>1232</v>
      </c>
      <c r="B218" s="5" t="s">
        <v>21</v>
      </c>
      <c r="C218" s="5" t="s">
        <v>12</v>
      </c>
      <c r="D218" s="5" t="s">
        <v>34</v>
      </c>
      <c r="E218" s="5" t="s">
        <v>60</v>
      </c>
      <c r="F218" s="5">
        <v>3</v>
      </c>
      <c r="G218" s="5">
        <v>13272</v>
      </c>
      <c r="H218" s="5">
        <v>2</v>
      </c>
      <c r="I218" s="6">
        <v>46060</v>
      </c>
      <c r="J218" s="6">
        <v>46065</v>
      </c>
      <c r="K218" s="10" t="s">
        <v>15</v>
      </c>
      <c r="L218" s="21">
        <f t="shared" si="3"/>
        <v>39019.68</v>
      </c>
    </row>
    <row r="219" spans="1:12" ht="15" thickBot="1" x14ac:dyDescent="0.4">
      <c r="A219" s="5">
        <v>1190</v>
      </c>
      <c r="B219" s="5" t="s">
        <v>57</v>
      </c>
      <c r="C219" s="5" t="s">
        <v>17</v>
      </c>
      <c r="D219" s="5" t="s">
        <v>18</v>
      </c>
      <c r="E219" s="5" t="s">
        <v>28</v>
      </c>
      <c r="F219" s="5">
        <v>4</v>
      </c>
      <c r="G219" s="5">
        <v>10154</v>
      </c>
      <c r="H219" s="5">
        <v>7</v>
      </c>
      <c r="I219" s="6">
        <v>46052</v>
      </c>
      <c r="J219" s="6">
        <v>46062</v>
      </c>
      <c r="K219" s="10" t="s">
        <v>20</v>
      </c>
      <c r="L219" s="21">
        <f t="shared" si="3"/>
        <v>37772.879999999997</v>
      </c>
    </row>
    <row r="220" spans="1:12" ht="15" thickBot="1" x14ac:dyDescent="0.4">
      <c r="A220" s="5">
        <v>1069</v>
      </c>
      <c r="B220" s="5" t="s">
        <v>52</v>
      </c>
      <c r="C220" s="5" t="s">
        <v>31</v>
      </c>
      <c r="D220" s="5" t="s">
        <v>18</v>
      </c>
      <c r="E220" s="5" t="s">
        <v>28</v>
      </c>
      <c r="F220" s="5">
        <v>9</v>
      </c>
      <c r="G220" s="5">
        <v>4415</v>
      </c>
      <c r="H220" s="5">
        <v>5</v>
      </c>
      <c r="I220" s="6">
        <v>46039</v>
      </c>
      <c r="J220" s="6">
        <v>46046</v>
      </c>
      <c r="K220" s="10" t="s">
        <v>15</v>
      </c>
      <c r="L220" s="21">
        <f t="shared" si="3"/>
        <v>37748.25</v>
      </c>
    </row>
    <row r="221" spans="1:12" ht="15" thickBot="1" x14ac:dyDescent="0.4">
      <c r="A221" s="5">
        <v>1131</v>
      </c>
      <c r="B221" s="5" t="s">
        <v>21</v>
      </c>
      <c r="C221" s="5" t="s">
        <v>31</v>
      </c>
      <c r="D221" s="5" t="s">
        <v>18</v>
      </c>
      <c r="E221" s="5" t="s">
        <v>23</v>
      </c>
      <c r="F221" s="5">
        <v>13</v>
      </c>
      <c r="G221" s="5">
        <v>3083</v>
      </c>
      <c r="H221" s="5">
        <v>7</v>
      </c>
      <c r="I221" s="6">
        <v>46168</v>
      </c>
      <c r="J221" s="6">
        <v>46173</v>
      </c>
      <c r="K221" s="10" t="s">
        <v>51</v>
      </c>
      <c r="L221" s="21">
        <f t="shared" si="3"/>
        <v>37273.469999999994</v>
      </c>
    </row>
    <row r="222" spans="1:12" ht="15" thickBot="1" x14ac:dyDescent="0.4">
      <c r="A222" s="5">
        <v>1381</v>
      </c>
      <c r="B222" s="5" t="s">
        <v>55</v>
      </c>
      <c r="C222" s="5" t="s">
        <v>33</v>
      </c>
      <c r="D222" s="5" t="s">
        <v>18</v>
      </c>
      <c r="E222" s="5" t="s">
        <v>28</v>
      </c>
      <c r="F222" s="5">
        <v>5</v>
      </c>
      <c r="G222" s="5">
        <v>7484</v>
      </c>
      <c r="H222" s="5">
        <v>2</v>
      </c>
      <c r="I222" s="6">
        <v>46089</v>
      </c>
      <c r="J222" s="6">
        <v>46093</v>
      </c>
      <c r="K222" s="10" t="s">
        <v>20</v>
      </c>
      <c r="L222" s="21">
        <f t="shared" si="3"/>
        <v>36671.599999999999</v>
      </c>
    </row>
    <row r="223" spans="1:12" ht="15" thickBot="1" x14ac:dyDescent="0.4">
      <c r="A223" s="5">
        <v>1003</v>
      </c>
      <c r="B223" s="5" t="s">
        <v>21</v>
      </c>
      <c r="C223" s="5" t="s">
        <v>22</v>
      </c>
      <c r="D223" s="5" t="s">
        <v>18</v>
      </c>
      <c r="E223" s="5" t="s">
        <v>23</v>
      </c>
      <c r="F223" s="5">
        <v>20</v>
      </c>
      <c r="G223" s="5">
        <v>2123</v>
      </c>
      <c r="H223" s="5">
        <v>15</v>
      </c>
      <c r="I223" s="6">
        <v>46183</v>
      </c>
      <c r="J223" s="6">
        <v>46192</v>
      </c>
      <c r="K223" s="10" t="s">
        <v>24</v>
      </c>
      <c r="L223" s="21">
        <f t="shared" si="3"/>
        <v>36091</v>
      </c>
    </row>
    <row r="224" spans="1:12" ht="15" thickBot="1" x14ac:dyDescent="0.4">
      <c r="A224" s="5">
        <v>1202</v>
      </c>
      <c r="B224" s="5" t="s">
        <v>57</v>
      </c>
      <c r="C224" s="5" t="s">
        <v>22</v>
      </c>
      <c r="D224" s="5" t="s">
        <v>34</v>
      </c>
      <c r="E224" s="5" t="s">
        <v>35</v>
      </c>
      <c r="F224" s="5">
        <v>2</v>
      </c>
      <c r="G224" s="5">
        <v>20312</v>
      </c>
      <c r="H224" s="5">
        <v>12</v>
      </c>
      <c r="I224" s="6">
        <v>46082</v>
      </c>
      <c r="J224" s="6">
        <v>46091</v>
      </c>
      <c r="K224" s="10" t="s">
        <v>15</v>
      </c>
      <c r="L224" s="21">
        <f t="shared" si="3"/>
        <v>35749.120000000003</v>
      </c>
    </row>
    <row r="225" spans="1:12" ht="15" thickBot="1" x14ac:dyDescent="0.4">
      <c r="A225" s="5">
        <v>1282</v>
      </c>
      <c r="B225" s="5" t="s">
        <v>57</v>
      </c>
      <c r="C225" s="5" t="s">
        <v>43</v>
      </c>
      <c r="D225" s="5" t="s">
        <v>18</v>
      </c>
      <c r="E225" s="5" t="s">
        <v>44</v>
      </c>
      <c r="F225" s="5">
        <v>12</v>
      </c>
      <c r="G225" s="5">
        <v>3178</v>
      </c>
      <c r="H225" s="5">
        <v>10</v>
      </c>
      <c r="I225" s="6">
        <v>46176</v>
      </c>
      <c r="J225" s="6">
        <v>46177</v>
      </c>
      <c r="K225" s="10" t="s">
        <v>29</v>
      </c>
      <c r="L225" s="21">
        <f t="shared" si="3"/>
        <v>34322.400000000001</v>
      </c>
    </row>
    <row r="226" spans="1:12" ht="15" thickBot="1" x14ac:dyDescent="0.4">
      <c r="A226" s="5">
        <v>1148</v>
      </c>
      <c r="B226" s="5" t="s">
        <v>59</v>
      </c>
      <c r="C226" s="5" t="s">
        <v>33</v>
      </c>
      <c r="D226" s="5" t="s">
        <v>18</v>
      </c>
      <c r="E226" s="5" t="s">
        <v>28</v>
      </c>
      <c r="F226" s="5">
        <v>11</v>
      </c>
      <c r="G226" s="5">
        <v>3023</v>
      </c>
      <c r="H226" s="5">
        <v>7</v>
      </c>
      <c r="I226" s="6">
        <v>46030</v>
      </c>
      <c r="J226" s="6">
        <v>46032</v>
      </c>
      <c r="K226" s="10" t="s">
        <v>24</v>
      </c>
      <c r="L226" s="21">
        <f t="shared" si="3"/>
        <v>30925.289999999997</v>
      </c>
    </row>
    <row r="227" spans="1:12" ht="15" thickBot="1" x14ac:dyDescent="0.4">
      <c r="A227" s="5">
        <v>1326</v>
      </c>
      <c r="B227" s="5" t="s">
        <v>26</v>
      </c>
      <c r="C227" s="5" t="s">
        <v>17</v>
      </c>
      <c r="D227" s="5" t="s">
        <v>18</v>
      </c>
      <c r="E227" s="5" t="s">
        <v>44</v>
      </c>
      <c r="F227" s="5">
        <v>18</v>
      </c>
      <c r="G227" s="5">
        <v>1830</v>
      </c>
      <c r="H227" s="5">
        <v>10</v>
      </c>
      <c r="I227" s="6">
        <v>46165</v>
      </c>
      <c r="J227" s="6">
        <v>46172</v>
      </c>
      <c r="K227" s="10" t="s">
        <v>15</v>
      </c>
      <c r="L227" s="21">
        <f t="shared" si="3"/>
        <v>29646</v>
      </c>
    </row>
    <row r="228" spans="1:12" ht="15" thickBot="1" x14ac:dyDescent="0.4">
      <c r="A228" s="5">
        <v>1094</v>
      </c>
      <c r="B228" s="5" t="s">
        <v>47</v>
      </c>
      <c r="C228" s="5" t="s">
        <v>43</v>
      </c>
      <c r="D228" s="5" t="s">
        <v>34</v>
      </c>
      <c r="E228" s="5" t="s">
        <v>61</v>
      </c>
      <c r="F228" s="5">
        <v>4</v>
      </c>
      <c r="G228" s="5">
        <v>7073</v>
      </c>
      <c r="H228" s="5">
        <v>0</v>
      </c>
      <c r="I228" s="6">
        <v>46101</v>
      </c>
      <c r="J228" s="6">
        <v>46105</v>
      </c>
      <c r="K228" s="10" t="s">
        <v>29</v>
      </c>
      <c r="L228" s="21">
        <f t="shared" si="3"/>
        <v>28292</v>
      </c>
    </row>
    <row r="229" spans="1:12" ht="15" thickBot="1" x14ac:dyDescent="0.4">
      <c r="A229" s="5">
        <v>1128</v>
      </c>
      <c r="B229" s="5" t="s">
        <v>30</v>
      </c>
      <c r="C229" s="5" t="s">
        <v>22</v>
      </c>
      <c r="D229" s="5" t="s">
        <v>34</v>
      </c>
      <c r="E229" s="5" t="s">
        <v>61</v>
      </c>
      <c r="F229" s="5">
        <v>6</v>
      </c>
      <c r="G229" s="5">
        <v>5001</v>
      </c>
      <c r="H229" s="5">
        <v>7</v>
      </c>
      <c r="I229" s="6">
        <v>46044</v>
      </c>
      <c r="J229" s="6">
        <v>46050</v>
      </c>
      <c r="K229" s="10" t="s">
        <v>29</v>
      </c>
      <c r="L229" s="21">
        <f t="shared" si="3"/>
        <v>27905.579999999998</v>
      </c>
    </row>
    <row r="230" spans="1:12" ht="15" thickBot="1" x14ac:dyDescent="0.4">
      <c r="A230" s="5">
        <v>1056</v>
      </c>
      <c r="B230" s="5" t="s">
        <v>11</v>
      </c>
      <c r="C230" s="5" t="s">
        <v>22</v>
      </c>
      <c r="D230" s="5" t="s">
        <v>18</v>
      </c>
      <c r="E230" s="5" t="s">
        <v>19</v>
      </c>
      <c r="F230" s="5">
        <v>3</v>
      </c>
      <c r="G230" s="5">
        <v>9771</v>
      </c>
      <c r="H230" s="5">
        <v>5</v>
      </c>
      <c r="I230" s="6">
        <v>46133</v>
      </c>
      <c r="J230" s="6">
        <v>46139</v>
      </c>
      <c r="K230" s="10" t="s">
        <v>24</v>
      </c>
      <c r="L230" s="21">
        <f t="shared" si="3"/>
        <v>27847.35</v>
      </c>
    </row>
    <row r="231" spans="1:12" ht="15" thickBot="1" x14ac:dyDescent="0.4">
      <c r="A231" s="5">
        <v>1035</v>
      </c>
      <c r="B231" s="5" t="s">
        <v>49</v>
      </c>
      <c r="C231" s="5" t="s">
        <v>43</v>
      </c>
      <c r="D231" s="5" t="s">
        <v>18</v>
      </c>
      <c r="E231" s="5" t="s">
        <v>56</v>
      </c>
      <c r="F231" s="5">
        <v>3</v>
      </c>
      <c r="G231" s="5">
        <v>9149</v>
      </c>
      <c r="H231" s="5">
        <v>0</v>
      </c>
      <c r="I231" s="6">
        <v>46031</v>
      </c>
      <c r="J231" s="6">
        <v>46034</v>
      </c>
      <c r="K231" s="10" t="s">
        <v>24</v>
      </c>
      <c r="L231" s="21">
        <f t="shared" si="3"/>
        <v>27447</v>
      </c>
    </row>
    <row r="232" spans="1:12" ht="15" thickBot="1" x14ac:dyDescent="0.4">
      <c r="A232" s="5">
        <v>1300</v>
      </c>
      <c r="B232" s="5" t="s">
        <v>47</v>
      </c>
      <c r="C232" s="5" t="s">
        <v>33</v>
      </c>
      <c r="D232" s="5" t="s">
        <v>34</v>
      </c>
      <c r="E232" s="5" t="s">
        <v>45</v>
      </c>
      <c r="F232" s="5">
        <v>20</v>
      </c>
      <c r="G232" s="5">
        <v>1392</v>
      </c>
      <c r="H232" s="5">
        <v>2</v>
      </c>
      <c r="I232" s="6">
        <v>46110</v>
      </c>
      <c r="J232" s="6">
        <v>46117</v>
      </c>
      <c r="K232" s="10" t="s">
        <v>24</v>
      </c>
      <c r="L232" s="21">
        <f t="shared" si="3"/>
        <v>27283.200000000001</v>
      </c>
    </row>
    <row r="233" spans="1:12" ht="15" thickBot="1" x14ac:dyDescent="0.4">
      <c r="A233" s="5">
        <v>1084</v>
      </c>
      <c r="B233" s="5" t="s">
        <v>49</v>
      </c>
      <c r="C233" s="5" t="s">
        <v>31</v>
      </c>
      <c r="D233" s="5" t="s">
        <v>18</v>
      </c>
      <c r="E233" s="5" t="s">
        <v>28</v>
      </c>
      <c r="F233" s="5">
        <v>4</v>
      </c>
      <c r="G233" s="5">
        <v>6901</v>
      </c>
      <c r="H233" s="5">
        <v>10</v>
      </c>
      <c r="I233" s="6">
        <v>46047</v>
      </c>
      <c r="J233" s="6">
        <v>46057</v>
      </c>
      <c r="K233" s="10" t="s">
        <v>20</v>
      </c>
      <c r="L233" s="21">
        <f t="shared" si="3"/>
        <v>24843.600000000002</v>
      </c>
    </row>
    <row r="234" spans="1:12" ht="15" thickBot="1" x14ac:dyDescent="0.4">
      <c r="A234" s="5">
        <v>1364</v>
      </c>
      <c r="B234" s="5" t="s">
        <v>30</v>
      </c>
      <c r="C234" s="5" t="s">
        <v>22</v>
      </c>
      <c r="D234" s="5" t="s">
        <v>18</v>
      </c>
      <c r="E234" s="5" t="s">
        <v>56</v>
      </c>
      <c r="F234" s="5">
        <v>16</v>
      </c>
      <c r="G234" s="5">
        <v>1744</v>
      </c>
      <c r="H234" s="5">
        <v>15</v>
      </c>
      <c r="I234" s="6">
        <v>46031</v>
      </c>
      <c r="J234" s="6">
        <v>46033</v>
      </c>
      <c r="K234" s="10" t="s">
        <v>51</v>
      </c>
      <c r="L234" s="21">
        <f t="shared" si="3"/>
        <v>23718.399999999998</v>
      </c>
    </row>
    <row r="235" spans="1:12" ht="15" thickBot="1" x14ac:dyDescent="0.4">
      <c r="A235" s="5">
        <v>1246</v>
      </c>
      <c r="B235" s="5" t="s">
        <v>55</v>
      </c>
      <c r="C235" s="5" t="s">
        <v>22</v>
      </c>
      <c r="D235" s="5" t="s">
        <v>34</v>
      </c>
      <c r="E235" s="5" t="s">
        <v>35</v>
      </c>
      <c r="F235" s="5">
        <v>13</v>
      </c>
      <c r="G235" s="5">
        <v>1825</v>
      </c>
      <c r="H235" s="5">
        <v>2</v>
      </c>
      <c r="I235" s="6">
        <v>46039</v>
      </c>
      <c r="J235" s="6">
        <v>46045</v>
      </c>
      <c r="K235" s="10" t="s">
        <v>51</v>
      </c>
      <c r="L235" s="21">
        <f t="shared" si="3"/>
        <v>23250.5</v>
      </c>
    </row>
    <row r="236" spans="1:12" ht="15" thickBot="1" x14ac:dyDescent="0.4">
      <c r="A236" s="5">
        <v>1020</v>
      </c>
      <c r="B236" s="5" t="s">
        <v>46</v>
      </c>
      <c r="C236" s="5" t="s">
        <v>12</v>
      </c>
      <c r="D236" s="5" t="s">
        <v>18</v>
      </c>
      <c r="E236" s="5" t="s">
        <v>19</v>
      </c>
      <c r="F236" s="5">
        <v>5</v>
      </c>
      <c r="G236" s="5">
        <v>4582</v>
      </c>
      <c r="H236" s="5">
        <v>5</v>
      </c>
      <c r="I236" s="6">
        <v>46078</v>
      </c>
      <c r="J236" s="6">
        <v>46083</v>
      </c>
      <c r="K236" s="10" t="s">
        <v>15</v>
      </c>
      <c r="L236" s="21">
        <f t="shared" si="3"/>
        <v>21764.5</v>
      </c>
    </row>
    <row r="237" spans="1:12" ht="15" thickBot="1" x14ac:dyDescent="0.4">
      <c r="A237" s="5">
        <v>1239</v>
      </c>
      <c r="B237" s="5" t="s">
        <v>48</v>
      </c>
      <c r="C237" s="5" t="s">
        <v>17</v>
      </c>
      <c r="D237" s="5" t="s">
        <v>18</v>
      </c>
      <c r="E237" s="5" t="s">
        <v>56</v>
      </c>
      <c r="F237" s="5">
        <v>2</v>
      </c>
      <c r="G237" s="5">
        <v>12330</v>
      </c>
      <c r="H237" s="5">
        <v>12</v>
      </c>
      <c r="I237" s="6">
        <v>46122</v>
      </c>
      <c r="J237" s="6">
        <v>46125</v>
      </c>
      <c r="K237" s="10" t="s">
        <v>15</v>
      </c>
      <c r="L237" s="21">
        <f t="shared" si="3"/>
        <v>21700.799999999999</v>
      </c>
    </row>
    <row r="238" spans="1:12" ht="15" thickBot="1" x14ac:dyDescent="0.4">
      <c r="A238" s="5">
        <v>1116</v>
      </c>
      <c r="B238" s="5" t="s">
        <v>16</v>
      </c>
      <c r="C238" s="5" t="s">
        <v>25</v>
      </c>
      <c r="D238" s="5" t="s">
        <v>18</v>
      </c>
      <c r="E238" s="5" t="s">
        <v>56</v>
      </c>
      <c r="F238" s="5">
        <v>2</v>
      </c>
      <c r="G238" s="5">
        <v>12692</v>
      </c>
      <c r="H238" s="5">
        <v>15</v>
      </c>
      <c r="I238" s="6">
        <v>46049</v>
      </c>
      <c r="J238" s="6">
        <v>46051</v>
      </c>
      <c r="K238" s="10" t="s">
        <v>15</v>
      </c>
      <c r="L238" s="21">
        <f t="shared" si="3"/>
        <v>21576.399999999998</v>
      </c>
    </row>
    <row r="239" spans="1:12" ht="15" thickBot="1" x14ac:dyDescent="0.4">
      <c r="A239" s="5">
        <v>1222</v>
      </c>
      <c r="B239" s="5" t="s">
        <v>30</v>
      </c>
      <c r="C239" s="5" t="s">
        <v>33</v>
      </c>
      <c r="D239" s="5" t="s">
        <v>18</v>
      </c>
      <c r="E239" s="5" t="s">
        <v>23</v>
      </c>
      <c r="F239" s="5">
        <v>9</v>
      </c>
      <c r="G239" s="5">
        <v>2712</v>
      </c>
      <c r="H239" s="5">
        <v>12</v>
      </c>
      <c r="I239" s="6">
        <v>46154</v>
      </c>
      <c r="J239" s="6">
        <v>46163</v>
      </c>
      <c r="K239" s="10" t="s">
        <v>15</v>
      </c>
      <c r="L239" s="21">
        <f t="shared" si="3"/>
        <v>21479.040000000001</v>
      </c>
    </row>
    <row r="240" spans="1:12" ht="15" thickBot="1" x14ac:dyDescent="0.4">
      <c r="A240" s="5">
        <v>1123</v>
      </c>
      <c r="B240" s="5" t="s">
        <v>32</v>
      </c>
      <c r="C240" s="5" t="s">
        <v>31</v>
      </c>
      <c r="D240" s="5" t="s">
        <v>34</v>
      </c>
      <c r="E240" s="5" t="s">
        <v>45</v>
      </c>
      <c r="F240" s="5">
        <v>16</v>
      </c>
      <c r="G240" s="5">
        <v>1332</v>
      </c>
      <c r="H240" s="5">
        <v>7</v>
      </c>
      <c r="I240" s="6">
        <v>46107</v>
      </c>
      <c r="J240" s="6">
        <v>46109</v>
      </c>
      <c r="K240" s="10" t="s">
        <v>29</v>
      </c>
      <c r="L240" s="21">
        <f t="shared" si="3"/>
        <v>19820.16</v>
      </c>
    </row>
    <row r="241" spans="1:12" ht="15" thickBot="1" x14ac:dyDescent="0.4">
      <c r="A241" s="5">
        <v>1024</v>
      </c>
      <c r="B241" s="5" t="s">
        <v>32</v>
      </c>
      <c r="C241" s="5" t="s">
        <v>38</v>
      </c>
      <c r="D241" s="5" t="s">
        <v>34</v>
      </c>
      <c r="E241" s="5" t="s">
        <v>41</v>
      </c>
      <c r="F241" s="5">
        <v>12</v>
      </c>
      <c r="G241" s="5">
        <v>1682</v>
      </c>
      <c r="H241" s="5">
        <v>5</v>
      </c>
      <c r="I241" s="6">
        <v>46161</v>
      </c>
      <c r="J241" s="6">
        <v>46165</v>
      </c>
      <c r="K241" s="10" t="s">
        <v>15</v>
      </c>
      <c r="L241" s="21">
        <f t="shared" si="3"/>
        <v>19174.8</v>
      </c>
    </row>
    <row r="242" spans="1:12" ht="15" thickBot="1" x14ac:dyDescent="0.4">
      <c r="A242" s="5">
        <v>1230</v>
      </c>
      <c r="B242" s="5" t="s">
        <v>59</v>
      </c>
      <c r="C242" s="5" t="s">
        <v>33</v>
      </c>
      <c r="D242" s="5" t="s">
        <v>34</v>
      </c>
      <c r="E242" s="5" t="s">
        <v>60</v>
      </c>
      <c r="F242" s="5">
        <v>7</v>
      </c>
      <c r="G242" s="5">
        <v>2932</v>
      </c>
      <c r="H242" s="5">
        <v>7</v>
      </c>
      <c r="I242" s="6">
        <v>46050</v>
      </c>
      <c r="J242" s="6">
        <v>46059</v>
      </c>
      <c r="K242" s="10" t="s">
        <v>24</v>
      </c>
      <c r="L242" s="21">
        <f t="shared" si="3"/>
        <v>19087.32</v>
      </c>
    </row>
    <row r="243" spans="1:12" ht="15" thickBot="1" x14ac:dyDescent="0.4">
      <c r="A243" s="5">
        <v>1301</v>
      </c>
      <c r="B243" s="5" t="s">
        <v>54</v>
      </c>
      <c r="C243" s="5" t="s">
        <v>17</v>
      </c>
      <c r="D243" s="5" t="s">
        <v>18</v>
      </c>
      <c r="E243" s="5" t="s">
        <v>28</v>
      </c>
      <c r="F243" s="5">
        <v>3</v>
      </c>
      <c r="G243" s="5">
        <v>7020</v>
      </c>
      <c r="H243" s="5">
        <v>10</v>
      </c>
      <c r="I243" s="6">
        <v>46028</v>
      </c>
      <c r="J243" s="6">
        <v>46038</v>
      </c>
      <c r="K243" s="10" t="s">
        <v>24</v>
      </c>
      <c r="L243" s="21">
        <f t="shared" si="3"/>
        <v>18954</v>
      </c>
    </row>
    <row r="244" spans="1:12" ht="15" thickBot="1" x14ac:dyDescent="0.4">
      <c r="A244" s="5">
        <v>1227</v>
      </c>
      <c r="B244" s="5" t="s">
        <v>58</v>
      </c>
      <c r="C244" s="5" t="s">
        <v>22</v>
      </c>
      <c r="D244" s="5" t="s">
        <v>34</v>
      </c>
      <c r="E244" s="5" t="s">
        <v>45</v>
      </c>
      <c r="F244" s="5">
        <v>16</v>
      </c>
      <c r="G244" s="5">
        <v>1321</v>
      </c>
      <c r="H244" s="5">
        <v>12</v>
      </c>
      <c r="I244" s="6">
        <v>46113</v>
      </c>
      <c r="J244" s="6">
        <v>46116</v>
      </c>
      <c r="K244" s="10" t="s">
        <v>15</v>
      </c>
      <c r="L244" s="21">
        <f t="shared" si="3"/>
        <v>18599.68</v>
      </c>
    </row>
    <row r="245" spans="1:12" ht="15" thickBot="1" x14ac:dyDescent="0.4">
      <c r="A245" s="5">
        <v>1371</v>
      </c>
      <c r="B245" s="5" t="s">
        <v>48</v>
      </c>
      <c r="C245" s="5" t="s">
        <v>38</v>
      </c>
      <c r="D245" s="5" t="s">
        <v>18</v>
      </c>
      <c r="E245" s="5" t="s">
        <v>19</v>
      </c>
      <c r="F245" s="5">
        <v>19</v>
      </c>
      <c r="G245" s="5">
        <v>1087</v>
      </c>
      <c r="H245" s="5">
        <v>15</v>
      </c>
      <c r="I245" s="6">
        <v>46072</v>
      </c>
      <c r="J245" s="6">
        <v>46082</v>
      </c>
      <c r="K245" s="10" t="s">
        <v>20</v>
      </c>
      <c r="L245" s="21">
        <f t="shared" si="3"/>
        <v>17555.05</v>
      </c>
    </row>
    <row r="246" spans="1:12" ht="15" thickBot="1" x14ac:dyDescent="0.4">
      <c r="A246" s="5">
        <v>1220</v>
      </c>
      <c r="B246" s="5" t="s">
        <v>11</v>
      </c>
      <c r="C246" s="5" t="s">
        <v>25</v>
      </c>
      <c r="D246" s="5" t="s">
        <v>18</v>
      </c>
      <c r="E246" s="5" t="s">
        <v>56</v>
      </c>
      <c r="F246" s="5">
        <v>2</v>
      </c>
      <c r="G246" s="5">
        <v>8861</v>
      </c>
      <c r="H246" s="5">
        <v>2</v>
      </c>
      <c r="I246" s="6">
        <v>46170</v>
      </c>
      <c r="J246" s="6">
        <v>46174</v>
      </c>
      <c r="K246" s="10" t="s">
        <v>24</v>
      </c>
      <c r="L246" s="21">
        <f t="shared" si="3"/>
        <v>17367.560000000001</v>
      </c>
    </row>
    <row r="247" spans="1:12" ht="15" thickBot="1" x14ac:dyDescent="0.4">
      <c r="A247" s="5">
        <v>1262</v>
      </c>
      <c r="B247" s="5" t="s">
        <v>16</v>
      </c>
      <c r="C247" s="5" t="s">
        <v>22</v>
      </c>
      <c r="D247" s="5" t="s">
        <v>18</v>
      </c>
      <c r="E247" s="5" t="s">
        <v>28</v>
      </c>
      <c r="F247" s="5">
        <v>9</v>
      </c>
      <c r="G247" s="5">
        <v>2231</v>
      </c>
      <c r="H247" s="5">
        <v>15</v>
      </c>
      <c r="I247" s="6">
        <v>46174</v>
      </c>
      <c r="J247" s="6">
        <v>46183</v>
      </c>
      <c r="K247" s="10" t="s">
        <v>15</v>
      </c>
      <c r="L247" s="21">
        <f t="shared" si="3"/>
        <v>17067.149999999998</v>
      </c>
    </row>
    <row r="248" spans="1:12" ht="15" thickBot="1" x14ac:dyDescent="0.4">
      <c r="A248" s="5">
        <v>1211</v>
      </c>
      <c r="B248" s="5" t="s">
        <v>48</v>
      </c>
      <c r="C248" s="5" t="s">
        <v>17</v>
      </c>
      <c r="D248" s="5" t="s">
        <v>34</v>
      </c>
      <c r="E248" s="5" t="s">
        <v>35</v>
      </c>
      <c r="F248" s="5">
        <v>3</v>
      </c>
      <c r="G248" s="5">
        <v>5962</v>
      </c>
      <c r="H248" s="5">
        <v>7</v>
      </c>
      <c r="I248" s="6">
        <v>46175</v>
      </c>
      <c r="J248" s="6">
        <v>46183</v>
      </c>
      <c r="K248" s="10" t="s">
        <v>15</v>
      </c>
      <c r="L248" s="21">
        <f t="shared" si="3"/>
        <v>16633.98</v>
      </c>
    </row>
    <row r="249" spans="1:12" ht="15" thickBot="1" x14ac:dyDescent="0.4">
      <c r="A249" s="5">
        <v>1057</v>
      </c>
      <c r="B249" s="5" t="s">
        <v>59</v>
      </c>
      <c r="C249" s="5" t="s">
        <v>22</v>
      </c>
      <c r="D249" s="5" t="s">
        <v>18</v>
      </c>
      <c r="E249" s="5" t="s">
        <v>28</v>
      </c>
      <c r="F249" s="5">
        <v>2</v>
      </c>
      <c r="G249" s="5">
        <v>9531</v>
      </c>
      <c r="H249" s="5">
        <v>15</v>
      </c>
      <c r="I249" s="6">
        <v>46067</v>
      </c>
      <c r="J249" s="6">
        <v>46076</v>
      </c>
      <c r="K249" s="10" t="s">
        <v>51</v>
      </c>
      <c r="L249" s="21">
        <f t="shared" si="3"/>
        <v>16202.699999999999</v>
      </c>
    </row>
    <row r="250" spans="1:12" ht="15" thickBot="1" x14ac:dyDescent="0.4">
      <c r="A250" s="5">
        <v>1351</v>
      </c>
      <c r="B250" s="5" t="s">
        <v>42</v>
      </c>
      <c r="C250" s="5" t="s">
        <v>33</v>
      </c>
      <c r="D250" s="5" t="s">
        <v>34</v>
      </c>
      <c r="E250" s="5" t="s">
        <v>45</v>
      </c>
      <c r="F250" s="5">
        <v>12</v>
      </c>
      <c r="G250" s="5">
        <v>1272</v>
      </c>
      <c r="H250" s="5">
        <v>0</v>
      </c>
      <c r="I250" s="6">
        <v>46026</v>
      </c>
      <c r="J250" s="6">
        <v>46029</v>
      </c>
      <c r="K250" s="10" t="s">
        <v>15</v>
      </c>
      <c r="L250" s="21">
        <f t="shared" si="3"/>
        <v>15264</v>
      </c>
    </row>
    <row r="251" spans="1:12" ht="15" thickBot="1" x14ac:dyDescent="0.4">
      <c r="A251" s="5">
        <v>1263</v>
      </c>
      <c r="B251" s="5" t="s">
        <v>29</v>
      </c>
      <c r="C251" s="5" t="s">
        <v>38</v>
      </c>
      <c r="D251" s="5" t="s">
        <v>18</v>
      </c>
      <c r="E251" s="5" t="s">
        <v>28</v>
      </c>
      <c r="F251" s="5">
        <v>10</v>
      </c>
      <c r="G251" s="5">
        <v>1505</v>
      </c>
      <c r="H251" s="5">
        <v>0</v>
      </c>
      <c r="I251" s="6">
        <v>46130</v>
      </c>
      <c r="J251" s="6">
        <v>46138</v>
      </c>
      <c r="K251" s="10" t="s">
        <v>51</v>
      </c>
      <c r="L251" s="21">
        <f t="shared" si="3"/>
        <v>15050</v>
      </c>
    </row>
    <row r="252" spans="1:12" ht="15" thickBot="1" x14ac:dyDescent="0.4">
      <c r="A252" s="5">
        <v>1377</v>
      </c>
      <c r="B252" s="5" t="s">
        <v>32</v>
      </c>
      <c r="C252" s="5" t="s">
        <v>38</v>
      </c>
      <c r="D252" s="5" t="s">
        <v>18</v>
      </c>
      <c r="E252" s="5" t="s">
        <v>19</v>
      </c>
      <c r="F252" s="5">
        <v>3</v>
      </c>
      <c r="G252" s="5">
        <v>5480</v>
      </c>
      <c r="H252" s="5">
        <v>12</v>
      </c>
      <c r="I252" s="6">
        <v>46105</v>
      </c>
      <c r="J252" s="6">
        <v>46111</v>
      </c>
      <c r="K252" s="10" t="s">
        <v>24</v>
      </c>
      <c r="L252" s="21">
        <f t="shared" si="3"/>
        <v>14467.2</v>
      </c>
    </row>
    <row r="253" spans="1:12" ht="15" thickBot="1" x14ac:dyDescent="0.4">
      <c r="A253" s="5">
        <v>1234</v>
      </c>
      <c r="B253" s="5" t="s">
        <v>11</v>
      </c>
      <c r="C253" s="5" t="s">
        <v>25</v>
      </c>
      <c r="D253" s="5" t="s">
        <v>18</v>
      </c>
      <c r="E253" s="5" t="s">
        <v>28</v>
      </c>
      <c r="F253" s="5">
        <v>1</v>
      </c>
      <c r="G253" s="5">
        <v>14320</v>
      </c>
      <c r="H253" s="5">
        <v>12</v>
      </c>
      <c r="I253" s="6">
        <v>46114</v>
      </c>
      <c r="J253" s="6">
        <v>46121</v>
      </c>
      <c r="K253" s="10" t="s">
        <v>51</v>
      </c>
      <c r="L253" s="21">
        <f t="shared" si="3"/>
        <v>12601.6</v>
      </c>
    </row>
    <row r="254" spans="1:12" ht="15" thickBot="1" x14ac:dyDescent="0.4">
      <c r="A254" s="5">
        <v>1241</v>
      </c>
      <c r="B254" s="5" t="s">
        <v>46</v>
      </c>
      <c r="C254" s="5" t="s">
        <v>31</v>
      </c>
      <c r="D254" s="5" t="s">
        <v>18</v>
      </c>
      <c r="E254" s="5" t="s">
        <v>44</v>
      </c>
      <c r="F254" s="5">
        <v>1</v>
      </c>
      <c r="G254" s="5">
        <v>12537</v>
      </c>
      <c r="H254" s="5">
        <v>0</v>
      </c>
      <c r="I254" s="6">
        <v>46119</v>
      </c>
      <c r="J254" s="6">
        <v>46122</v>
      </c>
      <c r="K254" s="10" t="s">
        <v>15</v>
      </c>
      <c r="L254" s="21">
        <f t="shared" si="3"/>
        <v>12537</v>
      </c>
    </row>
    <row r="255" spans="1:12" ht="15" thickBot="1" x14ac:dyDescent="0.4">
      <c r="A255" s="5">
        <v>1335</v>
      </c>
      <c r="B255" s="5" t="s">
        <v>47</v>
      </c>
      <c r="C255" s="5" t="s">
        <v>17</v>
      </c>
      <c r="D255" s="5" t="s">
        <v>18</v>
      </c>
      <c r="E255" s="5" t="s">
        <v>19</v>
      </c>
      <c r="F255" s="5">
        <v>9</v>
      </c>
      <c r="G255" s="5">
        <v>1495</v>
      </c>
      <c r="H255" s="5">
        <v>12</v>
      </c>
      <c r="I255" s="6">
        <v>46168</v>
      </c>
      <c r="J255" s="6">
        <v>46173</v>
      </c>
      <c r="K255" s="10" t="s">
        <v>15</v>
      </c>
      <c r="L255" s="21">
        <f t="shared" si="3"/>
        <v>11840.4</v>
      </c>
    </row>
    <row r="256" spans="1:12" ht="15" thickBot="1" x14ac:dyDescent="0.4">
      <c r="A256" s="5">
        <v>1286</v>
      </c>
      <c r="B256" s="5" t="s">
        <v>46</v>
      </c>
      <c r="C256" s="5" t="s">
        <v>17</v>
      </c>
      <c r="D256" s="5" t="s">
        <v>18</v>
      </c>
      <c r="E256" s="5" t="s">
        <v>56</v>
      </c>
      <c r="F256" s="5">
        <v>9</v>
      </c>
      <c r="G256" s="5">
        <v>1340</v>
      </c>
      <c r="H256" s="5">
        <v>2</v>
      </c>
      <c r="I256" s="6">
        <v>46168</v>
      </c>
      <c r="J256" s="6">
        <v>46173</v>
      </c>
      <c r="K256" s="10" t="s">
        <v>15</v>
      </c>
      <c r="L256" s="21">
        <f t="shared" si="3"/>
        <v>11818.8</v>
      </c>
    </row>
    <row r="257" spans="1:12" ht="15" thickBot="1" x14ac:dyDescent="0.4">
      <c r="A257" s="5">
        <v>1112</v>
      </c>
      <c r="B257" s="5" t="s">
        <v>21</v>
      </c>
      <c r="C257" s="5" t="s">
        <v>43</v>
      </c>
      <c r="D257" s="5" t="s">
        <v>18</v>
      </c>
      <c r="E257" s="5" t="s">
        <v>44</v>
      </c>
      <c r="F257" s="5">
        <v>7</v>
      </c>
      <c r="G257" s="5">
        <v>1959</v>
      </c>
      <c r="H257" s="5">
        <v>15</v>
      </c>
      <c r="I257" s="6">
        <v>46090</v>
      </c>
      <c r="J257" s="6">
        <v>46100</v>
      </c>
      <c r="K257" s="10" t="s">
        <v>15</v>
      </c>
      <c r="L257" s="21">
        <f t="shared" si="3"/>
        <v>11656.05</v>
      </c>
    </row>
    <row r="258" spans="1:12" ht="15" thickBot="1" x14ac:dyDescent="0.4">
      <c r="A258" s="5">
        <v>1276</v>
      </c>
      <c r="B258" s="5" t="s">
        <v>40</v>
      </c>
      <c r="C258" s="5" t="s">
        <v>12</v>
      </c>
      <c r="D258" s="5" t="s">
        <v>18</v>
      </c>
      <c r="E258" s="5" t="s">
        <v>19</v>
      </c>
      <c r="F258" s="5">
        <v>1</v>
      </c>
      <c r="G258" s="5">
        <v>13437</v>
      </c>
      <c r="H258" s="5">
        <v>15</v>
      </c>
      <c r="I258" s="6">
        <v>46097</v>
      </c>
      <c r="J258" s="6">
        <v>46099</v>
      </c>
      <c r="K258" s="10" t="s">
        <v>24</v>
      </c>
      <c r="L258" s="21">
        <f t="shared" ref="L258:L321" si="4">F258*G258*(1-H258/100)</f>
        <v>11421.449999999999</v>
      </c>
    </row>
    <row r="259" spans="1:12" ht="15" thickBot="1" x14ac:dyDescent="0.4">
      <c r="A259" s="5">
        <v>1240</v>
      </c>
      <c r="B259" s="5" t="s">
        <v>55</v>
      </c>
      <c r="C259" s="5" t="s">
        <v>33</v>
      </c>
      <c r="D259" s="5" t="s">
        <v>18</v>
      </c>
      <c r="E259" s="5" t="s">
        <v>23</v>
      </c>
      <c r="F259" s="5">
        <v>2</v>
      </c>
      <c r="G259" s="5">
        <v>5475</v>
      </c>
      <c r="H259" s="5">
        <v>2</v>
      </c>
      <c r="I259" s="6">
        <v>46142</v>
      </c>
      <c r="J259" s="6">
        <v>46146</v>
      </c>
      <c r="K259" s="10" t="s">
        <v>29</v>
      </c>
      <c r="L259" s="21">
        <f t="shared" si="4"/>
        <v>10731</v>
      </c>
    </row>
    <row r="260" spans="1:12" ht="15" thickBot="1" x14ac:dyDescent="0.4">
      <c r="A260" s="5">
        <v>1362</v>
      </c>
      <c r="B260" s="5" t="s">
        <v>16</v>
      </c>
      <c r="C260" s="5" t="s">
        <v>12</v>
      </c>
      <c r="D260" s="5" t="s">
        <v>18</v>
      </c>
      <c r="E260" s="5" t="s">
        <v>28</v>
      </c>
      <c r="F260" s="5">
        <v>1</v>
      </c>
      <c r="G260" s="5">
        <v>10474</v>
      </c>
      <c r="H260" s="5">
        <v>0</v>
      </c>
      <c r="I260" s="6">
        <v>46094</v>
      </c>
      <c r="J260" s="6">
        <v>46096</v>
      </c>
      <c r="K260" s="10" t="s">
        <v>29</v>
      </c>
      <c r="L260" s="21">
        <f t="shared" si="4"/>
        <v>10474</v>
      </c>
    </row>
    <row r="261" spans="1:12" ht="15" thickBot="1" x14ac:dyDescent="0.4">
      <c r="A261" s="5">
        <v>1095</v>
      </c>
      <c r="B261" s="5" t="s">
        <v>47</v>
      </c>
      <c r="C261" s="5" t="s">
        <v>25</v>
      </c>
      <c r="D261" s="5" t="s">
        <v>34</v>
      </c>
      <c r="E261" s="5" t="s">
        <v>41</v>
      </c>
      <c r="F261" s="5">
        <v>18</v>
      </c>
      <c r="G261" s="5">
        <v>587</v>
      </c>
      <c r="H261" s="5">
        <v>2</v>
      </c>
      <c r="I261" s="6">
        <v>46167</v>
      </c>
      <c r="J261" s="6">
        <v>46171</v>
      </c>
      <c r="K261" s="10" t="s">
        <v>20</v>
      </c>
      <c r="L261" s="21">
        <f t="shared" si="4"/>
        <v>10354.68</v>
      </c>
    </row>
    <row r="262" spans="1:12" ht="15" thickBot="1" x14ac:dyDescent="0.4">
      <c r="A262" s="5">
        <v>1258</v>
      </c>
      <c r="B262" s="5" t="s">
        <v>32</v>
      </c>
      <c r="C262" s="5" t="s">
        <v>31</v>
      </c>
      <c r="D262" s="5" t="s">
        <v>34</v>
      </c>
      <c r="E262" s="5" t="s">
        <v>60</v>
      </c>
      <c r="F262" s="5">
        <v>1</v>
      </c>
      <c r="G262" s="5">
        <v>10600</v>
      </c>
      <c r="H262" s="5">
        <v>5</v>
      </c>
      <c r="I262" s="6">
        <v>46137</v>
      </c>
      <c r="J262" s="6">
        <v>46138</v>
      </c>
      <c r="K262" s="10" t="s">
        <v>29</v>
      </c>
      <c r="L262" s="21">
        <f t="shared" si="4"/>
        <v>10070</v>
      </c>
    </row>
    <row r="263" spans="1:12" ht="15" thickBot="1" x14ac:dyDescent="0.4">
      <c r="A263" s="5">
        <v>1073</v>
      </c>
      <c r="B263" s="5" t="s">
        <v>58</v>
      </c>
      <c r="C263" s="5" t="s">
        <v>17</v>
      </c>
      <c r="D263" s="5" t="s">
        <v>18</v>
      </c>
      <c r="E263" s="5" t="s">
        <v>56</v>
      </c>
      <c r="F263" s="5">
        <v>4</v>
      </c>
      <c r="G263" s="5">
        <v>2453</v>
      </c>
      <c r="H263" s="5">
        <v>7</v>
      </c>
      <c r="I263" s="6">
        <v>46126</v>
      </c>
      <c r="J263" s="6">
        <v>46129</v>
      </c>
      <c r="K263" s="10" t="s">
        <v>51</v>
      </c>
      <c r="L263" s="21">
        <f t="shared" si="4"/>
        <v>9125.16</v>
      </c>
    </row>
    <row r="264" spans="1:12" ht="15" thickBot="1" x14ac:dyDescent="0.4">
      <c r="A264" s="5">
        <v>1397</v>
      </c>
      <c r="B264" s="5" t="s">
        <v>21</v>
      </c>
      <c r="C264" s="5" t="s">
        <v>33</v>
      </c>
      <c r="D264" s="5" t="s">
        <v>18</v>
      </c>
      <c r="E264" s="5" t="s">
        <v>23</v>
      </c>
      <c r="F264" s="5">
        <v>1</v>
      </c>
      <c r="G264" s="5">
        <v>8948</v>
      </c>
      <c r="H264" s="5">
        <v>5</v>
      </c>
      <c r="I264" s="6">
        <v>46194</v>
      </c>
      <c r="J264" s="6">
        <v>46201</v>
      </c>
      <c r="K264" s="10" t="s">
        <v>51</v>
      </c>
      <c r="L264" s="21">
        <f t="shared" si="4"/>
        <v>8500.6</v>
      </c>
    </row>
    <row r="265" spans="1:12" ht="15" thickBot="1" x14ac:dyDescent="0.4">
      <c r="A265" s="5">
        <v>1223</v>
      </c>
      <c r="B265" s="5" t="s">
        <v>59</v>
      </c>
      <c r="C265" s="5" t="s">
        <v>17</v>
      </c>
      <c r="D265" s="5" t="s">
        <v>18</v>
      </c>
      <c r="E265" s="5" t="s">
        <v>23</v>
      </c>
      <c r="F265" s="5">
        <v>4</v>
      </c>
      <c r="G265" s="5">
        <v>2249</v>
      </c>
      <c r="H265" s="5">
        <v>7</v>
      </c>
      <c r="I265" s="6">
        <v>46077</v>
      </c>
      <c r="J265" s="6">
        <v>46084</v>
      </c>
      <c r="K265" s="10" t="s">
        <v>15</v>
      </c>
      <c r="L265" s="21">
        <f t="shared" si="4"/>
        <v>8366.2799999999988</v>
      </c>
    </row>
    <row r="266" spans="1:12" ht="15" thickBot="1" x14ac:dyDescent="0.4">
      <c r="A266" s="5">
        <v>1053</v>
      </c>
      <c r="B266" s="5" t="s">
        <v>16</v>
      </c>
      <c r="C266" s="5" t="s">
        <v>33</v>
      </c>
      <c r="D266" s="5" t="s">
        <v>18</v>
      </c>
      <c r="E266" s="5" t="s">
        <v>28</v>
      </c>
      <c r="F266" s="5">
        <v>1</v>
      </c>
      <c r="G266" s="5">
        <v>9749</v>
      </c>
      <c r="H266" s="5">
        <v>15</v>
      </c>
      <c r="I266" s="6">
        <v>46064</v>
      </c>
      <c r="J266" s="6">
        <v>46070</v>
      </c>
      <c r="K266" s="10" t="s">
        <v>24</v>
      </c>
      <c r="L266" s="21">
        <f t="shared" si="4"/>
        <v>8286.65</v>
      </c>
    </row>
    <row r="267" spans="1:12" ht="15" thickBot="1" x14ac:dyDescent="0.4">
      <c r="A267" s="5">
        <v>1376</v>
      </c>
      <c r="B267" s="5" t="s">
        <v>52</v>
      </c>
      <c r="C267" s="5" t="s">
        <v>31</v>
      </c>
      <c r="D267" s="5" t="s">
        <v>13</v>
      </c>
      <c r="E267" s="5" t="s">
        <v>50</v>
      </c>
      <c r="F267" s="5">
        <v>20</v>
      </c>
      <c r="G267" s="5">
        <v>429</v>
      </c>
      <c r="H267" s="5">
        <v>5</v>
      </c>
      <c r="I267" s="6">
        <v>46178</v>
      </c>
      <c r="J267" s="6">
        <v>46184</v>
      </c>
      <c r="K267" s="10" t="s">
        <v>20</v>
      </c>
      <c r="L267" s="21">
        <f t="shared" si="4"/>
        <v>8151</v>
      </c>
    </row>
    <row r="268" spans="1:12" ht="15" thickBot="1" x14ac:dyDescent="0.4">
      <c r="A268" s="5">
        <v>1199</v>
      </c>
      <c r="B268" s="5" t="s">
        <v>11</v>
      </c>
      <c r="C268" s="5" t="s">
        <v>25</v>
      </c>
      <c r="D268" s="5" t="s">
        <v>34</v>
      </c>
      <c r="E268" s="5" t="s">
        <v>45</v>
      </c>
      <c r="F268" s="5">
        <v>2</v>
      </c>
      <c r="G268" s="5">
        <v>4375</v>
      </c>
      <c r="H268" s="5">
        <v>7</v>
      </c>
      <c r="I268" s="6">
        <v>46178</v>
      </c>
      <c r="J268" s="6">
        <v>46180</v>
      </c>
      <c r="K268" s="10" t="s">
        <v>24</v>
      </c>
      <c r="L268" s="21">
        <f t="shared" si="4"/>
        <v>8137.4999999999991</v>
      </c>
    </row>
    <row r="269" spans="1:12" ht="15" thickBot="1" x14ac:dyDescent="0.4">
      <c r="A269" s="5">
        <v>1006</v>
      </c>
      <c r="B269" s="5" t="s">
        <v>27</v>
      </c>
      <c r="C269" s="5" t="s">
        <v>25</v>
      </c>
      <c r="D269" s="5" t="s">
        <v>18</v>
      </c>
      <c r="E269" s="5" t="s">
        <v>28</v>
      </c>
      <c r="F269" s="5">
        <v>3</v>
      </c>
      <c r="G269" s="5">
        <v>2714</v>
      </c>
      <c r="H269" s="5">
        <v>5</v>
      </c>
      <c r="I269" s="6">
        <v>46055</v>
      </c>
      <c r="J269" s="6">
        <v>46062</v>
      </c>
      <c r="K269" s="10" t="s">
        <v>29</v>
      </c>
      <c r="L269" s="21">
        <f t="shared" si="4"/>
        <v>7734.9</v>
      </c>
    </row>
    <row r="270" spans="1:12" ht="15" thickBot="1" x14ac:dyDescent="0.4">
      <c r="A270" s="5">
        <v>1275</v>
      </c>
      <c r="B270" s="5" t="s">
        <v>16</v>
      </c>
      <c r="C270" s="5" t="s">
        <v>31</v>
      </c>
      <c r="D270" s="5" t="s">
        <v>13</v>
      </c>
      <c r="E270" s="5" t="s">
        <v>50</v>
      </c>
      <c r="F270" s="5">
        <v>20</v>
      </c>
      <c r="G270" s="5">
        <v>451</v>
      </c>
      <c r="H270" s="5">
        <v>15</v>
      </c>
      <c r="I270" s="6">
        <v>46092</v>
      </c>
      <c r="J270" s="6">
        <v>46094</v>
      </c>
      <c r="K270" s="10" t="s">
        <v>20</v>
      </c>
      <c r="L270" s="21">
        <f t="shared" si="4"/>
        <v>7667</v>
      </c>
    </row>
    <row r="271" spans="1:12" ht="15" thickBot="1" x14ac:dyDescent="0.4">
      <c r="A271" s="5">
        <v>1029</v>
      </c>
      <c r="B271" s="5" t="s">
        <v>30</v>
      </c>
      <c r="C271" s="5" t="s">
        <v>25</v>
      </c>
      <c r="D271" s="5" t="s">
        <v>13</v>
      </c>
      <c r="E271" s="5" t="s">
        <v>36</v>
      </c>
      <c r="F271" s="5">
        <v>18</v>
      </c>
      <c r="G271" s="5">
        <v>443</v>
      </c>
      <c r="H271" s="5">
        <v>5</v>
      </c>
      <c r="I271" s="6">
        <v>46046</v>
      </c>
      <c r="J271" s="6">
        <v>46054</v>
      </c>
      <c r="K271" s="10" t="s">
        <v>24</v>
      </c>
      <c r="L271" s="21">
        <f t="shared" si="4"/>
        <v>7575.2999999999993</v>
      </c>
    </row>
    <row r="272" spans="1:12" ht="15" thickBot="1" x14ac:dyDescent="0.4">
      <c r="A272" s="5">
        <v>1215</v>
      </c>
      <c r="B272" s="5" t="s">
        <v>27</v>
      </c>
      <c r="C272" s="5" t="s">
        <v>12</v>
      </c>
      <c r="D272" s="5" t="s">
        <v>18</v>
      </c>
      <c r="E272" s="5" t="s">
        <v>28</v>
      </c>
      <c r="F272" s="5">
        <v>6</v>
      </c>
      <c r="G272" s="5">
        <v>1254</v>
      </c>
      <c r="H272" s="5">
        <v>0</v>
      </c>
      <c r="I272" s="6">
        <v>46131</v>
      </c>
      <c r="J272" s="6">
        <v>46136</v>
      </c>
      <c r="K272" s="10" t="s">
        <v>29</v>
      </c>
      <c r="L272" s="21">
        <f t="shared" si="4"/>
        <v>7524</v>
      </c>
    </row>
    <row r="273" spans="1:12" ht="15" thickBot="1" x14ac:dyDescent="0.4">
      <c r="A273" s="5">
        <v>1065</v>
      </c>
      <c r="B273" s="5" t="s">
        <v>42</v>
      </c>
      <c r="C273" s="5" t="s">
        <v>43</v>
      </c>
      <c r="D273" s="5" t="s">
        <v>18</v>
      </c>
      <c r="E273" s="5" t="s">
        <v>44</v>
      </c>
      <c r="F273" s="5">
        <v>1</v>
      </c>
      <c r="G273" s="5">
        <v>7730</v>
      </c>
      <c r="H273" s="5">
        <v>5</v>
      </c>
      <c r="I273" s="6">
        <v>46192</v>
      </c>
      <c r="J273" s="6">
        <v>46195</v>
      </c>
      <c r="K273" s="10" t="s">
        <v>51</v>
      </c>
      <c r="L273" s="21">
        <f t="shared" si="4"/>
        <v>7343.5</v>
      </c>
    </row>
    <row r="274" spans="1:12" ht="15" thickBot="1" x14ac:dyDescent="0.4">
      <c r="A274" s="5">
        <v>1333</v>
      </c>
      <c r="B274" s="5" t="s">
        <v>29</v>
      </c>
      <c r="C274" s="5" t="s">
        <v>38</v>
      </c>
      <c r="D274" s="5" t="s">
        <v>13</v>
      </c>
      <c r="E274" s="5" t="s">
        <v>53</v>
      </c>
      <c r="F274" s="5">
        <v>20</v>
      </c>
      <c r="G274" s="5">
        <v>416</v>
      </c>
      <c r="H274" s="5">
        <v>12</v>
      </c>
      <c r="I274" s="6">
        <v>46145</v>
      </c>
      <c r="J274" s="6">
        <v>46146</v>
      </c>
      <c r="K274" s="10" t="s">
        <v>51</v>
      </c>
      <c r="L274" s="21">
        <f t="shared" si="4"/>
        <v>7321.6</v>
      </c>
    </row>
    <row r="275" spans="1:12" ht="15" thickBot="1" x14ac:dyDescent="0.4">
      <c r="A275" s="5">
        <v>1256</v>
      </c>
      <c r="B275" s="5" t="s">
        <v>48</v>
      </c>
      <c r="C275" s="5" t="s">
        <v>31</v>
      </c>
      <c r="D275" s="5" t="s">
        <v>13</v>
      </c>
      <c r="E275" s="5" t="s">
        <v>50</v>
      </c>
      <c r="F275" s="5">
        <v>19</v>
      </c>
      <c r="G275" s="5">
        <v>406</v>
      </c>
      <c r="H275" s="5">
        <v>7</v>
      </c>
      <c r="I275" s="6">
        <v>46057</v>
      </c>
      <c r="J275" s="6">
        <v>46061</v>
      </c>
      <c r="K275" s="10" t="s">
        <v>15</v>
      </c>
      <c r="L275" s="21">
        <f t="shared" si="4"/>
        <v>7174.0199999999995</v>
      </c>
    </row>
    <row r="276" spans="1:12" ht="15" thickBot="1" x14ac:dyDescent="0.4">
      <c r="A276" s="5">
        <v>1119</v>
      </c>
      <c r="B276" s="5" t="s">
        <v>30</v>
      </c>
      <c r="C276" s="5" t="s">
        <v>43</v>
      </c>
      <c r="D276" s="5" t="s">
        <v>18</v>
      </c>
      <c r="E276" s="5" t="s">
        <v>28</v>
      </c>
      <c r="F276" s="5">
        <v>2</v>
      </c>
      <c r="G276" s="5">
        <v>3706</v>
      </c>
      <c r="H276" s="5">
        <v>5</v>
      </c>
      <c r="I276" s="6">
        <v>46184</v>
      </c>
      <c r="J276" s="6">
        <v>46192</v>
      </c>
      <c r="K276" s="10" t="s">
        <v>51</v>
      </c>
      <c r="L276" s="21">
        <f t="shared" si="4"/>
        <v>7041.4</v>
      </c>
    </row>
    <row r="277" spans="1:12" ht="15" thickBot="1" x14ac:dyDescent="0.4">
      <c r="A277" s="5">
        <v>1013</v>
      </c>
      <c r="B277" s="5" t="s">
        <v>16</v>
      </c>
      <c r="C277" s="5" t="s">
        <v>31</v>
      </c>
      <c r="D277" s="5" t="s">
        <v>13</v>
      </c>
      <c r="E277" s="5" t="s">
        <v>36</v>
      </c>
      <c r="F277" s="5">
        <v>17</v>
      </c>
      <c r="G277" s="5">
        <v>459</v>
      </c>
      <c r="H277" s="5">
        <v>12</v>
      </c>
      <c r="I277" s="6">
        <v>46095</v>
      </c>
      <c r="J277" s="6">
        <v>46105</v>
      </c>
      <c r="K277" s="10" t="s">
        <v>29</v>
      </c>
      <c r="L277" s="21">
        <f t="shared" si="4"/>
        <v>6866.64</v>
      </c>
    </row>
    <row r="278" spans="1:12" ht="15" thickBot="1" x14ac:dyDescent="0.4">
      <c r="A278" s="5">
        <v>1283</v>
      </c>
      <c r="B278" s="5" t="s">
        <v>40</v>
      </c>
      <c r="C278" s="5" t="s">
        <v>12</v>
      </c>
      <c r="D278" s="5" t="s">
        <v>18</v>
      </c>
      <c r="E278" s="5" t="s">
        <v>23</v>
      </c>
      <c r="F278" s="5">
        <v>6</v>
      </c>
      <c r="G278" s="5">
        <v>1167</v>
      </c>
      <c r="H278" s="5">
        <v>2</v>
      </c>
      <c r="I278" s="6">
        <v>46100</v>
      </c>
      <c r="J278" s="6">
        <v>46106</v>
      </c>
      <c r="K278" s="10" t="s">
        <v>15</v>
      </c>
      <c r="L278" s="21">
        <f t="shared" si="4"/>
        <v>6861.96</v>
      </c>
    </row>
    <row r="279" spans="1:12" ht="15" thickBot="1" x14ac:dyDescent="0.4">
      <c r="A279" s="5">
        <v>1304</v>
      </c>
      <c r="B279" s="5" t="s">
        <v>59</v>
      </c>
      <c r="C279" s="5" t="s">
        <v>25</v>
      </c>
      <c r="D279" s="5" t="s">
        <v>13</v>
      </c>
      <c r="E279" s="5" t="s">
        <v>36</v>
      </c>
      <c r="F279" s="5">
        <v>20</v>
      </c>
      <c r="G279" s="5">
        <v>368</v>
      </c>
      <c r="H279" s="5">
        <v>7</v>
      </c>
      <c r="I279" s="6">
        <v>46042</v>
      </c>
      <c r="J279" s="6">
        <v>46051</v>
      </c>
      <c r="K279" s="10" t="s">
        <v>51</v>
      </c>
      <c r="L279" s="21">
        <f t="shared" si="4"/>
        <v>6844.7999999999993</v>
      </c>
    </row>
    <row r="280" spans="1:12" ht="15" thickBot="1" x14ac:dyDescent="0.4">
      <c r="A280" s="5">
        <v>1254</v>
      </c>
      <c r="B280" s="5" t="s">
        <v>52</v>
      </c>
      <c r="C280" s="5" t="s">
        <v>22</v>
      </c>
      <c r="D280" s="5" t="s">
        <v>13</v>
      </c>
      <c r="E280" s="5" t="s">
        <v>50</v>
      </c>
      <c r="F280" s="5">
        <v>18</v>
      </c>
      <c r="G280" s="5">
        <v>447</v>
      </c>
      <c r="H280" s="5">
        <v>15</v>
      </c>
      <c r="I280" s="6">
        <v>46141</v>
      </c>
      <c r="J280" s="6">
        <v>46149</v>
      </c>
      <c r="K280" s="10" t="s">
        <v>24</v>
      </c>
      <c r="L280" s="21">
        <f t="shared" si="4"/>
        <v>6839.0999999999995</v>
      </c>
    </row>
    <row r="281" spans="1:12" ht="15" thickBot="1" x14ac:dyDescent="0.4">
      <c r="A281" s="5">
        <v>1291</v>
      </c>
      <c r="B281" s="5" t="s">
        <v>21</v>
      </c>
      <c r="C281" s="5" t="s">
        <v>17</v>
      </c>
      <c r="D281" s="5" t="s">
        <v>13</v>
      </c>
      <c r="E281" s="5" t="s">
        <v>36</v>
      </c>
      <c r="F281" s="5">
        <v>17</v>
      </c>
      <c r="G281" s="5">
        <v>415</v>
      </c>
      <c r="H281" s="5">
        <v>5</v>
      </c>
      <c r="I281" s="6">
        <v>46137</v>
      </c>
      <c r="J281" s="6">
        <v>46141</v>
      </c>
      <c r="K281" s="10" t="s">
        <v>20</v>
      </c>
      <c r="L281" s="21">
        <f t="shared" si="4"/>
        <v>6702.25</v>
      </c>
    </row>
    <row r="282" spans="1:12" ht="15" thickBot="1" x14ac:dyDescent="0.4">
      <c r="A282" s="5">
        <v>1284</v>
      </c>
      <c r="B282" s="5" t="s">
        <v>40</v>
      </c>
      <c r="C282" s="5" t="s">
        <v>25</v>
      </c>
      <c r="D282" s="5" t="s">
        <v>13</v>
      </c>
      <c r="E282" s="5" t="s">
        <v>37</v>
      </c>
      <c r="F282" s="5">
        <v>16</v>
      </c>
      <c r="G282" s="5">
        <v>419</v>
      </c>
      <c r="H282" s="5">
        <v>2</v>
      </c>
      <c r="I282" s="6">
        <v>46082</v>
      </c>
      <c r="J282" s="6">
        <v>46090</v>
      </c>
      <c r="K282" s="10" t="s">
        <v>15</v>
      </c>
      <c r="L282" s="21">
        <f t="shared" si="4"/>
        <v>6569.92</v>
      </c>
    </row>
    <row r="283" spans="1:12" ht="15" thickBot="1" x14ac:dyDescent="0.4">
      <c r="A283" s="5">
        <v>1327</v>
      </c>
      <c r="B283" s="5" t="s">
        <v>48</v>
      </c>
      <c r="C283" s="5" t="s">
        <v>12</v>
      </c>
      <c r="D283" s="5" t="s">
        <v>13</v>
      </c>
      <c r="E283" s="5" t="s">
        <v>53</v>
      </c>
      <c r="F283" s="5">
        <v>15</v>
      </c>
      <c r="G283" s="5">
        <v>449</v>
      </c>
      <c r="H283" s="5">
        <v>5</v>
      </c>
      <c r="I283" s="6">
        <v>46152</v>
      </c>
      <c r="J283" s="6">
        <v>46153</v>
      </c>
      <c r="K283" s="10" t="s">
        <v>15</v>
      </c>
      <c r="L283" s="21">
        <f t="shared" si="4"/>
        <v>6398.25</v>
      </c>
    </row>
    <row r="284" spans="1:12" ht="15" thickBot="1" x14ac:dyDescent="0.4">
      <c r="A284" s="5">
        <v>1010</v>
      </c>
      <c r="B284" s="5" t="s">
        <v>11</v>
      </c>
      <c r="C284" s="5" t="s">
        <v>17</v>
      </c>
      <c r="D284" s="5" t="s">
        <v>13</v>
      </c>
      <c r="E284" s="5" t="s">
        <v>36</v>
      </c>
      <c r="F284" s="5">
        <v>14</v>
      </c>
      <c r="G284" s="5">
        <v>470</v>
      </c>
      <c r="H284" s="5">
        <v>5</v>
      </c>
      <c r="I284" s="6">
        <v>46062</v>
      </c>
      <c r="J284" s="6">
        <v>46068</v>
      </c>
      <c r="K284" s="10" t="s">
        <v>15</v>
      </c>
      <c r="L284" s="21">
        <f t="shared" si="4"/>
        <v>6251</v>
      </c>
    </row>
    <row r="285" spans="1:12" ht="15" thickBot="1" x14ac:dyDescent="0.4">
      <c r="A285" s="5">
        <v>1266</v>
      </c>
      <c r="B285" s="5" t="s">
        <v>29</v>
      </c>
      <c r="C285" s="5" t="s">
        <v>33</v>
      </c>
      <c r="D285" s="5" t="s">
        <v>13</v>
      </c>
      <c r="E285" s="5" t="s">
        <v>14</v>
      </c>
      <c r="F285" s="5">
        <v>17</v>
      </c>
      <c r="G285" s="5">
        <v>365</v>
      </c>
      <c r="H285" s="5">
        <v>2</v>
      </c>
      <c r="I285" s="6">
        <v>46096</v>
      </c>
      <c r="J285" s="6">
        <v>46104</v>
      </c>
      <c r="K285" s="10" t="s">
        <v>51</v>
      </c>
      <c r="L285" s="21">
        <f t="shared" si="4"/>
        <v>6080.9</v>
      </c>
    </row>
    <row r="286" spans="1:12" ht="15" thickBot="1" x14ac:dyDescent="0.4">
      <c r="A286" s="5">
        <v>1018</v>
      </c>
      <c r="B286" s="5" t="s">
        <v>47</v>
      </c>
      <c r="C286" s="5" t="s">
        <v>25</v>
      </c>
      <c r="D286" s="5" t="s">
        <v>13</v>
      </c>
      <c r="E286" s="5" t="s">
        <v>14</v>
      </c>
      <c r="F286" s="5">
        <v>20</v>
      </c>
      <c r="G286" s="5">
        <v>301</v>
      </c>
      <c r="H286" s="5">
        <v>0</v>
      </c>
      <c r="I286" s="6">
        <v>46089</v>
      </c>
      <c r="J286" s="6">
        <v>46094</v>
      </c>
      <c r="K286" s="10" t="s">
        <v>29</v>
      </c>
      <c r="L286" s="21">
        <f t="shared" si="4"/>
        <v>6020</v>
      </c>
    </row>
    <row r="287" spans="1:12" ht="15" thickBot="1" x14ac:dyDescent="0.4">
      <c r="A287" s="5">
        <v>1195</v>
      </c>
      <c r="B287" s="5" t="s">
        <v>59</v>
      </c>
      <c r="C287" s="5" t="s">
        <v>17</v>
      </c>
      <c r="D287" s="5" t="s">
        <v>13</v>
      </c>
      <c r="E287" s="5" t="s">
        <v>50</v>
      </c>
      <c r="F287" s="5">
        <v>19</v>
      </c>
      <c r="G287" s="5">
        <v>313</v>
      </c>
      <c r="H287" s="5">
        <v>2</v>
      </c>
      <c r="I287" s="6">
        <v>46198</v>
      </c>
      <c r="J287" s="6">
        <v>46206</v>
      </c>
      <c r="K287" s="10" t="s">
        <v>51</v>
      </c>
      <c r="L287" s="21">
        <f t="shared" si="4"/>
        <v>5828.0599999999995</v>
      </c>
    </row>
    <row r="288" spans="1:12" ht="15" thickBot="1" x14ac:dyDescent="0.4">
      <c r="A288" s="5">
        <v>1143</v>
      </c>
      <c r="B288" s="5" t="s">
        <v>29</v>
      </c>
      <c r="C288" s="5" t="s">
        <v>17</v>
      </c>
      <c r="D288" s="5" t="s">
        <v>13</v>
      </c>
      <c r="E288" s="5" t="s">
        <v>37</v>
      </c>
      <c r="F288" s="5">
        <v>13</v>
      </c>
      <c r="G288" s="5">
        <v>456</v>
      </c>
      <c r="H288" s="5">
        <v>2</v>
      </c>
      <c r="I288" s="6">
        <v>46160</v>
      </c>
      <c r="J288" s="6">
        <v>46167</v>
      </c>
      <c r="K288" s="10" t="s">
        <v>24</v>
      </c>
      <c r="L288" s="21">
        <f t="shared" si="4"/>
        <v>5809.44</v>
      </c>
    </row>
    <row r="289" spans="1:12" ht="15" thickBot="1" x14ac:dyDescent="0.4">
      <c r="A289" s="5">
        <v>1198</v>
      </c>
      <c r="B289" s="5" t="s">
        <v>58</v>
      </c>
      <c r="C289" s="5" t="s">
        <v>12</v>
      </c>
      <c r="D289" s="5" t="s">
        <v>13</v>
      </c>
      <c r="E289" s="5" t="s">
        <v>14</v>
      </c>
      <c r="F289" s="5">
        <v>12</v>
      </c>
      <c r="G289" s="5">
        <v>491</v>
      </c>
      <c r="H289" s="5">
        <v>2</v>
      </c>
      <c r="I289" s="6">
        <v>46106</v>
      </c>
      <c r="J289" s="6">
        <v>46109</v>
      </c>
      <c r="K289" s="10" t="s">
        <v>51</v>
      </c>
      <c r="L289" s="21">
        <f t="shared" si="4"/>
        <v>5774.16</v>
      </c>
    </row>
    <row r="290" spans="1:12" ht="15" thickBot="1" x14ac:dyDescent="0.4">
      <c r="A290" s="5">
        <v>1098</v>
      </c>
      <c r="B290" s="5" t="s">
        <v>26</v>
      </c>
      <c r="C290" s="5" t="s">
        <v>25</v>
      </c>
      <c r="D290" s="5" t="s">
        <v>13</v>
      </c>
      <c r="E290" s="5" t="s">
        <v>53</v>
      </c>
      <c r="F290" s="5">
        <v>17</v>
      </c>
      <c r="G290" s="5">
        <v>345</v>
      </c>
      <c r="H290" s="5">
        <v>2</v>
      </c>
      <c r="I290" s="6">
        <v>46126</v>
      </c>
      <c r="J290" s="6">
        <v>46127</v>
      </c>
      <c r="K290" s="10" t="s">
        <v>51</v>
      </c>
      <c r="L290" s="21">
        <f t="shared" si="4"/>
        <v>5747.7</v>
      </c>
    </row>
    <row r="291" spans="1:12" ht="15" thickBot="1" x14ac:dyDescent="0.4">
      <c r="A291" s="5">
        <v>1028</v>
      </c>
      <c r="B291" s="5" t="s">
        <v>47</v>
      </c>
      <c r="C291" s="5" t="s">
        <v>22</v>
      </c>
      <c r="D291" s="5" t="s">
        <v>13</v>
      </c>
      <c r="E291" s="5" t="s">
        <v>36</v>
      </c>
      <c r="F291" s="5">
        <v>13</v>
      </c>
      <c r="G291" s="5">
        <v>433</v>
      </c>
      <c r="H291" s="5">
        <v>2</v>
      </c>
      <c r="I291" s="6">
        <v>46116</v>
      </c>
      <c r="J291" s="6">
        <v>46121</v>
      </c>
      <c r="K291" s="10" t="s">
        <v>24</v>
      </c>
      <c r="L291" s="21">
        <f t="shared" si="4"/>
        <v>5516.42</v>
      </c>
    </row>
    <row r="292" spans="1:12" ht="15" thickBot="1" x14ac:dyDescent="0.4">
      <c r="A292" s="5">
        <v>1168</v>
      </c>
      <c r="B292" s="5" t="s">
        <v>54</v>
      </c>
      <c r="C292" s="5" t="s">
        <v>12</v>
      </c>
      <c r="D292" s="5" t="s">
        <v>13</v>
      </c>
      <c r="E292" s="5" t="s">
        <v>37</v>
      </c>
      <c r="F292" s="5">
        <v>18</v>
      </c>
      <c r="G292" s="5">
        <v>335</v>
      </c>
      <c r="H292" s="5">
        <v>15</v>
      </c>
      <c r="I292" s="6">
        <v>46130</v>
      </c>
      <c r="J292" s="6">
        <v>46140</v>
      </c>
      <c r="K292" s="10" t="s">
        <v>29</v>
      </c>
      <c r="L292" s="21">
        <f t="shared" si="4"/>
        <v>5125.5</v>
      </c>
    </row>
    <row r="293" spans="1:12" ht="15" thickBot="1" x14ac:dyDescent="0.4">
      <c r="A293" s="5">
        <v>1099</v>
      </c>
      <c r="B293" s="5" t="s">
        <v>26</v>
      </c>
      <c r="C293" s="5" t="s">
        <v>31</v>
      </c>
      <c r="D293" s="5" t="s">
        <v>18</v>
      </c>
      <c r="E293" s="5" t="s">
        <v>19</v>
      </c>
      <c r="F293" s="5">
        <v>1</v>
      </c>
      <c r="G293" s="5">
        <v>5165</v>
      </c>
      <c r="H293" s="5">
        <v>2</v>
      </c>
      <c r="I293" s="6">
        <v>46058</v>
      </c>
      <c r="J293" s="6">
        <v>46060</v>
      </c>
      <c r="K293" s="10" t="s">
        <v>15</v>
      </c>
      <c r="L293" s="21">
        <f t="shared" si="4"/>
        <v>5061.7</v>
      </c>
    </row>
    <row r="294" spans="1:12" ht="15" thickBot="1" x14ac:dyDescent="0.4">
      <c r="A294" s="5">
        <v>1026</v>
      </c>
      <c r="B294" s="5" t="s">
        <v>49</v>
      </c>
      <c r="C294" s="5" t="s">
        <v>31</v>
      </c>
      <c r="D294" s="5" t="s">
        <v>13</v>
      </c>
      <c r="E294" s="5" t="s">
        <v>50</v>
      </c>
      <c r="F294" s="5">
        <v>17</v>
      </c>
      <c r="G294" s="5">
        <v>323</v>
      </c>
      <c r="H294" s="5">
        <v>10</v>
      </c>
      <c r="I294" s="6">
        <v>46039</v>
      </c>
      <c r="J294" s="6">
        <v>46040</v>
      </c>
      <c r="K294" s="10" t="s">
        <v>29</v>
      </c>
      <c r="L294" s="21">
        <f t="shared" si="4"/>
        <v>4941.9000000000005</v>
      </c>
    </row>
    <row r="295" spans="1:12" ht="15" thickBot="1" x14ac:dyDescent="0.4">
      <c r="A295" s="5">
        <v>1204</v>
      </c>
      <c r="B295" s="5" t="s">
        <v>16</v>
      </c>
      <c r="C295" s="5" t="s">
        <v>31</v>
      </c>
      <c r="D295" s="5" t="s">
        <v>13</v>
      </c>
      <c r="E295" s="5" t="s">
        <v>37</v>
      </c>
      <c r="F295" s="5">
        <v>13</v>
      </c>
      <c r="G295" s="5">
        <v>416</v>
      </c>
      <c r="H295" s="5">
        <v>10</v>
      </c>
      <c r="I295" s="6">
        <v>46123</v>
      </c>
      <c r="J295" s="6">
        <v>46132</v>
      </c>
      <c r="K295" s="10" t="s">
        <v>20</v>
      </c>
      <c r="L295" s="21">
        <f t="shared" si="4"/>
        <v>4867.2</v>
      </c>
    </row>
    <row r="296" spans="1:12" ht="15" thickBot="1" x14ac:dyDescent="0.4">
      <c r="A296" s="5">
        <v>1167</v>
      </c>
      <c r="B296" s="5" t="s">
        <v>48</v>
      </c>
      <c r="C296" s="5" t="s">
        <v>17</v>
      </c>
      <c r="D296" s="5" t="s">
        <v>13</v>
      </c>
      <c r="E296" s="5" t="s">
        <v>37</v>
      </c>
      <c r="F296" s="5">
        <v>20</v>
      </c>
      <c r="G296" s="5">
        <v>251</v>
      </c>
      <c r="H296" s="5">
        <v>5</v>
      </c>
      <c r="I296" s="6">
        <v>46160</v>
      </c>
      <c r="J296" s="6">
        <v>46170</v>
      </c>
      <c r="K296" s="10" t="s">
        <v>29</v>
      </c>
      <c r="L296" s="21">
        <f t="shared" si="4"/>
        <v>4769</v>
      </c>
    </row>
    <row r="297" spans="1:12" ht="15" thickBot="1" x14ac:dyDescent="0.4">
      <c r="A297" s="5">
        <v>1337</v>
      </c>
      <c r="B297" s="5" t="s">
        <v>16</v>
      </c>
      <c r="C297" s="5" t="s">
        <v>12</v>
      </c>
      <c r="D297" s="5" t="s">
        <v>13</v>
      </c>
      <c r="E297" s="5" t="s">
        <v>53</v>
      </c>
      <c r="F297" s="5">
        <v>14</v>
      </c>
      <c r="G297" s="5">
        <v>373</v>
      </c>
      <c r="H297" s="5">
        <v>10</v>
      </c>
      <c r="I297" s="6">
        <v>46074</v>
      </c>
      <c r="J297" s="6">
        <v>46080</v>
      </c>
      <c r="K297" s="10" t="s">
        <v>29</v>
      </c>
      <c r="L297" s="21">
        <f t="shared" si="4"/>
        <v>4699.8</v>
      </c>
    </row>
    <row r="298" spans="1:12" ht="15" thickBot="1" x14ac:dyDescent="0.4">
      <c r="A298" s="5">
        <v>1087</v>
      </c>
      <c r="B298" s="5" t="s">
        <v>11</v>
      </c>
      <c r="C298" s="5" t="s">
        <v>31</v>
      </c>
      <c r="D298" s="5" t="s">
        <v>13</v>
      </c>
      <c r="E298" s="5" t="s">
        <v>37</v>
      </c>
      <c r="F298" s="5">
        <v>13</v>
      </c>
      <c r="G298" s="5">
        <v>387</v>
      </c>
      <c r="H298" s="5">
        <v>7</v>
      </c>
      <c r="I298" s="6">
        <v>46171</v>
      </c>
      <c r="J298" s="6">
        <v>46176</v>
      </c>
      <c r="K298" s="10" t="s">
        <v>24</v>
      </c>
      <c r="L298" s="21">
        <f t="shared" si="4"/>
        <v>4678.83</v>
      </c>
    </row>
    <row r="299" spans="1:12" ht="15" thickBot="1" x14ac:dyDescent="0.4">
      <c r="A299" s="5">
        <v>1151</v>
      </c>
      <c r="B299" s="5" t="s">
        <v>46</v>
      </c>
      <c r="C299" s="5" t="s">
        <v>43</v>
      </c>
      <c r="D299" s="5" t="s">
        <v>13</v>
      </c>
      <c r="E299" s="5" t="s">
        <v>50</v>
      </c>
      <c r="F299" s="5">
        <v>20</v>
      </c>
      <c r="G299" s="5">
        <v>272</v>
      </c>
      <c r="H299" s="5">
        <v>15</v>
      </c>
      <c r="I299" s="6">
        <v>46024</v>
      </c>
      <c r="J299" s="6">
        <v>46029</v>
      </c>
      <c r="K299" s="10" t="s">
        <v>51</v>
      </c>
      <c r="L299" s="21">
        <f t="shared" si="4"/>
        <v>4624</v>
      </c>
    </row>
    <row r="300" spans="1:12" ht="15" thickBot="1" x14ac:dyDescent="0.4">
      <c r="A300" s="5">
        <v>1383</v>
      </c>
      <c r="B300" s="5" t="s">
        <v>32</v>
      </c>
      <c r="C300" s="5" t="s">
        <v>12</v>
      </c>
      <c r="D300" s="5" t="s">
        <v>13</v>
      </c>
      <c r="E300" s="5" t="s">
        <v>53</v>
      </c>
      <c r="F300" s="5">
        <v>14</v>
      </c>
      <c r="G300" s="5">
        <v>334</v>
      </c>
      <c r="H300" s="5">
        <v>10</v>
      </c>
      <c r="I300" s="6">
        <v>46196</v>
      </c>
      <c r="J300" s="6">
        <v>46203</v>
      </c>
      <c r="K300" s="10" t="s">
        <v>15</v>
      </c>
      <c r="L300" s="21">
        <f t="shared" si="4"/>
        <v>4208.4000000000005</v>
      </c>
    </row>
    <row r="301" spans="1:12" ht="15" thickBot="1" x14ac:dyDescent="0.4">
      <c r="A301" s="5">
        <v>1050</v>
      </c>
      <c r="B301" s="5" t="s">
        <v>32</v>
      </c>
      <c r="C301" s="5" t="s">
        <v>25</v>
      </c>
      <c r="D301" s="5" t="s">
        <v>13</v>
      </c>
      <c r="E301" s="5" t="s">
        <v>53</v>
      </c>
      <c r="F301" s="5">
        <v>12</v>
      </c>
      <c r="G301" s="5">
        <v>360</v>
      </c>
      <c r="H301" s="5">
        <v>5</v>
      </c>
      <c r="I301" s="6">
        <v>46127</v>
      </c>
      <c r="J301" s="6">
        <v>46137</v>
      </c>
      <c r="K301" s="10" t="s">
        <v>29</v>
      </c>
      <c r="L301" s="21">
        <f t="shared" si="4"/>
        <v>4104</v>
      </c>
    </row>
    <row r="302" spans="1:12" ht="15" thickBot="1" x14ac:dyDescent="0.4">
      <c r="A302" s="5">
        <v>1370</v>
      </c>
      <c r="B302" s="5" t="s">
        <v>59</v>
      </c>
      <c r="C302" s="5" t="s">
        <v>38</v>
      </c>
      <c r="D302" s="5" t="s">
        <v>13</v>
      </c>
      <c r="E302" s="5" t="s">
        <v>53</v>
      </c>
      <c r="F302" s="5">
        <v>13</v>
      </c>
      <c r="G302" s="5">
        <v>337</v>
      </c>
      <c r="H302" s="5">
        <v>7</v>
      </c>
      <c r="I302" s="6">
        <v>46184</v>
      </c>
      <c r="J302" s="6">
        <v>46188</v>
      </c>
      <c r="K302" s="10" t="s">
        <v>15</v>
      </c>
      <c r="L302" s="21">
        <f t="shared" si="4"/>
        <v>4074.33</v>
      </c>
    </row>
    <row r="303" spans="1:12" ht="15" thickBot="1" x14ac:dyDescent="0.4">
      <c r="A303" s="5">
        <v>1180</v>
      </c>
      <c r="B303" s="5" t="s">
        <v>40</v>
      </c>
      <c r="C303" s="5" t="s">
        <v>31</v>
      </c>
      <c r="D303" s="5" t="s">
        <v>18</v>
      </c>
      <c r="E303" s="5" t="s">
        <v>28</v>
      </c>
      <c r="F303" s="5">
        <v>2</v>
      </c>
      <c r="G303" s="5">
        <v>2076</v>
      </c>
      <c r="H303" s="5">
        <v>2</v>
      </c>
      <c r="I303" s="6">
        <v>46111</v>
      </c>
      <c r="J303" s="6">
        <v>46121</v>
      </c>
      <c r="K303" s="10" t="s">
        <v>29</v>
      </c>
      <c r="L303" s="21">
        <f t="shared" si="4"/>
        <v>4068.96</v>
      </c>
    </row>
    <row r="304" spans="1:12" ht="15" thickBot="1" x14ac:dyDescent="0.4">
      <c r="A304" s="5">
        <v>1120</v>
      </c>
      <c r="B304" s="5" t="s">
        <v>32</v>
      </c>
      <c r="C304" s="5" t="s">
        <v>38</v>
      </c>
      <c r="D304" s="5" t="s">
        <v>13</v>
      </c>
      <c r="E304" s="5" t="s">
        <v>36</v>
      </c>
      <c r="F304" s="5">
        <v>10</v>
      </c>
      <c r="G304" s="5">
        <v>438</v>
      </c>
      <c r="H304" s="5">
        <v>10</v>
      </c>
      <c r="I304" s="6">
        <v>46061</v>
      </c>
      <c r="J304" s="6">
        <v>46065</v>
      </c>
      <c r="K304" s="10" t="s">
        <v>51</v>
      </c>
      <c r="L304" s="21">
        <f t="shared" si="4"/>
        <v>3942</v>
      </c>
    </row>
    <row r="305" spans="1:12" ht="15" thickBot="1" x14ac:dyDescent="0.4">
      <c r="A305" s="5">
        <v>1030</v>
      </c>
      <c r="B305" s="5" t="s">
        <v>52</v>
      </c>
      <c r="C305" s="5" t="s">
        <v>12</v>
      </c>
      <c r="D305" s="5" t="s">
        <v>13</v>
      </c>
      <c r="E305" s="5" t="s">
        <v>53</v>
      </c>
      <c r="F305" s="5">
        <v>13</v>
      </c>
      <c r="G305" s="5">
        <v>336</v>
      </c>
      <c r="H305" s="5">
        <v>10</v>
      </c>
      <c r="I305" s="6">
        <v>46098</v>
      </c>
      <c r="J305" s="6">
        <v>46108</v>
      </c>
      <c r="K305" s="10" t="s">
        <v>15</v>
      </c>
      <c r="L305" s="21">
        <f t="shared" si="4"/>
        <v>3931.2000000000003</v>
      </c>
    </row>
    <row r="306" spans="1:12" ht="15" thickBot="1" x14ac:dyDescent="0.4">
      <c r="A306" s="5">
        <v>1344</v>
      </c>
      <c r="B306" s="5" t="s">
        <v>30</v>
      </c>
      <c r="C306" s="5" t="s">
        <v>17</v>
      </c>
      <c r="D306" s="5" t="s">
        <v>13</v>
      </c>
      <c r="E306" s="5" t="s">
        <v>53</v>
      </c>
      <c r="F306" s="5">
        <v>18</v>
      </c>
      <c r="G306" s="5">
        <v>240</v>
      </c>
      <c r="H306" s="5">
        <v>10</v>
      </c>
      <c r="I306" s="6">
        <v>46155</v>
      </c>
      <c r="J306" s="6">
        <v>46156</v>
      </c>
      <c r="K306" s="10" t="s">
        <v>24</v>
      </c>
      <c r="L306" s="21">
        <f t="shared" si="4"/>
        <v>3888</v>
      </c>
    </row>
    <row r="307" spans="1:12" ht="15" thickBot="1" x14ac:dyDescent="0.4">
      <c r="A307" s="5">
        <v>1137</v>
      </c>
      <c r="B307" s="5" t="s">
        <v>52</v>
      </c>
      <c r="C307" s="5" t="s">
        <v>12</v>
      </c>
      <c r="D307" s="5" t="s">
        <v>13</v>
      </c>
      <c r="E307" s="5" t="s">
        <v>37</v>
      </c>
      <c r="F307" s="5">
        <v>16</v>
      </c>
      <c r="G307" s="5">
        <v>270</v>
      </c>
      <c r="H307" s="5">
        <v>10</v>
      </c>
      <c r="I307" s="6">
        <v>46184</v>
      </c>
      <c r="J307" s="6">
        <v>46190</v>
      </c>
      <c r="K307" s="10" t="s">
        <v>29</v>
      </c>
      <c r="L307" s="21">
        <f t="shared" si="4"/>
        <v>3888</v>
      </c>
    </row>
    <row r="308" spans="1:12" ht="15" thickBot="1" x14ac:dyDescent="0.4">
      <c r="A308" s="5">
        <v>1329</v>
      </c>
      <c r="B308" s="5" t="s">
        <v>30</v>
      </c>
      <c r="C308" s="5" t="s">
        <v>43</v>
      </c>
      <c r="D308" s="5" t="s">
        <v>13</v>
      </c>
      <c r="E308" s="5" t="s">
        <v>53</v>
      </c>
      <c r="F308" s="5">
        <v>18</v>
      </c>
      <c r="G308" s="5">
        <v>227</v>
      </c>
      <c r="H308" s="5">
        <v>5</v>
      </c>
      <c r="I308" s="6">
        <v>46126</v>
      </c>
      <c r="J308" s="6">
        <v>46136</v>
      </c>
      <c r="K308" s="10" t="s">
        <v>29</v>
      </c>
      <c r="L308" s="21">
        <f t="shared" si="4"/>
        <v>3881.7</v>
      </c>
    </row>
    <row r="309" spans="1:12" ht="15" thickBot="1" x14ac:dyDescent="0.4">
      <c r="A309" s="5">
        <v>1277</v>
      </c>
      <c r="B309" s="5" t="s">
        <v>59</v>
      </c>
      <c r="C309" s="5" t="s">
        <v>17</v>
      </c>
      <c r="D309" s="5" t="s">
        <v>13</v>
      </c>
      <c r="E309" s="5" t="s">
        <v>36</v>
      </c>
      <c r="F309" s="5">
        <v>14</v>
      </c>
      <c r="G309" s="5">
        <v>276</v>
      </c>
      <c r="H309" s="5">
        <v>0</v>
      </c>
      <c r="I309" s="6">
        <v>46086</v>
      </c>
      <c r="J309" s="6">
        <v>46089</v>
      </c>
      <c r="K309" s="10" t="s">
        <v>15</v>
      </c>
      <c r="L309" s="21">
        <f t="shared" si="4"/>
        <v>3864</v>
      </c>
    </row>
    <row r="310" spans="1:12" ht="15" thickBot="1" x14ac:dyDescent="0.4">
      <c r="A310" s="5">
        <v>1042</v>
      </c>
      <c r="B310" s="5" t="s">
        <v>46</v>
      </c>
      <c r="C310" s="5" t="s">
        <v>33</v>
      </c>
      <c r="D310" s="5" t="s">
        <v>13</v>
      </c>
      <c r="E310" s="5" t="s">
        <v>53</v>
      </c>
      <c r="F310" s="5">
        <v>16</v>
      </c>
      <c r="G310" s="5">
        <v>232</v>
      </c>
      <c r="H310" s="5">
        <v>0</v>
      </c>
      <c r="I310" s="6">
        <v>46081</v>
      </c>
      <c r="J310" s="6">
        <v>46088</v>
      </c>
      <c r="K310" s="10" t="s">
        <v>29</v>
      </c>
      <c r="L310" s="21">
        <f t="shared" si="4"/>
        <v>3712</v>
      </c>
    </row>
    <row r="311" spans="1:12" ht="15" thickBot="1" x14ac:dyDescent="0.4">
      <c r="A311" s="5">
        <v>1287</v>
      </c>
      <c r="B311" s="5" t="s">
        <v>59</v>
      </c>
      <c r="C311" s="5" t="s">
        <v>31</v>
      </c>
      <c r="D311" s="5" t="s">
        <v>13</v>
      </c>
      <c r="E311" s="5" t="s">
        <v>14</v>
      </c>
      <c r="F311" s="5">
        <v>15</v>
      </c>
      <c r="G311" s="5">
        <v>251</v>
      </c>
      <c r="H311" s="5">
        <v>2</v>
      </c>
      <c r="I311" s="6">
        <v>46116</v>
      </c>
      <c r="J311" s="6">
        <v>46122</v>
      </c>
      <c r="K311" s="10" t="s">
        <v>51</v>
      </c>
      <c r="L311" s="21">
        <f t="shared" si="4"/>
        <v>3689.7</v>
      </c>
    </row>
    <row r="312" spans="1:12" ht="15" thickBot="1" x14ac:dyDescent="0.4">
      <c r="A312" s="5">
        <v>1252</v>
      </c>
      <c r="B312" s="5" t="s">
        <v>47</v>
      </c>
      <c r="C312" s="5" t="s">
        <v>25</v>
      </c>
      <c r="D312" s="5" t="s">
        <v>13</v>
      </c>
      <c r="E312" s="5" t="s">
        <v>36</v>
      </c>
      <c r="F312" s="5">
        <v>15</v>
      </c>
      <c r="G312" s="5">
        <v>257</v>
      </c>
      <c r="H312" s="5">
        <v>5</v>
      </c>
      <c r="I312" s="6">
        <v>46166</v>
      </c>
      <c r="J312" s="6">
        <v>46173</v>
      </c>
      <c r="K312" s="10" t="s">
        <v>20</v>
      </c>
      <c r="L312" s="21">
        <f t="shared" si="4"/>
        <v>3662.25</v>
      </c>
    </row>
    <row r="313" spans="1:12" ht="15" thickBot="1" x14ac:dyDescent="0.4">
      <c r="A313" s="5">
        <v>1074</v>
      </c>
      <c r="B313" s="5" t="s">
        <v>26</v>
      </c>
      <c r="C313" s="5" t="s">
        <v>31</v>
      </c>
      <c r="D313" s="5" t="s">
        <v>13</v>
      </c>
      <c r="E313" s="5" t="s">
        <v>50</v>
      </c>
      <c r="F313" s="5">
        <v>11</v>
      </c>
      <c r="G313" s="5">
        <v>390</v>
      </c>
      <c r="H313" s="5">
        <v>15</v>
      </c>
      <c r="I313" s="6">
        <v>46114</v>
      </c>
      <c r="J313" s="6">
        <v>46123</v>
      </c>
      <c r="K313" s="10" t="s">
        <v>29</v>
      </c>
      <c r="L313" s="21">
        <f t="shared" si="4"/>
        <v>3646.5</v>
      </c>
    </row>
    <row r="314" spans="1:12" ht="15" thickBot="1" x14ac:dyDescent="0.4">
      <c r="A314" s="5">
        <v>1324</v>
      </c>
      <c r="B314" s="5" t="s">
        <v>32</v>
      </c>
      <c r="C314" s="5" t="s">
        <v>22</v>
      </c>
      <c r="D314" s="5" t="s">
        <v>18</v>
      </c>
      <c r="E314" s="5" t="s">
        <v>19</v>
      </c>
      <c r="F314" s="5">
        <v>1</v>
      </c>
      <c r="G314" s="5">
        <v>4286</v>
      </c>
      <c r="H314" s="5">
        <v>15</v>
      </c>
      <c r="I314" s="6">
        <v>46053</v>
      </c>
      <c r="J314" s="6">
        <v>46056</v>
      </c>
      <c r="K314" s="10" t="s">
        <v>20</v>
      </c>
      <c r="L314" s="21">
        <f t="shared" si="4"/>
        <v>3643.1</v>
      </c>
    </row>
    <row r="315" spans="1:12" ht="15" thickBot="1" x14ac:dyDescent="0.4">
      <c r="A315" s="5">
        <v>1064</v>
      </c>
      <c r="B315" s="5" t="s">
        <v>26</v>
      </c>
      <c r="C315" s="5" t="s">
        <v>17</v>
      </c>
      <c r="D315" s="5" t="s">
        <v>13</v>
      </c>
      <c r="E315" s="5" t="s">
        <v>50</v>
      </c>
      <c r="F315" s="5">
        <v>20</v>
      </c>
      <c r="G315" s="5">
        <v>191</v>
      </c>
      <c r="H315" s="5">
        <v>7</v>
      </c>
      <c r="I315" s="6">
        <v>46185</v>
      </c>
      <c r="J315" s="6">
        <v>46195</v>
      </c>
      <c r="K315" s="10" t="s">
        <v>29</v>
      </c>
      <c r="L315" s="21">
        <f t="shared" si="4"/>
        <v>3552.6</v>
      </c>
    </row>
    <row r="316" spans="1:12" ht="15" thickBot="1" x14ac:dyDescent="0.4">
      <c r="A316" s="5">
        <v>1038</v>
      </c>
      <c r="B316" s="5" t="s">
        <v>55</v>
      </c>
      <c r="C316" s="5" t="s">
        <v>17</v>
      </c>
      <c r="D316" s="5" t="s">
        <v>13</v>
      </c>
      <c r="E316" s="5" t="s">
        <v>36</v>
      </c>
      <c r="F316" s="5">
        <v>17</v>
      </c>
      <c r="G316" s="5">
        <v>223</v>
      </c>
      <c r="H316" s="5">
        <v>7</v>
      </c>
      <c r="I316" s="6">
        <v>46030</v>
      </c>
      <c r="J316" s="6">
        <v>46031</v>
      </c>
      <c r="K316" s="10" t="s">
        <v>51</v>
      </c>
      <c r="L316" s="21">
        <f t="shared" si="4"/>
        <v>3525.6299999999997</v>
      </c>
    </row>
    <row r="317" spans="1:12" ht="15" thickBot="1" x14ac:dyDescent="0.4">
      <c r="A317" s="5">
        <v>1210</v>
      </c>
      <c r="B317" s="5" t="s">
        <v>30</v>
      </c>
      <c r="C317" s="5" t="s">
        <v>31</v>
      </c>
      <c r="D317" s="5" t="s">
        <v>13</v>
      </c>
      <c r="E317" s="5" t="s">
        <v>53</v>
      </c>
      <c r="F317" s="5">
        <v>10</v>
      </c>
      <c r="G317" s="5">
        <v>349</v>
      </c>
      <c r="H317" s="5">
        <v>0</v>
      </c>
      <c r="I317" s="6">
        <v>46052</v>
      </c>
      <c r="J317" s="6">
        <v>46060</v>
      </c>
      <c r="K317" s="10" t="s">
        <v>29</v>
      </c>
      <c r="L317" s="21">
        <f t="shared" si="4"/>
        <v>3490</v>
      </c>
    </row>
    <row r="318" spans="1:12" ht="15" thickBot="1" x14ac:dyDescent="0.4">
      <c r="A318" s="5">
        <v>1361</v>
      </c>
      <c r="B318" s="5" t="s">
        <v>42</v>
      </c>
      <c r="C318" s="5" t="s">
        <v>17</v>
      </c>
      <c r="D318" s="5" t="s">
        <v>18</v>
      </c>
      <c r="E318" s="5" t="s">
        <v>23</v>
      </c>
      <c r="F318" s="5">
        <v>2</v>
      </c>
      <c r="G318" s="5">
        <v>1822</v>
      </c>
      <c r="H318" s="5">
        <v>5</v>
      </c>
      <c r="I318" s="6">
        <v>46141</v>
      </c>
      <c r="J318" s="6">
        <v>46145</v>
      </c>
      <c r="K318" s="10" t="s">
        <v>20</v>
      </c>
      <c r="L318" s="21">
        <f t="shared" si="4"/>
        <v>3461.7999999999997</v>
      </c>
    </row>
    <row r="319" spans="1:12" ht="15" thickBot="1" x14ac:dyDescent="0.4">
      <c r="A319" s="5">
        <v>1235</v>
      </c>
      <c r="B319" s="5" t="s">
        <v>57</v>
      </c>
      <c r="C319" s="5" t="s">
        <v>25</v>
      </c>
      <c r="D319" s="5" t="s">
        <v>13</v>
      </c>
      <c r="E319" s="5" t="s">
        <v>50</v>
      </c>
      <c r="F319" s="5">
        <v>15</v>
      </c>
      <c r="G319" s="5">
        <v>267</v>
      </c>
      <c r="H319" s="5">
        <v>15</v>
      </c>
      <c r="I319" s="6">
        <v>46172</v>
      </c>
      <c r="J319" s="6">
        <v>46177</v>
      </c>
      <c r="K319" s="10" t="s">
        <v>29</v>
      </c>
      <c r="L319" s="21">
        <f t="shared" si="4"/>
        <v>3404.25</v>
      </c>
    </row>
    <row r="320" spans="1:12" ht="15" thickBot="1" x14ac:dyDescent="0.4">
      <c r="A320" s="5">
        <v>1144</v>
      </c>
      <c r="B320" s="5" t="s">
        <v>42</v>
      </c>
      <c r="C320" s="5" t="s">
        <v>25</v>
      </c>
      <c r="D320" s="5" t="s">
        <v>13</v>
      </c>
      <c r="E320" s="5" t="s">
        <v>14</v>
      </c>
      <c r="F320" s="5">
        <v>16</v>
      </c>
      <c r="G320" s="5">
        <v>219</v>
      </c>
      <c r="H320" s="5">
        <v>7</v>
      </c>
      <c r="I320" s="6">
        <v>46138</v>
      </c>
      <c r="J320" s="6">
        <v>46140</v>
      </c>
      <c r="K320" s="10" t="s">
        <v>20</v>
      </c>
      <c r="L320" s="21">
        <f t="shared" si="4"/>
        <v>3258.72</v>
      </c>
    </row>
    <row r="321" spans="1:12" ht="15" thickBot="1" x14ac:dyDescent="0.4">
      <c r="A321" s="5">
        <v>1247</v>
      </c>
      <c r="B321" s="5" t="s">
        <v>26</v>
      </c>
      <c r="C321" s="5" t="s">
        <v>12</v>
      </c>
      <c r="D321" s="5" t="s">
        <v>13</v>
      </c>
      <c r="E321" s="5" t="s">
        <v>50</v>
      </c>
      <c r="F321" s="5">
        <v>10</v>
      </c>
      <c r="G321" s="5">
        <v>336</v>
      </c>
      <c r="H321" s="5">
        <v>7</v>
      </c>
      <c r="I321" s="6">
        <v>46173</v>
      </c>
      <c r="J321" s="6">
        <v>46175</v>
      </c>
      <c r="K321" s="10" t="s">
        <v>20</v>
      </c>
      <c r="L321" s="21">
        <f t="shared" si="4"/>
        <v>3124.7999999999997</v>
      </c>
    </row>
    <row r="322" spans="1:12" ht="15" thickBot="1" x14ac:dyDescent="0.4">
      <c r="A322" s="5">
        <v>1261</v>
      </c>
      <c r="B322" s="5" t="s">
        <v>40</v>
      </c>
      <c r="C322" s="5" t="s">
        <v>17</v>
      </c>
      <c r="D322" s="5" t="s">
        <v>13</v>
      </c>
      <c r="E322" s="5" t="s">
        <v>50</v>
      </c>
      <c r="F322" s="5">
        <v>20</v>
      </c>
      <c r="G322" s="5">
        <v>162</v>
      </c>
      <c r="H322" s="5">
        <v>7</v>
      </c>
      <c r="I322" s="6">
        <v>46119</v>
      </c>
      <c r="J322" s="6">
        <v>46120</v>
      </c>
      <c r="K322" s="10" t="s">
        <v>51</v>
      </c>
      <c r="L322" s="21">
        <f t="shared" ref="L322:L385" si="5">F322*G322*(1-H322/100)</f>
        <v>3013.2</v>
      </c>
    </row>
    <row r="323" spans="1:12" ht="15" thickBot="1" x14ac:dyDescent="0.4">
      <c r="A323" s="5">
        <v>1332</v>
      </c>
      <c r="B323" s="5" t="s">
        <v>29</v>
      </c>
      <c r="C323" s="5" t="s">
        <v>43</v>
      </c>
      <c r="D323" s="5" t="s">
        <v>13</v>
      </c>
      <c r="E323" s="5" t="s">
        <v>50</v>
      </c>
      <c r="F323" s="5">
        <v>7</v>
      </c>
      <c r="G323" s="5">
        <v>439</v>
      </c>
      <c r="H323" s="5">
        <v>2</v>
      </c>
      <c r="I323" s="6">
        <v>46154</v>
      </c>
      <c r="J323" s="6">
        <v>46157</v>
      </c>
      <c r="K323" s="10" t="s">
        <v>15</v>
      </c>
      <c r="L323" s="21">
        <f t="shared" si="5"/>
        <v>3011.54</v>
      </c>
    </row>
    <row r="324" spans="1:12" ht="15" thickBot="1" x14ac:dyDescent="0.4">
      <c r="A324" s="5">
        <v>1036</v>
      </c>
      <c r="B324" s="5" t="s">
        <v>11</v>
      </c>
      <c r="C324" s="5" t="s">
        <v>25</v>
      </c>
      <c r="D324" s="5" t="s">
        <v>13</v>
      </c>
      <c r="E324" s="5" t="s">
        <v>36</v>
      </c>
      <c r="F324" s="5">
        <v>20</v>
      </c>
      <c r="G324" s="5">
        <v>161</v>
      </c>
      <c r="H324" s="5">
        <v>7</v>
      </c>
      <c r="I324" s="6">
        <v>46071</v>
      </c>
      <c r="J324" s="6">
        <v>46077</v>
      </c>
      <c r="K324" s="10" t="s">
        <v>24</v>
      </c>
      <c r="L324" s="21">
        <f t="shared" si="5"/>
        <v>2994.6</v>
      </c>
    </row>
    <row r="325" spans="1:12" ht="15" thickBot="1" x14ac:dyDescent="0.4">
      <c r="A325" s="5">
        <v>1100</v>
      </c>
      <c r="B325" s="5" t="s">
        <v>11</v>
      </c>
      <c r="C325" s="5" t="s">
        <v>31</v>
      </c>
      <c r="D325" s="5" t="s">
        <v>13</v>
      </c>
      <c r="E325" s="5" t="s">
        <v>14</v>
      </c>
      <c r="F325" s="5">
        <v>11</v>
      </c>
      <c r="G325" s="5">
        <v>296</v>
      </c>
      <c r="H325" s="5">
        <v>10</v>
      </c>
      <c r="I325" s="6">
        <v>46027</v>
      </c>
      <c r="J325" s="6">
        <v>46031</v>
      </c>
      <c r="K325" s="10" t="s">
        <v>51</v>
      </c>
      <c r="L325" s="21">
        <f t="shared" si="5"/>
        <v>2930.4</v>
      </c>
    </row>
    <row r="326" spans="1:12" ht="15" thickBot="1" x14ac:dyDescent="0.4">
      <c r="A326" s="5">
        <v>1353</v>
      </c>
      <c r="B326" s="5" t="s">
        <v>47</v>
      </c>
      <c r="C326" s="5" t="s">
        <v>43</v>
      </c>
      <c r="D326" s="5" t="s">
        <v>13</v>
      </c>
      <c r="E326" s="5" t="s">
        <v>14</v>
      </c>
      <c r="F326" s="5">
        <v>6</v>
      </c>
      <c r="G326" s="5">
        <v>495</v>
      </c>
      <c r="H326" s="5">
        <v>2</v>
      </c>
      <c r="I326" s="6">
        <v>46194</v>
      </c>
      <c r="J326" s="6">
        <v>46200</v>
      </c>
      <c r="K326" s="10" t="s">
        <v>24</v>
      </c>
      <c r="L326" s="21">
        <f t="shared" si="5"/>
        <v>2910.6</v>
      </c>
    </row>
    <row r="327" spans="1:12" ht="15" thickBot="1" x14ac:dyDescent="0.4">
      <c r="A327" s="5">
        <v>1173</v>
      </c>
      <c r="B327" s="5" t="s">
        <v>40</v>
      </c>
      <c r="C327" s="5" t="s">
        <v>17</v>
      </c>
      <c r="D327" s="5" t="s">
        <v>13</v>
      </c>
      <c r="E327" s="5" t="s">
        <v>37</v>
      </c>
      <c r="F327" s="5">
        <v>15</v>
      </c>
      <c r="G327" s="5">
        <v>214</v>
      </c>
      <c r="H327" s="5">
        <v>10</v>
      </c>
      <c r="I327" s="6">
        <v>46050</v>
      </c>
      <c r="J327" s="6">
        <v>46060</v>
      </c>
      <c r="K327" s="10" t="s">
        <v>51</v>
      </c>
      <c r="L327" s="21">
        <f t="shared" si="5"/>
        <v>2889</v>
      </c>
    </row>
    <row r="328" spans="1:12" ht="15" thickBot="1" x14ac:dyDescent="0.4">
      <c r="A328" s="5">
        <v>1055</v>
      </c>
      <c r="B328" s="5" t="s">
        <v>48</v>
      </c>
      <c r="C328" s="5" t="s">
        <v>12</v>
      </c>
      <c r="D328" s="5" t="s">
        <v>13</v>
      </c>
      <c r="E328" s="5" t="s">
        <v>37</v>
      </c>
      <c r="F328" s="5">
        <v>18</v>
      </c>
      <c r="G328" s="5">
        <v>185</v>
      </c>
      <c r="H328" s="5">
        <v>15</v>
      </c>
      <c r="I328" s="6">
        <v>46077</v>
      </c>
      <c r="J328" s="6">
        <v>46078</v>
      </c>
      <c r="K328" s="10" t="s">
        <v>15</v>
      </c>
      <c r="L328" s="21">
        <f t="shared" si="5"/>
        <v>2830.5</v>
      </c>
    </row>
    <row r="329" spans="1:12" ht="15" thickBot="1" x14ac:dyDescent="0.4">
      <c r="A329" s="5">
        <v>1348</v>
      </c>
      <c r="B329" s="5" t="s">
        <v>11</v>
      </c>
      <c r="C329" s="5" t="s">
        <v>33</v>
      </c>
      <c r="D329" s="5" t="s">
        <v>13</v>
      </c>
      <c r="E329" s="5" t="s">
        <v>50</v>
      </c>
      <c r="F329" s="5">
        <v>12</v>
      </c>
      <c r="G329" s="5">
        <v>244</v>
      </c>
      <c r="H329" s="5">
        <v>7</v>
      </c>
      <c r="I329" s="6">
        <v>46048</v>
      </c>
      <c r="J329" s="6">
        <v>46053</v>
      </c>
      <c r="K329" s="10" t="s">
        <v>15</v>
      </c>
      <c r="L329" s="21">
        <f t="shared" si="5"/>
        <v>2723.04</v>
      </c>
    </row>
    <row r="330" spans="1:12" ht="15" thickBot="1" x14ac:dyDescent="0.4">
      <c r="A330" s="5">
        <v>1007</v>
      </c>
      <c r="B330" s="5" t="s">
        <v>21</v>
      </c>
      <c r="C330" s="5" t="s">
        <v>22</v>
      </c>
      <c r="D330" s="5" t="s">
        <v>13</v>
      </c>
      <c r="E330" s="5" t="s">
        <v>14</v>
      </c>
      <c r="F330" s="5">
        <v>19</v>
      </c>
      <c r="G330" s="5">
        <v>149</v>
      </c>
      <c r="H330" s="5">
        <v>7</v>
      </c>
      <c r="I330" s="6">
        <v>46162</v>
      </c>
      <c r="J330" s="6">
        <v>46168</v>
      </c>
      <c r="K330" s="10" t="s">
        <v>24</v>
      </c>
      <c r="L330" s="21">
        <f t="shared" si="5"/>
        <v>2632.83</v>
      </c>
    </row>
    <row r="331" spans="1:12" ht="15" thickBot="1" x14ac:dyDescent="0.4">
      <c r="A331" s="5">
        <v>1052</v>
      </c>
      <c r="B331" s="5" t="s">
        <v>55</v>
      </c>
      <c r="C331" s="5" t="s">
        <v>12</v>
      </c>
      <c r="D331" s="5" t="s">
        <v>13</v>
      </c>
      <c r="E331" s="5" t="s">
        <v>14</v>
      </c>
      <c r="F331" s="5">
        <v>17</v>
      </c>
      <c r="G331" s="5">
        <v>172</v>
      </c>
      <c r="H331" s="5">
        <v>10</v>
      </c>
      <c r="I331" s="6">
        <v>46159</v>
      </c>
      <c r="J331" s="6">
        <v>46165</v>
      </c>
      <c r="K331" s="10" t="s">
        <v>20</v>
      </c>
      <c r="L331" s="21">
        <f t="shared" si="5"/>
        <v>2631.6</v>
      </c>
    </row>
    <row r="332" spans="1:12" ht="15" thickBot="1" x14ac:dyDescent="0.4">
      <c r="A332" s="5">
        <v>1285</v>
      </c>
      <c r="B332" s="5" t="s">
        <v>32</v>
      </c>
      <c r="C332" s="5" t="s">
        <v>38</v>
      </c>
      <c r="D332" s="5" t="s">
        <v>13</v>
      </c>
      <c r="E332" s="5" t="s">
        <v>36</v>
      </c>
      <c r="F332" s="5">
        <v>7</v>
      </c>
      <c r="G332" s="5">
        <v>439</v>
      </c>
      <c r="H332" s="5">
        <v>15</v>
      </c>
      <c r="I332" s="6">
        <v>46055</v>
      </c>
      <c r="J332" s="6">
        <v>46058</v>
      </c>
      <c r="K332" s="10" t="s">
        <v>20</v>
      </c>
      <c r="L332" s="21">
        <f t="shared" si="5"/>
        <v>2612.0499999999997</v>
      </c>
    </row>
    <row r="333" spans="1:12" ht="15" thickBot="1" x14ac:dyDescent="0.4">
      <c r="A333" s="5">
        <v>1132</v>
      </c>
      <c r="B333" s="5" t="s">
        <v>11</v>
      </c>
      <c r="C333" s="5" t="s">
        <v>31</v>
      </c>
      <c r="D333" s="5" t="s">
        <v>13</v>
      </c>
      <c r="E333" s="5" t="s">
        <v>50</v>
      </c>
      <c r="F333" s="5">
        <v>10</v>
      </c>
      <c r="G333" s="5">
        <v>270</v>
      </c>
      <c r="H333" s="5">
        <v>7</v>
      </c>
      <c r="I333" s="6">
        <v>46024</v>
      </c>
      <c r="J333" s="6">
        <v>46034</v>
      </c>
      <c r="K333" s="10" t="s">
        <v>24</v>
      </c>
      <c r="L333" s="21">
        <f t="shared" si="5"/>
        <v>2511</v>
      </c>
    </row>
    <row r="334" spans="1:12" ht="15" thickBot="1" x14ac:dyDescent="0.4">
      <c r="A334" s="5">
        <v>1115</v>
      </c>
      <c r="B334" s="5" t="s">
        <v>59</v>
      </c>
      <c r="C334" s="5" t="s">
        <v>43</v>
      </c>
      <c r="D334" s="5" t="s">
        <v>13</v>
      </c>
      <c r="E334" s="5" t="s">
        <v>50</v>
      </c>
      <c r="F334" s="5">
        <v>9</v>
      </c>
      <c r="G334" s="5">
        <v>303</v>
      </c>
      <c r="H334" s="5">
        <v>10</v>
      </c>
      <c r="I334" s="6">
        <v>46149</v>
      </c>
      <c r="J334" s="6">
        <v>46157</v>
      </c>
      <c r="K334" s="10" t="s">
        <v>29</v>
      </c>
      <c r="L334" s="21">
        <f t="shared" si="5"/>
        <v>2454.3000000000002</v>
      </c>
    </row>
    <row r="335" spans="1:12" ht="15" thickBot="1" x14ac:dyDescent="0.4">
      <c r="A335" s="5">
        <v>1352</v>
      </c>
      <c r="B335" s="5" t="s">
        <v>54</v>
      </c>
      <c r="C335" s="5" t="s">
        <v>22</v>
      </c>
      <c r="D335" s="5" t="s">
        <v>13</v>
      </c>
      <c r="E335" s="5" t="s">
        <v>14</v>
      </c>
      <c r="F335" s="5">
        <v>12</v>
      </c>
      <c r="G335" s="5">
        <v>203</v>
      </c>
      <c r="H335" s="5">
        <v>5</v>
      </c>
      <c r="I335" s="6">
        <v>46024</v>
      </c>
      <c r="J335" s="6">
        <v>46033</v>
      </c>
      <c r="K335" s="10" t="s">
        <v>15</v>
      </c>
      <c r="L335" s="21">
        <f t="shared" si="5"/>
        <v>2314.1999999999998</v>
      </c>
    </row>
    <row r="336" spans="1:12" ht="15" thickBot="1" x14ac:dyDescent="0.4">
      <c r="A336" s="5">
        <v>1201</v>
      </c>
      <c r="B336" s="5" t="s">
        <v>54</v>
      </c>
      <c r="C336" s="5" t="s">
        <v>31</v>
      </c>
      <c r="D336" s="5" t="s">
        <v>13</v>
      </c>
      <c r="E336" s="5" t="s">
        <v>53</v>
      </c>
      <c r="F336" s="5">
        <v>18</v>
      </c>
      <c r="G336" s="5">
        <v>139</v>
      </c>
      <c r="H336" s="5">
        <v>12</v>
      </c>
      <c r="I336" s="6">
        <v>46075</v>
      </c>
      <c r="J336" s="6">
        <v>46076</v>
      </c>
      <c r="K336" s="10" t="s">
        <v>20</v>
      </c>
      <c r="L336" s="21">
        <f t="shared" si="5"/>
        <v>2201.7600000000002</v>
      </c>
    </row>
    <row r="337" spans="1:12" ht="15" thickBot="1" x14ac:dyDescent="0.4">
      <c r="A337" s="5">
        <v>1171</v>
      </c>
      <c r="B337" s="5" t="s">
        <v>57</v>
      </c>
      <c r="C337" s="5" t="s">
        <v>25</v>
      </c>
      <c r="D337" s="5" t="s">
        <v>13</v>
      </c>
      <c r="E337" s="5" t="s">
        <v>50</v>
      </c>
      <c r="F337" s="5">
        <v>17</v>
      </c>
      <c r="G337" s="5">
        <v>147</v>
      </c>
      <c r="H337" s="5">
        <v>12</v>
      </c>
      <c r="I337" s="6">
        <v>46155</v>
      </c>
      <c r="J337" s="6">
        <v>46160</v>
      </c>
      <c r="K337" s="10" t="s">
        <v>20</v>
      </c>
      <c r="L337" s="21">
        <f t="shared" si="5"/>
        <v>2199.12</v>
      </c>
    </row>
    <row r="338" spans="1:12" ht="15" thickBot="1" x14ac:dyDescent="0.4">
      <c r="A338" s="5">
        <v>1070</v>
      </c>
      <c r="B338" s="5" t="s">
        <v>52</v>
      </c>
      <c r="C338" s="5" t="s">
        <v>43</v>
      </c>
      <c r="D338" s="5" t="s">
        <v>13</v>
      </c>
      <c r="E338" s="5" t="s">
        <v>36</v>
      </c>
      <c r="F338" s="5">
        <v>10</v>
      </c>
      <c r="G338" s="5">
        <v>233</v>
      </c>
      <c r="H338" s="5">
        <v>7</v>
      </c>
      <c r="I338" s="6">
        <v>46076</v>
      </c>
      <c r="J338" s="6">
        <v>46077</v>
      </c>
      <c r="K338" s="10" t="s">
        <v>29</v>
      </c>
      <c r="L338" s="21">
        <f t="shared" si="5"/>
        <v>2166.8999999999996</v>
      </c>
    </row>
    <row r="339" spans="1:12" ht="15" thickBot="1" x14ac:dyDescent="0.4">
      <c r="A339" s="5">
        <v>1255</v>
      </c>
      <c r="B339" s="5" t="s">
        <v>32</v>
      </c>
      <c r="C339" s="5" t="s">
        <v>17</v>
      </c>
      <c r="D339" s="5" t="s">
        <v>18</v>
      </c>
      <c r="E339" s="5" t="s">
        <v>19</v>
      </c>
      <c r="F339" s="5">
        <v>1</v>
      </c>
      <c r="G339" s="5">
        <v>2240</v>
      </c>
      <c r="H339" s="5">
        <v>5</v>
      </c>
      <c r="I339" s="6">
        <v>46091</v>
      </c>
      <c r="J339" s="6">
        <v>46095</v>
      </c>
      <c r="K339" s="10" t="s">
        <v>20</v>
      </c>
      <c r="L339" s="21">
        <f t="shared" si="5"/>
        <v>2128</v>
      </c>
    </row>
    <row r="340" spans="1:12" ht="15" thickBot="1" x14ac:dyDescent="0.4">
      <c r="A340" s="5">
        <v>1236</v>
      </c>
      <c r="B340" s="5" t="s">
        <v>54</v>
      </c>
      <c r="C340" s="5" t="s">
        <v>43</v>
      </c>
      <c r="D340" s="5" t="s">
        <v>13</v>
      </c>
      <c r="E340" s="5" t="s">
        <v>37</v>
      </c>
      <c r="F340" s="5">
        <v>12</v>
      </c>
      <c r="G340" s="5">
        <v>189</v>
      </c>
      <c r="H340" s="5">
        <v>7</v>
      </c>
      <c r="I340" s="6">
        <v>46164</v>
      </c>
      <c r="J340" s="6">
        <v>46169</v>
      </c>
      <c r="K340" s="10" t="s">
        <v>29</v>
      </c>
      <c r="L340" s="21">
        <f t="shared" si="5"/>
        <v>2109.2399999999998</v>
      </c>
    </row>
    <row r="341" spans="1:12" ht="15" thickBot="1" x14ac:dyDescent="0.4">
      <c r="A341" s="5">
        <v>1357</v>
      </c>
      <c r="B341" s="5" t="s">
        <v>59</v>
      </c>
      <c r="C341" s="5" t="s">
        <v>25</v>
      </c>
      <c r="D341" s="5" t="s">
        <v>13</v>
      </c>
      <c r="E341" s="5" t="s">
        <v>37</v>
      </c>
      <c r="F341" s="5">
        <v>6</v>
      </c>
      <c r="G341" s="5">
        <v>365</v>
      </c>
      <c r="H341" s="5">
        <v>7</v>
      </c>
      <c r="I341" s="6">
        <v>46133</v>
      </c>
      <c r="J341" s="6">
        <v>46140</v>
      </c>
      <c r="K341" s="10" t="s">
        <v>51</v>
      </c>
      <c r="L341" s="21">
        <f t="shared" si="5"/>
        <v>2036.6999999999998</v>
      </c>
    </row>
    <row r="342" spans="1:12" ht="15" thickBot="1" x14ac:dyDescent="0.4">
      <c r="A342" s="5">
        <v>1059</v>
      </c>
      <c r="B342" s="5" t="s">
        <v>54</v>
      </c>
      <c r="C342" s="5" t="s">
        <v>25</v>
      </c>
      <c r="D342" s="5" t="s">
        <v>13</v>
      </c>
      <c r="E342" s="5" t="s">
        <v>50</v>
      </c>
      <c r="F342" s="5">
        <v>20</v>
      </c>
      <c r="G342" s="5">
        <v>112</v>
      </c>
      <c r="H342" s="5">
        <v>10</v>
      </c>
      <c r="I342" s="6">
        <v>46113</v>
      </c>
      <c r="J342" s="6">
        <v>46122</v>
      </c>
      <c r="K342" s="10" t="s">
        <v>51</v>
      </c>
      <c r="L342" s="21">
        <f t="shared" si="5"/>
        <v>2016</v>
      </c>
    </row>
    <row r="343" spans="1:12" ht="15" thickBot="1" x14ac:dyDescent="0.4">
      <c r="A343" s="5">
        <v>1156</v>
      </c>
      <c r="B343" s="5" t="s">
        <v>54</v>
      </c>
      <c r="C343" s="5" t="s">
        <v>38</v>
      </c>
      <c r="D343" s="5" t="s">
        <v>13</v>
      </c>
      <c r="E343" s="5" t="s">
        <v>36</v>
      </c>
      <c r="F343" s="5">
        <v>5</v>
      </c>
      <c r="G343" s="5">
        <v>466</v>
      </c>
      <c r="H343" s="5">
        <v>15</v>
      </c>
      <c r="I343" s="6">
        <v>46025</v>
      </c>
      <c r="J343" s="6">
        <v>46029</v>
      </c>
      <c r="K343" s="10" t="s">
        <v>15</v>
      </c>
      <c r="L343" s="21">
        <f t="shared" si="5"/>
        <v>1980.5</v>
      </c>
    </row>
    <row r="344" spans="1:12" ht="15" thickBot="1" x14ac:dyDescent="0.4">
      <c r="A344" s="5">
        <v>1174</v>
      </c>
      <c r="B344" s="5" t="s">
        <v>58</v>
      </c>
      <c r="C344" s="5" t="s">
        <v>38</v>
      </c>
      <c r="D344" s="5" t="s">
        <v>13</v>
      </c>
      <c r="E344" s="5" t="s">
        <v>14</v>
      </c>
      <c r="F344" s="5">
        <v>13</v>
      </c>
      <c r="G344" s="5">
        <v>155</v>
      </c>
      <c r="H344" s="5">
        <v>2</v>
      </c>
      <c r="I344" s="6">
        <v>46066</v>
      </c>
      <c r="J344" s="6">
        <v>46069</v>
      </c>
      <c r="K344" s="10" t="s">
        <v>24</v>
      </c>
      <c r="L344" s="21">
        <f t="shared" si="5"/>
        <v>1974.7</v>
      </c>
    </row>
    <row r="345" spans="1:12" ht="15" thickBot="1" x14ac:dyDescent="0.4">
      <c r="A345" s="5">
        <v>1365</v>
      </c>
      <c r="B345" s="5" t="s">
        <v>46</v>
      </c>
      <c r="C345" s="5" t="s">
        <v>33</v>
      </c>
      <c r="D345" s="5" t="s">
        <v>13</v>
      </c>
      <c r="E345" s="5" t="s">
        <v>50</v>
      </c>
      <c r="F345" s="5">
        <v>17</v>
      </c>
      <c r="G345" s="5">
        <v>119</v>
      </c>
      <c r="H345" s="5">
        <v>7</v>
      </c>
      <c r="I345" s="6">
        <v>46070</v>
      </c>
      <c r="J345" s="6">
        <v>46072</v>
      </c>
      <c r="K345" s="10" t="s">
        <v>20</v>
      </c>
      <c r="L345" s="21">
        <f t="shared" si="5"/>
        <v>1881.3899999999999</v>
      </c>
    </row>
    <row r="346" spans="1:12" ht="15" thickBot="1" x14ac:dyDescent="0.4">
      <c r="A346" s="5">
        <v>1248</v>
      </c>
      <c r="B346" s="5" t="s">
        <v>27</v>
      </c>
      <c r="C346" s="5" t="s">
        <v>43</v>
      </c>
      <c r="D346" s="5" t="s">
        <v>13</v>
      </c>
      <c r="E346" s="5" t="s">
        <v>37</v>
      </c>
      <c r="F346" s="5">
        <v>5</v>
      </c>
      <c r="G346" s="5">
        <v>398</v>
      </c>
      <c r="H346" s="5">
        <v>7</v>
      </c>
      <c r="I346" s="6">
        <v>46161</v>
      </c>
      <c r="J346" s="6">
        <v>46171</v>
      </c>
      <c r="K346" s="10" t="s">
        <v>29</v>
      </c>
      <c r="L346" s="21">
        <f t="shared" si="5"/>
        <v>1850.6999999999998</v>
      </c>
    </row>
    <row r="347" spans="1:12" ht="15" thickBot="1" x14ac:dyDescent="0.4">
      <c r="A347" s="5">
        <v>1170</v>
      </c>
      <c r="B347" s="5" t="s">
        <v>49</v>
      </c>
      <c r="C347" s="5" t="s">
        <v>38</v>
      </c>
      <c r="D347" s="5" t="s">
        <v>13</v>
      </c>
      <c r="E347" s="5" t="s">
        <v>14</v>
      </c>
      <c r="F347" s="5">
        <v>6</v>
      </c>
      <c r="G347" s="5">
        <v>339</v>
      </c>
      <c r="H347" s="5">
        <v>12</v>
      </c>
      <c r="I347" s="6">
        <v>46105</v>
      </c>
      <c r="J347" s="6">
        <v>46106</v>
      </c>
      <c r="K347" s="10" t="s">
        <v>24</v>
      </c>
      <c r="L347" s="21">
        <f t="shared" si="5"/>
        <v>1789.92</v>
      </c>
    </row>
    <row r="348" spans="1:12" ht="15" thickBot="1" x14ac:dyDescent="0.4">
      <c r="A348" s="5">
        <v>1339</v>
      </c>
      <c r="B348" s="5" t="s">
        <v>32</v>
      </c>
      <c r="C348" s="5" t="s">
        <v>25</v>
      </c>
      <c r="D348" s="5" t="s">
        <v>13</v>
      </c>
      <c r="E348" s="5" t="s">
        <v>14</v>
      </c>
      <c r="F348" s="5">
        <v>6</v>
      </c>
      <c r="G348" s="5">
        <v>302</v>
      </c>
      <c r="H348" s="5">
        <v>5</v>
      </c>
      <c r="I348" s="6">
        <v>46142</v>
      </c>
      <c r="J348" s="6">
        <v>46148</v>
      </c>
      <c r="K348" s="10" t="s">
        <v>20</v>
      </c>
      <c r="L348" s="21">
        <f t="shared" si="5"/>
        <v>1721.3999999999999</v>
      </c>
    </row>
    <row r="349" spans="1:12" ht="15" thickBot="1" x14ac:dyDescent="0.4">
      <c r="A349" s="5">
        <v>1207</v>
      </c>
      <c r="B349" s="5" t="s">
        <v>55</v>
      </c>
      <c r="C349" s="5" t="s">
        <v>25</v>
      </c>
      <c r="D349" s="5" t="s">
        <v>13</v>
      </c>
      <c r="E349" s="5" t="s">
        <v>53</v>
      </c>
      <c r="F349" s="5">
        <v>7</v>
      </c>
      <c r="G349" s="5">
        <v>244</v>
      </c>
      <c r="H349" s="5">
        <v>2</v>
      </c>
      <c r="I349" s="6">
        <v>46164</v>
      </c>
      <c r="J349" s="6">
        <v>46173</v>
      </c>
      <c r="K349" s="10" t="s">
        <v>24</v>
      </c>
      <c r="L349" s="21">
        <f t="shared" si="5"/>
        <v>1673.84</v>
      </c>
    </row>
    <row r="350" spans="1:12" ht="15" thickBot="1" x14ac:dyDescent="0.4">
      <c r="A350" s="5">
        <v>1281</v>
      </c>
      <c r="B350" s="5" t="s">
        <v>55</v>
      </c>
      <c r="C350" s="5" t="s">
        <v>17</v>
      </c>
      <c r="D350" s="5" t="s">
        <v>13</v>
      </c>
      <c r="E350" s="5" t="s">
        <v>50</v>
      </c>
      <c r="F350" s="5">
        <v>6</v>
      </c>
      <c r="G350" s="5">
        <v>253</v>
      </c>
      <c r="H350" s="5">
        <v>0</v>
      </c>
      <c r="I350" s="6">
        <v>46055</v>
      </c>
      <c r="J350" s="6">
        <v>46063</v>
      </c>
      <c r="K350" s="10" t="s">
        <v>24</v>
      </c>
      <c r="L350" s="21">
        <f t="shared" si="5"/>
        <v>1518</v>
      </c>
    </row>
    <row r="351" spans="1:12" ht="15" thickBot="1" x14ac:dyDescent="0.4">
      <c r="A351" s="5">
        <v>1083</v>
      </c>
      <c r="B351" s="5" t="s">
        <v>55</v>
      </c>
      <c r="C351" s="5" t="s">
        <v>33</v>
      </c>
      <c r="D351" s="5" t="s">
        <v>13</v>
      </c>
      <c r="E351" s="5" t="s">
        <v>53</v>
      </c>
      <c r="F351" s="5">
        <v>4</v>
      </c>
      <c r="G351" s="5">
        <v>397</v>
      </c>
      <c r="H351" s="5">
        <v>7</v>
      </c>
      <c r="I351" s="6">
        <v>46185</v>
      </c>
      <c r="J351" s="6">
        <v>46193</v>
      </c>
      <c r="K351" s="10" t="s">
        <v>15</v>
      </c>
      <c r="L351" s="21">
        <f t="shared" si="5"/>
        <v>1476.84</v>
      </c>
    </row>
    <row r="352" spans="1:12" ht="15" thickBot="1" x14ac:dyDescent="0.4">
      <c r="A352" s="5">
        <v>1021</v>
      </c>
      <c r="B352" s="5" t="s">
        <v>48</v>
      </c>
      <c r="C352" s="5" t="s">
        <v>43</v>
      </c>
      <c r="D352" s="5" t="s">
        <v>13</v>
      </c>
      <c r="E352" s="5" t="s">
        <v>14</v>
      </c>
      <c r="F352" s="5">
        <v>3</v>
      </c>
      <c r="G352" s="5">
        <v>484</v>
      </c>
      <c r="H352" s="5">
        <v>2</v>
      </c>
      <c r="I352" s="6">
        <v>46144</v>
      </c>
      <c r="J352" s="6">
        <v>46148</v>
      </c>
      <c r="K352" s="10" t="s">
        <v>24</v>
      </c>
      <c r="L352" s="21">
        <f t="shared" si="5"/>
        <v>1422.96</v>
      </c>
    </row>
    <row r="353" spans="1:12" ht="15" thickBot="1" x14ac:dyDescent="0.4">
      <c r="A353" s="5">
        <v>1181</v>
      </c>
      <c r="B353" s="5" t="s">
        <v>58</v>
      </c>
      <c r="C353" s="5" t="s">
        <v>33</v>
      </c>
      <c r="D353" s="5" t="s">
        <v>13</v>
      </c>
      <c r="E353" s="5" t="s">
        <v>36</v>
      </c>
      <c r="F353" s="5">
        <v>4</v>
      </c>
      <c r="G353" s="5">
        <v>357</v>
      </c>
      <c r="H353" s="5">
        <v>2</v>
      </c>
      <c r="I353" s="6">
        <v>46033</v>
      </c>
      <c r="J353" s="6">
        <v>46035</v>
      </c>
      <c r="K353" s="10" t="s">
        <v>15</v>
      </c>
      <c r="L353" s="21">
        <f t="shared" si="5"/>
        <v>1399.44</v>
      </c>
    </row>
    <row r="354" spans="1:12" ht="15" thickBot="1" x14ac:dyDescent="0.4">
      <c r="A354" s="5">
        <v>1394</v>
      </c>
      <c r="B354" s="5" t="s">
        <v>54</v>
      </c>
      <c r="C354" s="5" t="s">
        <v>12</v>
      </c>
      <c r="D354" s="5" t="s">
        <v>13</v>
      </c>
      <c r="E354" s="5" t="s">
        <v>14</v>
      </c>
      <c r="F354" s="5">
        <v>10</v>
      </c>
      <c r="G354" s="5">
        <v>138</v>
      </c>
      <c r="H354" s="5">
        <v>2</v>
      </c>
      <c r="I354" s="6">
        <v>46056</v>
      </c>
      <c r="J354" s="6">
        <v>46057</v>
      </c>
      <c r="K354" s="10" t="s">
        <v>15</v>
      </c>
      <c r="L354" s="21">
        <f t="shared" si="5"/>
        <v>1352.3999999999999</v>
      </c>
    </row>
    <row r="355" spans="1:12" ht="15" thickBot="1" x14ac:dyDescent="0.4">
      <c r="A355" s="5">
        <v>1379</v>
      </c>
      <c r="B355" s="5" t="s">
        <v>47</v>
      </c>
      <c r="C355" s="5" t="s">
        <v>17</v>
      </c>
      <c r="D355" s="5" t="s">
        <v>13</v>
      </c>
      <c r="E355" s="5" t="s">
        <v>14</v>
      </c>
      <c r="F355" s="5">
        <v>11</v>
      </c>
      <c r="G355" s="5">
        <v>136</v>
      </c>
      <c r="H355" s="5">
        <v>15</v>
      </c>
      <c r="I355" s="6">
        <v>46106</v>
      </c>
      <c r="J355" s="6">
        <v>46107</v>
      </c>
      <c r="K355" s="10" t="s">
        <v>20</v>
      </c>
      <c r="L355" s="21">
        <f t="shared" si="5"/>
        <v>1271.5999999999999</v>
      </c>
    </row>
    <row r="356" spans="1:12" ht="15" thickBot="1" x14ac:dyDescent="0.4">
      <c r="A356" s="5">
        <v>1005</v>
      </c>
      <c r="B356" s="5" t="s">
        <v>26</v>
      </c>
      <c r="C356" s="5" t="s">
        <v>17</v>
      </c>
      <c r="D356" s="5" t="s">
        <v>13</v>
      </c>
      <c r="E356" s="5" t="s">
        <v>14</v>
      </c>
      <c r="F356" s="5">
        <v>18</v>
      </c>
      <c r="G356" s="5">
        <v>70</v>
      </c>
      <c r="H356" s="5">
        <v>0</v>
      </c>
      <c r="I356" s="6">
        <v>46171</v>
      </c>
      <c r="J356" s="6">
        <v>46179</v>
      </c>
      <c r="K356" s="10" t="s">
        <v>24</v>
      </c>
      <c r="L356" s="21">
        <f t="shared" si="5"/>
        <v>1260</v>
      </c>
    </row>
    <row r="357" spans="1:12" ht="15" thickBot="1" x14ac:dyDescent="0.4">
      <c r="A357" s="5">
        <v>1017</v>
      </c>
      <c r="B357" s="5" t="s">
        <v>46</v>
      </c>
      <c r="C357" s="5" t="s">
        <v>38</v>
      </c>
      <c r="D357" s="5" t="s">
        <v>13</v>
      </c>
      <c r="E357" s="5" t="s">
        <v>36</v>
      </c>
      <c r="F357" s="5">
        <v>8</v>
      </c>
      <c r="G357" s="5">
        <v>179</v>
      </c>
      <c r="H357" s="5">
        <v>15</v>
      </c>
      <c r="I357" s="6">
        <v>46082</v>
      </c>
      <c r="J357" s="6">
        <v>46084</v>
      </c>
      <c r="K357" s="10" t="s">
        <v>15</v>
      </c>
      <c r="L357" s="21">
        <f t="shared" si="5"/>
        <v>1217.2</v>
      </c>
    </row>
    <row r="358" spans="1:12" ht="15" thickBot="1" x14ac:dyDescent="0.4">
      <c r="A358" s="5">
        <v>1296</v>
      </c>
      <c r="B358" s="5" t="s">
        <v>26</v>
      </c>
      <c r="C358" s="5" t="s">
        <v>38</v>
      </c>
      <c r="D358" s="5" t="s">
        <v>13</v>
      </c>
      <c r="E358" s="5" t="s">
        <v>50</v>
      </c>
      <c r="F358" s="5">
        <v>6</v>
      </c>
      <c r="G358" s="5">
        <v>201</v>
      </c>
      <c r="H358" s="5">
        <v>0</v>
      </c>
      <c r="I358" s="6">
        <v>46063</v>
      </c>
      <c r="J358" s="6">
        <v>46072</v>
      </c>
      <c r="K358" s="10" t="s">
        <v>51</v>
      </c>
      <c r="L358" s="21">
        <f t="shared" si="5"/>
        <v>1206</v>
      </c>
    </row>
    <row r="359" spans="1:12" ht="15" thickBot="1" x14ac:dyDescent="0.4">
      <c r="A359" s="5">
        <v>1380</v>
      </c>
      <c r="B359" s="5" t="s">
        <v>52</v>
      </c>
      <c r="C359" s="5" t="s">
        <v>43</v>
      </c>
      <c r="D359" s="5" t="s">
        <v>13</v>
      </c>
      <c r="E359" s="5" t="s">
        <v>53</v>
      </c>
      <c r="F359" s="5">
        <v>3</v>
      </c>
      <c r="G359" s="5">
        <v>412</v>
      </c>
      <c r="H359" s="5">
        <v>7</v>
      </c>
      <c r="I359" s="6">
        <v>46128</v>
      </c>
      <c r="J359" s="6">
        <v>46138</v>
      </c>
      <c r="K359" s="10" t="s">
        <v>24</v>
      </c>
      <c r="L359" s="21">
        <f t="shared" si="5"/>
        <v>1149.48</v>
      </c>
    </row>
    <row r="360" spans="1:12" ht="15" thickBot="1" x14ac:dyDescent="0.4">
      <c r="A360" s="5">
        <v>1008</v>
      </c>
      <c r="B360" s="5" t="s">
        <v>30</v>
      </c>
      <c r="C360" s="5" t="s">
        <v>31</v>
      </c>
      <c r="D360" s="5" t="s">
        <v>18</v>
      </c>
      <c r="E360" s="5" t="s">
        <v>28</v>
      </c>
      <c r="F360" s="5">
        <v>1</v>
      </c>
      <c r="G360" s="5">
        <v>1134</v>
      </c>
      <c r="H360" s="5">
        <v>0</v>
      </c>
      <c r="I360" s="6">
        <v>46033</v>
      </c>
      <c r="J360" s="6">
        <v>46041</v>
      </c>
      <c r="K360" s="10" t="s">
        <v>24</v>
      </c>
      <c r="L360" s="21">
        <f t="shared" si="5"/>
        <v>1134</v>
      </c>
    </row>
    <row r="361" spans="1:12" ht="15" thickBot="1" x14ac:dyDescent="0.4">
      <c r="A361" s="5">
        <v>1399</v>
      </c>
      <c r="B361" s="5" t="s">
        <v>48</v>
      </c>
      <c r="C361" s="5" t="s">
        <v>31</v>
      </c>
      <c r="D361" s="5" t="s">
        <v>13</v>
      </c>
      <c r="E361" s="5" t="s">
        <v>14</v>
      </c>
      <c r="F361" s="5">
        <v>15</v>
      </c>
      <c r="G361" s="5">
        <v>87</v>
      </c>
      <c r="H361" s="5">
        <v>15</v>
      </c>
      <c r="I361" s="6">
        <v>46089</v>
      </c>
      <c r="J361" s="6">
        <v>46093</v>
      </c>
      <c r="K361" s="10" t="s">
        <v>20</v>
      </c>
      <c r="L361" s="21">
        <f t="shared" si="5"/>
        <v>1109.25</v>
      </c>
    </row>
    <row r="362" spans="1:12" ht="15" thickBot="1" x14ac:dyDescent="0.4">
      <c r="A362" s="5">
        <v>1011</v>
      </c>
      <c r="B362" s="5" t="s">
        <v>11</v>
      </c>
      <c r="C362" s="5" t="s">
        <v>17</v>
      </c>
      <c r="D362" s="5" t="s">
        <v>13</v>
      </c>
      <c r="E362" s="5" t="s">
        <v>37</v>
      </c>
      <c r="F362" s="5">
        <v>14</v>
      </c>
      <c r="G362" s="5">
        <v>88</v>
      </c>
      <c r="H362" s="5">
        <v>12</v>
      </c>
      <c r="I362" s="6">
        <v>46161</v>
      </c>
      <c r="J362" s="6">
        <v>46163</v>
      </c>
      <c r="K362" s="10" t="s">
        <v>15</v>
      </c>
      <c r="L362" s="21">
        <f t="shared" si="5"/>
        <v>1084.1600000000001</v>
      </c>
    </row>
    <row r="363" spans="1:12" ht="15" thickBot="1" x14ac:dyDescent="0.4">
      <c r="A363" s="5">
        <v>1217</v>
      </c>
      <c r="B363" s="5" t="s">
        <v>30</v>
      </c>
      <c r="C363" s="5" t="s">
        <v>22</v>
      </c>
      <c r="D363" s="5" t="s">
        <v>13</v>
      </c>
      <c r="E363" s="5" t="s">
        <v>50</v>
      </c>
      <c r="F363" s="5">
        <v>18</v>
      </c>
      <c r="G363" s="5">
        <v>60</v>
      </c>
      <c r="H363" s="5">
        <v>0</v>
      </c>
      <c r="I363" s="6">
        <v>46171</v>
      </c>
      <c r="J363" s="6">
        <v>46172</v>
      </c>
      <c r="K363" s="10" t="s">
        <v>29</v>
      </c>
      <c r="L363" s="21">
        <f t="shared" si="5"/>
        <v>1080</v>
      </c>
    </row>
    <row r="364" spans="1:12" ht="15" thickBot="1" x14ac:dyDescent="0.4">
      <c r="A364" s="5">
        <v>1242</v>
      </c>
      <c r="B364" s="5" t="s">
        <v>54</v>
      </c>
      <c r="C364" s="5" t="s">
        <v>38</v>
      </c>
      <c r="D364" s="5" t="s">
        <v>13</v>
      </c>
      <c r="E364" s="5" t="s">
        <v>50</v>
      </c>
      <c r="F364" s="5">
        <v>7</v>
      </c>
      <c r="G364" s="5">
        <v>168</v>
      </c>
      <c r="H364" s="5">
        <v>10</v>
      </c>
      <c r="I364" s="6">
        <v>46191</v>
      </c>
      <c r="J364" s="6">
        <v>46196</v>
      </c>
      <c r="K364" s="10" t="s">
        <v>51</v>
      </c>
      <c r="L364" s="21">
        <f t="shared" si="5"/>
        <v>1058.4000000000001</v>
      </c>
    </row>
    <row r="365" spans="1:12" ht="15" thickBot="1" x14ac:dyDescent="0.4">
      <c r="A365" s="5">
        <v>1027</v>
      </c>
      <c r="B365" s="5" t="s">
        <v>29</v>
      </c>
      <c r="C365" s="5" t="s">
        <v>43</v>
      </c>
      <c r="D365" s="5" t="s">
        <v>13</v>
      </c>
      <c r="E365" s="5" t="s">
        <v>50</v>
      </c>
      <c r="F365" s="5">
        <v>4</v>
      </c>
      <c r="G365" s="5">
        <v>264</v>
      </c>
      <c r="H365" s="5">
        <v>0</v>
      </c>
      <c r="I365" s="6">
        <v>46155</v>
      </c>
      <c r="J365" s="6">
        <v>46161</v>
      </c>
      <c r="K365" s="10" t="s">
        <v>51</v>
      </c>
      <c r="L365" s="21">
        <f t="shared" si="5"/>
        <v>1056</v>
      </c>
    </row>
    <row r="366" spans="1:12" ht="15" thickBot="1" x14ac:dyDescent="0.4">
      <c r="A366" s="5">
        <v>1129</v>
      </c>
      <c r="B366" s="5" t="s">
        <v>58</v>
      </c>
      <c r="C366" s="5" t="s">
        <v>17</v>
      </c>
      <c r="D366" s="5" t="s">
        <v>13</v>
      </c>
      <c r="E366" s="5" t="s">
        <v>50</v>
      </c>
      <c r="F366" s="5">
        <v>15</v>
      </c>
      <c r="G366" s="5">
        <v>75</v>
      </c>
      <c r="H366" s="5">
        <v>7</v>
      </c>
      <c r="I366" s="6">
        <v>46160</v>
      </c>
      <c r="J366" s="6">
        <v>46164</v>
      </c>
      <c r="K366" s="10" t="s">
        <v>29</v>
      </c>
      <c r="L366" s="21">
        <f t="shared" si="5"/>
        <v>1046.25</v>
      </c>
    </row>
    <row r="367" spans="1:12" ht="15" thickBot="1" x14ac:dyDescent="0.4">
      <c r="A367" s="5">
        <v>1368</v>
      </c>
      <c r="B367" s="5" t="s">
        <v>55</v>
      </c>
      <c r="C367" s="5" t="s">
        <v>38</v>
      </c>
      <c r="D367" s="5" t="s">
        <v>13</v>
      </c>
      <c r="E367" s="5" t="s">
        <v>36</v>
      </c>
      <c r="F367" s="5">
        <v>9</v>
      </c>
      <c r="G367" s="5">
        <v>115</v>
      </c>
      <c r="H367" s="5">
        <v>0</v>
      </c>
      <c r="I367" s="6">
        <v>46036</v>
      </c>
      <c r="J367" s="6">
        <v>46045</v>
      </c>
      <c r="K367" s="10" t="s">
        <v>24</v>
      </c>
      <c r="L367" s="21">
        <f t="shared" si="5"/>
        <v>1035</v>
      </c>
    </row>
    <row r="368" spans="1:12" ht="15" thickBot="1" x14ac:dyDescent="0.4">
      <c r="A368" s="5">
        <v>1320</v>
      </c>
      <c r="B368" s="5" t="s">
        <v>47</v>
      </c>
      <c r="C368" s="5" t="s">
        <v>38</v>
      </c>
      <c r="D368" s="5" t="s">
        <v>13</v>
      </c>
      <c r="E368" s="5" t="s">
        <v>36</v>
      </c>
      <c r="F368" s="5">
        <v>20</v>
      </c>
      <c r="G368" s="5">
        <v>55</v>
      </c>
      <c r="H368" s="5">
        <v>7</v>
      </c>
      <c r="I368" s="6">
        <v>46183</v>
      </c>
      <c r="J368" s="6">
        <v>46186</v>
      </c>
      <c r="K368" s="10" t="s">
        <v>20</v>
      </c>
      <c r="L368" s="21">
        <f t="shared" si="5"/>
        <v>1022.9999999999999</v>
      </c>
    </row>
    <row r="369" spans="1:12" ht="15" thickBot="1" x14ac:dyDescent="0.4">
      <c r="A369" s="5">
        <v>1265</v>
      </c>
      <c r="B369" s="5" t="s">
        <v>58</v>
      </c>
      <c r="C369" s="5" t="s">
        <v>22</v>
      </c>
      <c r="D369" s="5" t="s">
        <v>18</v>
      </c>
      <c r="E369" s="5" t="s">
        <v>19</v>
      </c>
      <c r="F369" s="5">
        <v>1</v>
      </c>
      <c r="G369" s="5">
        <v>1052</v>
      </c>
      <c r="H369" s="5">
        <v>7</v>
      </c>
      <c r="I369" s="6">
        <v>46117</v>
      </c>
      <c r="J369" s="6">
        <v>46127</v>
      </c>
      <c r="K369" s="10" t="s">
        <v>51</v>
      </c>
      <c r="L369" s="21">
        <f t="shared" si="5"/>
        <v>978.3599999999999</v>
      </c>
    </row>
    <row r="370" spans="1:12" ht="15" thickBot="1" x14ac:dyDescent="0.4">
      <c r="A370" s="5">
        <v>1238</v>
      </c>
      <c r="B370" s="5" t="s">
        <v>30</v>
      </c>
      <c r="C370" s="5" t="s">
        <v>31</v>
      </c>
      <c r="D370" s="5" t="s">
        <v>13</v>
      </c>
      <c r="E370" s="5" t="s">
        <v>14</v>
      </c>
      <c r="F370" s="5">
        <v>6</v>
      </c>
      <c r="G370" s="5">
        <v>180</v>
      </c>
      <c r="H370" s="5">
        <v>12</v>
      </c>
      <c r="I370" s="6">
        <v>46096</v>
      </c>
      <c r="J370" s="6">
        <v>46097</v>
      </c>
      <c r="K370" s="10" t="s">
        <v>51</v>
      </c>
      <c r="L370" s="21">
        <f t="shared" si="5"/>
        <v>950.4</v>
      </c>
    </row>
    <row r="371" spans="1:12" ht="15" thickBot="1" x14ac:dyDescent="0.4">
      <c r="A371" s="5">
        <v>1105</v>
      </c>
      <c r="B371" s="5" t="s">
        <v>59</v>
      </c>
      <c r="C371" s="5" t="s">
        <v>25</v>
      </c>
      <c r="D371" s="5" t="s">
        <v>13</v>
      </c>
      <c r="E371" s="5" t="s">
        <v>50</v>
      </c>
      <c r="F371" s="5">
        <v>2</v>
      </c>
      <c r="G371" s="5">
        <v>493</v>
      </c>
      <c r="H371" s="5">
        <v>12</v>
      </c>
      <c r="I371" s="6">
        <v>46057</v>
      </c>
      <c r="J371" s="6">
        <v>46066</v>
      </c>
      <c r="K371" s="10" t="s">
        <v>51</v>
      </c>
      <c r="L371" s="21">
        <f t="shared" si="5"/>
        <v>867.68</v>
      </c>
    </row>
    <row r="372" spans="1:12" ht="15" thickBot="1" x14ac:dyDescent="0.4">
      <c r="A372" s="5">
        <v>1082</v>
      </c>
      <c r="B372" s="5" t="s">
        <v>21</v>
      </c>
      <c r="C372" s="5" t="s">
        <v>12</v>
      </c>
      <c r="D372" s="5" t="s">
        <v>13</v>
      </c>
      <c r="E372" s="5" t="s">
        <v>14</v>
      </c>
      <c r="F372" s="5">
        <v>7</v>
      </c>
      <c r="G372" s="5">
        <v>133</v>
      </c>
      <c r="H372" s="5">
        <v>10</v>
      </c>
      <c r="I372" s="6">
        <v>46075</v>
      </c>
      <c r="J372" s="6">
        <v>46085</v>
      </c>
      <c r="K372" s="10" t="s">
        <v>51</v>
      </c>
      <c r="L372" s="21">
        <f t="shared" si="5"/>
        <v>837.9</v>
      </c>
    </row>
    <row r="373" spans="1:12" ht="15" thickBot="1" x14ac:dyDescent="0.4">
      <c r="A373" s="5">
        <v>1192</v>
      </c>
      <c r="B373" s="5" t="s">
        <v>21</v>
      </c>
      <c r="C373" s="5" t="s">
        <v>33</v>
      </c>
      <c r="D373" s="5" t="s">
        <v>13</v>
      </c>
      <c r="E373" s="5" t="s">
        <v>53</v>
      </c>
      <c r="F373" s="5">
        <v>18</v>
      </c>
      <c r="G373" s="5">
        <v>49</v>
      </c>
      <c r="H373" s="5">
        <v>12</v>
      </c>
      <c r="I373" s="6">
        <v>46089</v>
      </c>
      <c r="J373" s="6">
        <v>46095</v>
      </c>
      <c r="K373" s="10" t="s">
        <v>24</v>
      </c>
      <c r="L373" s="21">
        <f t="shared" si="5"/>
        <v>776.16</v>
      </c>
    </row>
    <row r="374" spans="1:12" ht="15" thickBot="1" x14ac:dyDescent="0.4">
      <c r="A374" s="5">
        <v>1091</v>
      </c>
      <c r="B374" s="5" t="s">
        <v>55</v>
      </c>
      <c r="C374" s="5" t="s">
        <v>17</v>
      </c>
      <c r="D374" s="5" t="s">
        <v>13</v>
      </c>
      <c r="E374" s="5" t="s">
        <v>53</v>
      </c>
      <c r="F374" s="5">
        <v>2</v>
      </c>
      <c r="G374" s="5">
        <v>305</v>
      </c>
      <c r="H374" s="5">
        <v>0</v>
      </c>
      <c r="I374" s="6">
        <v>46136</v>
      </c>
      <c r="J374" s="6">
        <v>46144</v>
      </c>
      <c r="K374" s="10" t="s">
        <v>15</v>
      </c>
      <c r="L374" s="21">
        <f t="shared" si="5"/>
        <v>610</v>
      </c>
    </row>
    <row r="375" spans="1:12" ht="15" thickBot="1" x14ac:dyDescent="0.4">
      <c r="A375" s="5">
        <v>1183</v>
      </c>
      <c r="B375" s="5" t="s">
        <v>52</v>
      </c>
      <c r="C375" s="5" t="s">
        <v>43</v>
      </c>
      <c r="D375" s="5" t="s">
        <v>13</v>
      </c>
      <c r="E375" s="5" t="s">
        <v>14</v>
      </c>
      <c r="F375" s="5">
        <v>2</v>
      </c>
      <c r="G375" s="5">
        <v>309</v>
      </c>
      <c r="H375" s="5">
        <v>2</v>
      </c>
      <c r="I375" s="6">
        <v>46109</v>
      </c>
      <c r="J375" s="6">
        <v>46111</v>
      </c>
      <c r="K375" s="10" t="s">
        <v>20</v>
      </c>
      <c r="L375" s="21">
        <f t="shared" si="5"/>
        <v>605.64</v>
      </c>
    </row>
    <row r="376" spans="1:12" ht="15" thickBot="1" x14ac:dyDescent="0.4">
      <c r="A376" s="5">
        <v>1041</v>
      </c>
      <c r="B376" s="5" t="s">
        <v>54</v>
      </c>
      <c r="C376" s="5" t="s">
        <v>38</v>
      </c>
      <c r="D376" s="5" t="s">
        <v>13</v>
      </c>
      <c r="E376" s="5" t="s">
        <v>50</v>
      </c>
      <c r="F376" s="5">
        <v>9</v>
      </c>
      <c r="G376" s="5">
        <v>71</v>
      </c>
      <c r="H376" s="5">
        <v>7</v>
      </c>
      <c r="I376" s="6">
        <v>46185</v>
      </c>
      <c r="J376" s="6">
        <v>46188</v>
      </c>
      <c r="K376" s="10" t="s">
        <v>15</v>
      </c>
      <c r="L376" s="21">
        <f t="shared" si="5"/>
        <v>594.27</v>
      </c>
    </row>
    <row r="377" spans="1:12" ht="15" thickBot="1" x14ac:dyDescent="0.4">
      <c r="A377" s="5">
        <v>1130</v>
      </c>
      <c r="B377" s="5" t="s">
        <v>48</v>
      </c>
      <c r="C377" s="5" t="s">
        <v>33</v>
      </c>
      <c r="D377" s="5" t="s">
        <v>13</v>
      </c>
      <c r="E377" s="5" t="s">
        <v>14</v>
      </c>
      <c r="F377" s="5">
        <v>12</v>
      </c>
      <c r="G377" s="5">
        <v>50</v>
      </c>
      <c r="H377" s="5">
        <v>2</v>
      </c>
      <c r="I377" s="6">
        <v>46125</v>
      </c>
      <c r="J377" s="6">
        <v>46131</v>
      </c>
      <c r="K377" s="10" t="s">
        <v>24</v>
      </c>
      <c r="L377" s="21">
        <f t="shared" si="5"/>
        <v>588</v>
      </c>
    </row>
    <row r="378" spans="1:12" ht="15" thickBot="1" x14ac:dyDescent="0.4">
      <c r="A378" s="5">
        <v>1001</v>
      </c>
      <c r="B378" s="5" t="s">
        <v>11</v>
      </c>
      <c r="C378" s="5" t="s">
        <v>12</v>
      </c>
      <c r="D378" s="5" t="s">
        <v>13</v>
      </c>
      <c r="E378" s="5" t="s">
        <v>14</v>
      </c>
      <c r="F378" s="5">
        <v>3</v>
      </c>
      <c r="G378" s="5">
        <v>222</v>
      </c>
      <c r="H378" s="5">
        <v>15</v>
      </c>
      <c r="I378" s="6">
        <v>46081</v>
      </c>
      <c r="J378" s="6">
        <v>46083</v>
      </c>
      <c r="K378" s="10" t="s">
        <v>15</v>
      </c>
      <c r="L378" s="21">
        <f t="shared" si="5"/>
        <v>566.1</v>
      </c>
    </row>
    <row r="379" spans="1:12" ht="15" thickBot="1" x14ac:dyDescent="0.4">
      <c r="A379" s="5">
        <v>1051</v>
      </c>
      <c r="B379" s="5" t="s">
        <v>58</v>
      </c>
      <c r="C379" s="5" t="s">
        <v>17</v>
      </c>
      <c r="D379" s="5" t="s">
        <v>13</v>
      </c>
      <c r="E379" s="5" t="s">
        <v>36</v>
      </c>
      <c r="F379" s="5">
        <v>12</v>
      </c>
      <c r="G379" s="5">
        <v>47</v>
      </c>
      <c r="H379" s="5">
        <v>2</v>
      </c>
      <c r="I379" s="6">
        <v>46037</v>
      </c>
      <c r="J379" s="6">
        <v>46045</v>
      </c>
      <c r="K379" s="10" t="s">
        <v>15</v>
      </c>
      <c r="L379" s="21">
        <f t="shared" si="5"/>
        <v>552.72</v>
      </c>
    </row>
    <row r="380" spans="1:12" ht="15" thickBot="1" x14ac:dyDescent="0.4">
      <c r="A380" s="5">
        <v>1086</v>
      </c>
      <c r="B380" s="5" t="s">
        <v>32</v>
      </c>
      <c r="C380" s="5" t="s">
        <v>12</v>
      </c>
      <c r="D380" s="5" t="s">
        <v>13</v>
      </c>
      <c r="E380" s="5" t="s">
        <v>53</v>
      </c>
      <c r="F380" s="5">
        <v>15</v>
      </c>
      <c r="G380" s="5">
        <v>40</v>
      </c>
      <c r="H380" s="5">
        <v>10</v>
      </c>
      <c r="I380" s="6">
        <v>46045</v>
      </c>
      <c r="J380" s="6">
        <v>46049</v>
      </c>
      <c r="K380" s="10" t="s">
        <v>24</v>
      </c>
      <c r="L380" s="21">
        <f t="shared" si="5"/>
        <v>540</v>
      </c>
    </row>
    <row r="381" spans="1:12" ht="15" thickBot="1" x14ac:dyDescent="0.4">
      <c r="A381" s="5">
        <v>1206</v>
      </c>
      <c r="B381" s="5" t="s">
        <v>55</v>
      </c>
      <c r="C381" s="5" t="s">
        <v>33</v>
      </c>
      <c r="D381" s="5" t="s">
        <v>13</v>
      </c>
      <c r="E381" s="5" t="s">
        <v>14</v>
      </c>
      <c r="F381" s="5">
        <v>9</v>
      </c>
      <c r="G381" s="5">
        <v>60</v>
      </c>
      <c r="H381" s="5">
        <v>0</v>
      </c>
      <c r="I381" s="6">
        <v>46166</v>
      </c>
      <c r="J381" s="6">
        <v>46174</v>
      </c>
      <c r="K381" s="10" t="s">
        <v>15</v>
      </c>
      <c r="L381" s="21">
        <f t="shared" si="5"/>
        <v>540</v>
      </c>
    </row>
    <row r="382" spans="1:12" ht="15" thickBot="1" x14ac:dyDescent="0.4">
      <c r="A382" s="5">
        <v>1328</v>
      </c>
      <c r="B382" s="5" t="s">
        <v>16</v>
      </c>
      <c r="C382" s="5" t="s">
        <v>38</v>
      </c>
      <c r="D382" s="5" t="s">
        <v>13</v>
      </c>
      <c r="E382" s="5" t="s">
        <v>36</v>
      </c>
      <c r="F382" s="5">
        <v>4</v>
      </c>
      <c r="G382" s="5">
        <v>132</v>
      </c>
      <c r="H382" s="5">
        <v>0</v>
      </c>
      <c r="I382" s="6">
        <v>46109</v>
      </c>
      <c r="J382" s="6">
        <v>46114</v>
      </c>
      <c r="K382" s="10" t="s">
        <v>29</v>
      </c>
      <c r="L382" s="21">
        <f t="shared" si="5"/>
        <v>528</v>
      </c>
    </row>
    <row r="383" spans="1:12" ht="15" thickBot="1" x14ac:dyDescent="0.4">
      <c r="A383" s="5">
        <v>1157</v>
      </c>
      <c r="B383" s="5" t="s">
        <v>52</v>
      </c>
      <c r="C383" s="5" t="s">
        <v>33</v>
      </c>
      <c r="D383" s="5" t="s">
        <v>13</v>
      </c>
      <c r="E383" s="5" t="s">
        <v>50</v>
      </c>
      <c r="F383" s="5">
        <v>3</v>
      </c>
      <c r="G383" s="5">
        <v>203</v>
      </c>
      <c r="H383" s="5">
        <v>15</v>
      </c>
      <c r="I383" s="6">
        <v>46076</v>
      </c>
      <c r="J383" s="6">
        <v>46080</v>
      </c>
      <c r="K383" s="10" t="s">
        <v>29</v>
      </c>
      <c r="L383" s="21">
        <f t="shared" si="5"/>
        <v>517.65</v>
      </c>
    </row>
    <row r="384" spans="1:12" ht="15" thickBot="1" x14ac:dyDescent="0.4">
      <c r="A384" s="5">
        <v>1165</v>
      </c>
      <c r="B384" s="5" t="s">
        <v>48</v>
      </c>
      <c r="C384" s="5" t="s">
        <v>25</v>
      </c>
      <c r="D384" s="5" t="s">
        <v>13</v>
      </c>
      <c r="E384" s="5" t="s">
        <v>37</v>
      </c>
      <c r="F384" s="5">
        <v>1</v>
      </c>
      <c r="G384" s="5">
        <v>427</v>
      </c>
      <c r="H384" s="5">
        <v>0</v>
      </c>
      <c r="I384" s="6">
        <v>46042</v>
      </c>
      <c r="J384" s="6">
        <v>46050</v>
      </c>
      <c r="K384" s="10" t="s">
        <v>51</v>
      </c>
      <c r="L384" s="21">
        <f t="shared" si="5"/>
        <v>427</v>
      </c>
    </row>
    <row r="385" spans="1:12" ht="15" thickBot="1" x14ac:dyDescent="0.4">
      <c r="A385" s="5">
        <v>1280</v>
      </c>
      <c r="B385" s="5" t="s">
        <v>59</v>
      </c>
      <c r="C385" s="5" t="s">
        <v>38</v>
      </c>
      <c r="D385" s="5" t="s">
        <v>13</v>
      </c>
      <c r="E385" s="5" t="s">
        <v>53</v>
      </c>
      <c r="F385" s="5">
        <v>9</v>
      </c>
      <c r="G385" s="5">
        <v>50</v>
      </c>
      <c r="H385" s="5">
        <v>7</v>
      </c>
      <c r="I385" s="6">
        <v>46085</v>
      </c>
      <c r="J385" s="6">
        <v>46095</v>
      </c>
      <c r="K385" s="10" t="s">
        <v>51</v>
      </c>
      <c r="L385" s="21">
        <f t="shared" si="5"/>
        <v>418.5</v>
      </c>
    </row>
    <row r="386" spans="1:12" ht="15" thickBot="1" x14ac:dyDescent="0.4">
      <c r="A386" s="5">
        <v>1311</v>
      </c>
      <c r="B386" s="5" t="s">
        <v>55</v>
      </c>
      <c r="C386" s="5" t="s">
        <v>12</v>
      </c>
      <c r="D386" s="5" t="s">
        <v>13</v>
      </c>
      <c r="E386" s="5" t="s">
        <v>14</v>
      </c>
      <c r="F386" s="5">
        <v>2</v>
      </c>
      <c r="G386" s="5">
        <v>209</v>
      </c>
      <c r="H386" s="5">
        <v>0</v>
      </c>
      <c r="I386" s="6">
        <v>46173</v>
      </c>
      <c r="J386" s="6">
        <v>46176</v>
      </c>
      <c r="K386" s="10" t="s">
        <v>20</v>
      </c>
      <c r="L386" s="21">
        <f t="shared" ref="L386:L401" si="6">F386*G386*(1-H386/100)</f>
        <v>418</v>
      </c>
    </row>
    <row r="387" spans="1:12" ht="15" thickBot="1" x14ac:dyDescent="0.4">
      <c r="A387" s="5">
        <v>1219</v>
      </c>
      <c r="B387" s="5" t="s">
        <v>46</v>
      </c>
      <c r="C387" s="5" t="s">
        <v>22</v>
      </c>
      <c r="D387" s="5" t="s">
        <v>13</v>
      </c>
      <c r="E387" s="5" t="s">
        <v>14</v>
      </c>
      <c r="F387" s="5">
        <v>4</v>
      </c>
      <c r="G387" s="5">
        <v>117</v>
      </c>
      <c r="H387" s="5">
        <v>15</v>
      </c>
      <c r="I387" s="6">
        <v>46202</v>
      </c>
      <c r="J387" s="6">
        <v>46206</v>
      </c>
      <c r="K387" s="10" t="s">
        <v>29</v>
      </c>
      <c r="L387" s="21">
        <f t="shared" si="6"/>
        <v>397.8</v>
      </c>
    </row>
    <row r="388" spans="1:12" ht="15" thickBot="1" x14ac:dyDescent="0.4">
      <c r="A388" s="5">
        <v>1166</v>
      </c>
      <c r="B388" s="5" t="s">
        <v>32</v>
      </c>
      <c r="C388" s="5" t="s">
        <v>31</v>
      </c>
      <c r="D388" s="5" t="s">
        <v>13</v>
      </c>
      <c r="E388" s="5" t="s">
        <v>37</v>
      </c>
      <c r="F388" s="5">
        <v>1</v>
      </c>
      <c r="G388" s="5">
        <v>396</v>
      </c>
      <c r="H388" s="5">
        <v>5</v>
      </c>
      <c r="I388" s="6">
        <v>46092</v>
      </c>
      <c r="J388" s="6">
        <v>46093</v>
      </c>
      <c r="K388" s="10" t="s">
        <v>20</v>
      </c>
      <c r="L388" s="21">
        <f t="shared" si="6"/>
        <v>376.2</v>
      </c>
    </row>
    <row r="389" spans="1:12" ht="15" thickBot="1" x14ac:dyDescent="0.4">
      <c r="A389" s="5">
        <v>1396</v>
      </c>
      <c r="B389" s="5" t="s">
        <v>21</v>
      </c>
      <c r="C389" s="5" t="s">
        <v>38</v>
      </c>
      <c r="D389" s="5" t="s">
        <v>13</v>
      </c>
      <c r="E389" s="5" t="s">
        <v>53</v>
      </c>
      <c r="F389" s="5">
        <v>8</v>
      </c>
      <c r="G389" s="5">
        <v>54</v>
      </c>
      <c r="H389" s="5">
        <v>15</v>
      </c>
      <c r="I389" s="6">
        <v>46031</v>
      </c>
      <c r="J389" s="6">
        <v>46035</v>
      </c>
      <c r="K389" s="10" t="s">
        <v>15</v>
      </c>
      <c r="L389" s="21">
        <f t="shared" si="6"/>
        <v>367.2</v>
      </c>
    </row>
    <row r="390" spans="1:12" ht="15" thickBot="1" x14ac:dyDescent="0.4">
      <c r="A390" s="5">
        <v>1114</v>
      </c>
      <c r="B390" s="5" t="s">
        <v>16</v>
      </c>
      <c r="C390" s="5" t="s">
        <v>25</v>
      </c>
      <c r="D390" s="5" t="s">
        <v>13</v>
      </c>
      <c r="E390" s="5" t="s">
        <v>50</v>
      </c>
      <c r="F390" s="5">
        <v>13</v>
      </c>
      <c r="G390" s="5">
        <v>32</v>
      </c>
      <c r="H390" s="5">
        <v>15</v>
      </c>
      <c r="I390" s="6">
        <v>46066</v>
      </c>
      <c r="J390" s="6">
        <v>46069</v>
      </c>
      <c r="K390" s="10" t="s">
        <v>15</v>
      </c>
      <c r="L390" s="21">
        <f t="shared" si="6"/>
        <v>353.59999999999997</v>
      </c>
    </row>
    <row r="391" spans="1:12" ht="15" thickBot="1" x14ac:dyDescent="0.4">
      <c r="A391" s="5">
        <v>1367</v>
      </c>
      <c r="B391" s="5" t="s">
        <v>54</v>
      </c>
      <c r="C391" s="5" t="s">
        <v>25</v>
      </c>
      <c r="D391" s="5" t="s">
        <v>13</v>
      </c>
      <c r="E391" s="5" t="s">
        <v>53</v>
      </c>
      <c r="F391" s="5">
        <v>1</v>
      </c>
      <c r="G391" s="5">
        <v>371</v>
      </c>
      <c r="H391" s="5">
        <v>5</v>
      </c>
      <c r="I391" s="6">
        <v>46158</v>
      </c>
      <c r="J391" s="6">
        <v>46168</v>
      </c>
      <c r="K391" s="10" t="s">
        <v>29</v>
      </c>
      <c r="L391" s="21">
        <f t="shared" si="6"/>
        <v>352.45</v>
      </c>
    </row>
    <row r="392" spans="1:12" ht="15" thickBot="1" x14ac:dyDescent="0.4">
      <c r="A392" s="5">
        <v>1031</v>
      </c>
      <c r="B392" s="5" t="s">
        <v>54</v>
      </c>
      <c r="C392" s="5" t="s">
        <v>31</v>
      </c>
      <c r="D392" s="5" t="s">
        <v>13</v>
      </c>
      <c r="E392" s="5" t="s">
        <v>53</v>
      </c>
      <c r="F392" s="5">
        <v>2</v>
      </c>
      <c r="G392" s="5">
        <v>184</v>
      </c>
      <c r="H392" s="5">
        <v>5</v>
      </c>
      <c r="I392" s="6">
        <v>46089</v>
      </c>
      <c r="J392" s="6">
        <v>46093</v>
      </c>
      <c r="K392" s="10" t="s">
        <v>20</v>
      </c>
      <c r="L392" s="21">
        <f t="shared" si="6"/>
        <v>349.59999999999997</v>
      </c>
    </row>
    <row r="393" spans="1:12" ht="15" thickBot="1" x14ac:dyDescent="0.4">
      <c r="A393" s="5">
        <v>1306</v>
      </c>
      <c r="B393" s="5" t="s">
        <v>54</v>
      </c>
      <c r="C393" s="5" t="s">
        <v>43</v>
      </c>
      <c r="D393" s="5" t="s">
        <v>13</v>
      </c>
      <c r="E393" s="5" t="s">
        <v>36</v>
      </c>
      <c r="F393" s="5">
        <v>1</v>
      </c>
      <c r="G393" s="5">
        <v>332</v>
      </c>
      <c r="H393" s="5">
        <v>0</v>
      </c>
      <c r="I393" s="6">
        <v>46191</v>
      </c>
      <c r="J393" s="6">
        <v>46194</v>
      </c>
      <c r="K393" s="10" t="s">
        <v>20</v>
      </c>
      <c r="L393" s="21">
        <f t="shared" si="6"/>
        <v>332</v>
      </c>
    </row>
    <row r="394" spans="1:12" ht="15" thickBot="1" x14ac:dyDescent="0.4">
      <c r="A394" s="5">
        <v>1178</v>
      </c>
      <c r="B394" s="5" t="s">
        <v>57</v>
      </c>
      <c r="C394" s="5" t="s">
        <v>17</v>
      </c>
      <c r="D394" s="5" t="s">
        <v>13</v>
      </c>
      <c r="E394" s="5" t="s">
        <v>50</v>
      </c>
      <c r="F394" s="5">
        <v>5</v>
      </c>
      <c r="G394" s="5">
        <v>50</v>
      </c>
      <c r="H394" s="5">
        <v>0</v>
      </c>
      <c r="I394" s="6">
        <v>46111</v>
      </c>
      <c r="J394" s="6">
        <v>46117</v>
      </c>
      <c r="K394" s="10" t="s">
        <v>20</v>
      </c>
      <c r="L394" s="21">
        <f t="shared" si="6"/>
        <v>250</v>
      </c>
    </row>
    <row r="395" spans="1:12" ht="15" thickBot="1" x14ac:dyDescent="0.4">
      <c r="A395" s="5">
        <v>1125</v>
      </c>
      <c r="B395" s="5" t="s">
        <v>49</v>
      </c>
      <c r="C395" s="5" t="s">
        <v>33</v>
      </c>
      <c r="D395" s="5" t="s">
        <v>13</v>
      </c>
      <c r="E395" s="5" t="s">
        <v>14</v>
      </c>
      <c r="F395" s="5">
        <v>6</v>
      </c>
      <c r="G395" s="5">
        <v>30</v>
      </c>
      <c r="H395" s="5">
        <v>2</v>
      </c>
      <c r="I395" s="6">
        <v>46133</v>
      </c>
      <c r="J395" s="6">
        <v>46138</v>
      </c>
      <c r="K395" s="10" t="s">
        <v>24</v>
      </c>
      <c r="L395" s="21">
        <f t="shared" si="6"/>
        <v>176.4</v>
      </c>
    </row>
    <row r="396" spans="1:12" ht="15" thickBot="1" x14ac:dyDescent="0.4">
      <c r="A396" s="5">
        <v>1318</v>
      </c>
      <c r="B396" s="5" t="s">
        <v>11</v>
      </c>
      <c r="C396" s="5" t="s">
        <v>43</v>
      </c>
      <c r="D396" s="5" t="s">
        <v>13</v>
      </c>
      <c r="E396" s="5" t="s">
        <v>50</v>
      </c>
      <c r="F396" s="5">
        <v>4</v>
      </c>
      <c r="G396" s="5">
        <v>38</v>
      </c>
      <c r="H396" s="5">
        <v>12</v>
      </c>
      <c r="I396" s="6">
        <v>46169</v>
      </c>
      <c r="J396" s="6">
        <v>46175</v>
      </c>
      <c r="K396" s="10" t="s">
        <v>29</v>
      </c>
      <c r="L396" s="21">
        <f t="shared" si="6"/>
        <v>133.76</v>
      </c>
    </row>
    <row r="397" spans="1:12" ht="15" thickBot="1" x14ac:dyDescent="0.4">
      <c r="A397" s="5">
        <v>1218</v>
      </c>
      <c r="B397" s="5" t="s">
        <v>55</v>
      </c>
      <c r="C397" s="5" t="s">
        <v>38</v>
      </c>
      <c r="D397" s="5" t="s">
        <v>13</v>
      </c>
      <c r="E397" s="5" t="s">
        <v>14</v>
      </c>
      <c r="F397" s="5">
        <v>1</v>
      </c>
      <c r="G397" s="5">
        <v>134</v>
      </c>
      <c r="H397" s="5">
        <v>10</v>
      </c>
      <c r="I397" s="6">
        <v>46143</v>
      </c>
      <c r="J397" s="6">
        <v>46151</v>
      </c>
      <c r="K397" s="10" t="s">
        <v>51</v>
      </c>
      <c r="L397" s="21">
        <f t="shared" si="6"/>
        <v>120.60000000000001</v>
      </c>
    </row>
    <row r="398" spans="1:12" ht="15" thickBot="1" x14ac:dyDescent="0.4">
      <c r="A398" s="5">
        <v>1077</v>
      </c>
      <c r="B398" s="5" t="s">
        <v>55</v>
      </c>
      <c r="C398" s="5" t="s">
        <v>25</v>
      </c>
      <c r="D398" s="5" t="s">
        <v>13</v>
      </c>
      <c r="E398" s="5" t="s">
        <v>14</v>
      </c>
      <c r="F398" s="5">
        <v>1</v>
      </c>
      <c r="G398" s="5">
        <v>123</v>
      </c>
      <c r="H398" s="5">
        <v>10</v>
      </c>
      <c r="I398" s="6">
        <v>46113</v>
      </c>
      <c r="J398" s="6">
        <v>46121</v>
      </c>
      <c r="K398" s="10" t="s">
        <v>51</v>
      </c>
      <c r="L398" s="21">
        <f t="shared" si="6"/>
        <v>110.7</v>
      </c>
    </row>
    <row r="399" spans="1:12" ht="15" thickBot="1" x14ac:dyDescent="0.4">
      <c r="A399" s="5">
        <v>1205</v>
      </c>
      <c r="B399" s="5" t="s">
        <v>21</v>
      </c>
      <c r="C399" s="5" t="s">
        <v>38</v>
      </c>
      <c r="D399" s="5" t="s">
        <v>13</v>
      </c>
      <c r="E399" s="5" t="s">
        <v>36</v>
      </c>
      <c r="F399" s="5">
        <v>1</v>
      </c>
      <c r="G399" s="5">
        <v>112</v>
      </c>
      <c r="H399" s="5">
        <v>7</v>
      </c>
      <c r="I399" s="6">
        <v>46033</v>
      </c>
      <c r="J399" s="6">
        <v>46040</v>
      </c>
      <c r="K399" s="10" t="s">
        <v>51</v>
      </c>
      <c r="L399" s="21">
        <f t="shared" si="6"/>
        <v>104.16</v>
      </c>
    </row>
    <row r="400" spans="1:12" ht="15" thickBot="1" x14ac:dyDescent="0.4">
      <c r="A400" s="5">
        <v>1309</v>
      </c>
      <c r="B400" s="5" t="s">
        <v>29</v>
      </c>
      <c r="C400" s="5" t="s">
        <v>31</v>
      </c>
      <c r="D400" s="5" t="s">
        <v>13</v>
      </c>
      <c r="E400" s="5" t="s">
        <v>50</v>
      </c>
      <c r="F400" s="5">
        <v>2</v>
      </c>
      <c r="G400" s="5">
        <v>35</v>
      </c>
      <c r="H400" s="5">
        <v>5</v>
      </c>
      <c r="I400" s="6">
        <v>46197</v>
      </c>
      <c r="J400" s="6">
        <v>46198</v>
      </c>
      <c r="K400" s="10" t="s">
        <v>24</v>
      </c>
      <c r="L400" s="21">
        <f t="shared" si="6"/>
        <v>66.5</v>
      </c>
    </row>
    <row r="401" spans="1:12" ht="15" thickBot="1" x14ac:dyDescent="0.4">
      <c r="A401" s="5">
        <v>1267</v>
      </c>
      <c r="B401" s="5" t="s">
        <v>27</v>
      </c>
      <c r="C401" s="5" t="s">
        <v>38</v>
      </c>
      <c r="D401" s="5" t="s">
        <v>13</v>
      </c>
      <c r="E401" s="5" t="s">
        <v>50</v>
      </c>
      <c r="F401" s="5">
        <v>1</v>
      </c>
      <c r="G401" s="5">
        <v>50</v>
      </c>
      <c r="H401" s="5">
        <v>0</v>
      </c>
      <c r="I401" s="6">
        <v>46129</v>
      </c>
      <c r="J401" s="6">
        <v>46138</v>
      </c>
      <c r="K401" s="10" t="s">
        <v>20</v>
      </c>
      <c r="L401" s="21">
        <f t="shared" si="6"/>
        <v>50</v>
      </c>
    </row>
  </sheetData>
  <sortState xmlns:xlrd2="http://schemas.microsoft.com/office/spreadsheetml/2017/richdata2" ref="A2:L401">
    <sortCondition descending="1" ref="L2:L40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Sales_Dataset</vt:lpstr>
      <vt:lpstr>Q1</vt:lpstr>
      <vt:lpstr>Q2</vt:lpstr>
      <vt:lpstr>Q3</vt:lpstr>
      <vt:lpstr>Q4</vt:lpstr>
      <vt:lpstr>Q5</vt:lpstr>
      <vt:lpstr>Q6</vt:lpstr>
      <vt:lpstr>Q7</vt:lpstr>
      <vt:lpstr>Q8</vt:lpstr>
      <vt:lpstr>Q9</vt:lpstr>
      <vt:lpstr>Q10</vt:lpstr>
      <vt:lpstr>Q11</vt:lpstr>
      <vt:lpstr>Q12</vt:lpstr>
      <vt:lpstr>Q13</vt:lpstr>
      <vt:lpstr>Q14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Adarsh Singh</dc:creator>
  <cp:lastModifiedBy>Adarsh Singh</cp:lastModifiedBy>
  <cp:lastPrinted>2026-10-16T06:32:06Z</cp:lastPrinted>
  <dcterms:created xsi:type="dcterms:W3CDTF">2026-10-15T07:35:58Z</dcterms:created>
  <dcterms:modified xsi:type="dcterms:W3CDTF">2026-10-16T07:12:19Z</dcterms:modified>
</cp:coreProperties>
</file>