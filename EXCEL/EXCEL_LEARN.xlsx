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UTURE\EXCEL\"/>
    </mc:Choice>
  </mc:AlternateContent>
  <xr:revisionPtr revIDLastSave="0" documentId="13_ncr:1_{8EBE2F77-C3CD-4F84-A451-C9E6BAB2306B}" xr6:coauthVersionLast="47" xr6:coauthVersionMax="47" xr10:uidLastSave="{00000000-0000-0000-0000-000000000000}"/>
  <bookViews>
    <workbookView xWindow="-110" yWindow="-110" windowWidth="19420" windowHeight="11020" activeTab="1" xr2:uid="{4B6D75D5-69A5-46C0-A3E4-37A4081C1E40}"/>
  </bookViews>
  <sheets>
    <sheet name="Sheet1" sheetId="1" r:id="rId1"/>
    <sheet name="DATE" sheetId="4" r:id="rId2"/>
    <sheet name="LOGICAL-IF" sheetId="2" r:id="rId3"/>
    <sheet name="LOGICAL-AND" sheetId="3" r:id="rId4"/>
  </sheets>
  <definedNames>
    <definedName name="_xlnm._FilterDatabase" localSheetId="2" hidden="1">'LOGICAL-IF'!$E$1:$F$7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" i="4" l="1"/>
  <c r="D6" i="4" s="1"/>
  <c r="C2" i="4"/>
  <c r="A2" i="4"/>
  <c r="I6" i="2" a="1"/>
  <c r="I6" i="2" s="1"/>
  <c r="I3" i="2" a="1"/>
  <c r="I3" i="2"/>
  <c r="I4" i="2" a="1"/>
  <c r="I4" i="2"/>
  <c r="I5" i="2" a="1"/>
  <c r="I5" i="2"/>
  <c r="I7" i="2" a="1"/>
  <c r="I7" i="2"/>
  <c r="I2" i="2" a="1"/>
  <c r="I2" i="2" s="1"/>
  <c r="E3" i="3"/>
  <c r="E4" i="3"/>
  <c r="E5" i="3"/>
  <c r="E6" i="3"/>
  <c r="E7" i="3"/>
  <c r="E2" i="3"/>
  <c r="C3" i="3"/>
  <c r="C4" i="3"/>
  <c r="C5" i="3"/>
  <c r="C6" i="3"/>
  <c r="C7" i="3"/>
  <c r="C2" i="3"/>
  <c r="G3" i="2"/>
  <c r="G4" i="2"/>
  <c r="G5" i="2"/>
  <c r="G6" i="2"/>
  <c r="G7" i="2"/>
  <c r="G2" i="2"/>
  <c r="F4" i="2"/>
  <c r="F7" i="2"/>
  <c r="F3" i="2"/>
  <c r="F2" i="2"/>
  <c r="F6" i="2"/>
  <c r="F5" i="2"/>
  <c r="D3" i="2"/>
  <c r="D4" i="2"/>
  <c r="D5" i="2"/>
  <c r="D6" i="2"/>
  <c r="D7" i="2"/>
  <c r="D2" i="2"/>
  <c r="C3" i="2"/>
  <c r="C4" i="2"/>
  <c r="C5" i="2"/>
  <c r="C6" i="2"/>
  <c r="C7" i="2"/>
  <c r="C2" i="2"/>
  <c r="B3" i="2"/>
  <c r="B4" i="2"/>
  <c r="B5" i="2"/>
  <c r="B6" i="2"/>
  <c r="B7" i="2"/>
  <c r="B2" i="2"/>
  <c r="E35" i="1"/>
  <c r="E34" i="1"/>
  <c r="D35" i="1"/>
  <c r="D34" i="1"/>
  <c r="C35" i="1"/>
  <c r="C3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E9DD8A-35AD-4641-965F-103F639D6CF5}" keepAlive="1" name="Query - 2020 Summer Olympics medal table[35]" description="Connection to the '2020 Summer Olympics medal table[35]' query in the workbook." type="5" refreshedVersion="8" background="1" saveData="1">
    <dbPr connection="Provider=Microsoft.Mashup.OleDb.1;Data Source=$Workbook$;Location=&quot;2020 Summer Olympics medal table[35]&quot;;Extended Properties=&quot;&quot;" command="SELECT * FROM [2020 Summer Olympics medal table[35]]]"/>
  </connection>
  <connection id="2" xr16:uid="{57FAFB6C-9528-4212-9DD5-3432B6665487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<sst xmlns="http://schemas.openxmlformats.org/spreadsheetml/2006/main" count="53" uniqueCount="45">
  <si>
    <t>SHORT CUT KEY OF EXCEL</t>
  </si>
  <si>
    <t>M-FORMULA</t>
  </si>
  <si>
    <t>A-DATA</t>
  </si>
  <si>
    <t>R-REVIEW</t>
  </si>
  <si>
    <t>W-VIEW</t>
  </si>
  <si>
    <t>U+2-AUTOMATE</t>
  </si>
  <si>
    <t>Y-HELP</t>
  </si>
  <si>
    <t>ALT+</t>
  </si>
  <si>
    <t>CTRL+</t>
  </si>
  <si>
    <t>Y- INSERT NEW LINE</t>
  </si>
  <si>
    <t>CTRL-</t>
  </si>
  <si>
    <t>DELETE LINE</t>
  </si>
  <si>
    <t>ROUND</t>
  </si>
  <si>
    <t>ROUND DOWN</t>
  </si>
  <si>
    <t>ROUND UP</t>
  </si>
  <si>
    <t>Arrow key</t>
  </si>
  <si>
    <t>moves cells one by one</t>
  </si>
  <si>
    <t>ctrl + Up arrow key</t>
  </si>
  <si>
    <t>We move to top most populated cell in column</t>
  </si>
  <si>
    <t>Ctrl + A</t>
  </si>
  <si>
    <t>selects all</t>
  </si>
  <si>
    <t>Ctrl +c</t>
  </si>
  <si>
    <t>copy</t>
  </si>
  <si>
    <t>Ctrl +v</t>
  </si>
  <si>
    <t>paste</t>
  </si>
  <si>
    <t>Ctrl + s</t>
  </si>
  <si>
    <t>save</t>
  </si>
  <si>
    <t xml:space="preserve">ctrl + z </t>
  </si>
  <si>
    <t>undo</t>
  </si>
  <si>
    <t>ctrl +y</t>
  </si>
  <si>
    <t>redo</t>
  </si>
  <si>
    <t>Ctrl + page down</t>
  </si>
  <si>
    <t>moves towards sheets on right side</t>
  </si>
  <si>
    <t>AGE</t>
  </si>
  <si>
    <t>ADULT</t>
  </si>
  <si>
    <t>MINOR</t>
  </si>
  <si>
    <t>SEGMENT</t>
  </si>
  <si>
    <t xml:space="preserve">LOGICAL </t>
  </si>
  <si>
    <t>OPRATOR</t>
  </si>
  <si>
    <t>SALARY</t>
  </si>
  <si>
    <t>BONUS</t>
  </si>
  <si>
    <t>cibil</t>
  </si>
  <si>
    <t>CREDIT CARD</t>
  </si>
  <si>
    <t>AU BANK CREDIT CARD - 500 CIBIL OR 50000 HIGH</t>
  </si>
  <si>
    <t>birth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</si>
</sst>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634F3-B2B0-48FC-B9E0-7B6DDC5116F6}">
  <dimension ref="A1:J38"/>
  <sheetViews>
    <sheetView topLeftCell="A30" zoomScale="90" zoomScaleNormal="90" workbookViewId="0">
      <selection activeCell="C53" sqref="C53"/>
    </sheetView>
  </sheetViews>
  <sheetFormatPr defaultRowHeight="14.5" x14ac:dyDescent="0.35"/>
  <cols>
    <col min="1" max="1" width="3.453125" customWidth="1"/>
    <col min="2" max="2" width="40" bestFit="1" customWidth="1"/>
    <col min="3" max="3" width="40" customWidth="1"/>
    <col min="4" max="4" width="18.1796875" customWidth="1"/>
    <col min="5" max="5" width="11.81640625" customWidth="1"/>
    <col min="7" max="7" width="9.1796875" customWidth="1"/>
  </cols>
  <sheetData>
    <row r="1" spans="1:10" x14ac:dyDescent="0.35">
      <c r="H1" s="1" t="s">
        <v>0</v>
      </c>
      <c r="I1" s="1"/>
      <c r="J1" s="1"/>
    </row>
    <row r="2" spans="1:10" x14ac:dyDescent="0.35">
      <c r="H2" s="2"/>
      <c r="I2" s="2"/>
      <c r="J2" s="2"/>
    </row>
    <row r="3" spans="1:10" x14ac:dyDescent="0.35">
      <c r="B3" t="s">
        <v>15</v>
      </c>
      <c r="D3" t="s">
        <v>16</v>
      </c>
      <c r="I3" s="2"/>
      <c r="J3" s="2"/>
    </row>
    <row r="4" spans="1:10" x14ac:dyDescent="0.35">
      <c r="I4" s="2"/>
      <c r="J4" s="2"/>
    </row>
    <row r="5" spans="1:10" x14ac:dyDescent="0.35">
      <c r="B5" t="s">
        <v>17</v>
      </c>
      <c r="D5" t="s">
        <v>18</v>
      </c>
    </row>
    <row r="6" spans="1:10" x14ac:dyDescent="0.35">
      <c r="A6">
        <v>1</v>
      </c>
    </row>
    <row r="7" spans="1:10" x14ac:dyDescent="0.35">
      <c r="B7" t="s">
        <v>19</v>
      </c>
      <c r="D7" t="s">
        <v>20</v>
      </c>
    </row>
    <row r="8" spans="1:10" x14ac:dyDescent="0.35">
      <c r="A8">
        <v>2</v>
      </c>
    </row>
    <row r="9" spans="1:10" x14ac:dyDescent="0.35">
      <c r="B9" t="s">
        <v>21</v>
      </c>
      <c r="D9" t="s">
        <v>22</v>
      </c>
    </row>
    <row r="10" spans="1:10" x14ac:dyDescent="0.35">
      <c r="A10">
        <v>3</v>
      </c>
    </row>
    <row r="11" spans="1:10" x14ac:dyDescent="0.35">
      <c r="B11" t="s">
        <v>23</v>
      </c>
      <c r="D11" t="s">
        <v>24</v>
      </c>
    </row>
    <row r="12" spans="1:10" x14ac:dyDescent="0.35">
      <c r="A12">
        <v>4</v>
      </c>
    </row>
    <row r="13" spans="1:10" x14ac:dyDescent="0.35">
      <c r="B13" t="s">
        <v>25</v>
      </c>
      <c r="D13" t="s">
        <v>26</v>
      </c>
    </row>
    <row r="14" spans="1:10" x14ac:dyDescent="0.35">
      <c r="A14">
        <v>5</v>
      </c>
    </row>
    <row r="15" spans="1:10" x14ac:dyDescent="0.35">
      <c r="B15" t="s">
        <v>27</v>
      </c>
      <c r="D15" t="s">
        <v>28</v>
      </c>
    </row>
    <row r="17" spans="1:4" x14ac:dyDescent="0.35">
      <c r="B17" t="s">
        <v>29</v>
      </c>
      <c r="D17" t="s">
        <v>30</v>
      </c>
    </row>
    <row r="19" spans="1:4" x14ac:dyDescent="0.35">
      <c r="B19" t="s">
        <v>31</v>
      </c>
      <c r="D19" t="s">
        <v>32</v>
      </c>
    </row>
    <row r="20" spans="1:4" x14ac:dyDescent="0.35">
      <c r="B20" t="s">
        <v>7</v>
      </c>
      <c r="D20" t="s">
        <v>1</v>
      </c>
    </row>
    <row r="21" spans="1:4" x14ac:dyDescent="0.35">
      <c r="B21" t="s">
        <v>7</v>
      </c>
      <c r="D21" t="s">
        <v>2</v>
      </c>
    </row>
    <row r="22" spans="1:4" x14ac:dyDescent="0.35">
      <c r="B22" t="s">
        <v>7</v>
      </c>
      <c r="D22" t="s">
        <v>3</v>
      </c>
    </row>
    <row r="23" spans="1:4" x14ac:dyDescent="0.35">
      <c r="B23" t="s">
        <v>7</v>
      </c>
      <c r="D23" t="s">
        <v>4</v>
      </c>
    </row>
    <row r="24" spans="1:4" x14ac:dyDescent="0.35">
      <c r="B24" t="s">
        <v>7</v>
      </c>
      <c r="D24" t="s">
        <v>5</v>
      </c>
    </row>
    <row r="25" spans="1:4" x14ac:dyDescent="0.35">
      <c r="B25" t="s">
        <v>7</v>
      </c>
      <c r="D25" t="s">
        <v>6</v>
      </c>
    </row>
    <row r="27" spans="1:4" x14ac:dyDescent="0.35">
      <c r="A27">
        <v>6</v>
      </c>
      <c r="B27" t="s">
        <v>8</v>
      </c>
      <c r="D27" t="s">
        <v>9</v>
      </c>
    </row>
    <row r="28" spans="1:4" x14ac:dyDescent="0.35">
      <c r="A28">
        <v>7</v>
      </c>
      <c r="B28" t="s">
        <v>10</v>
      </c>
      <c r="D28" t="s">
        <v>11</v>
      </c>
    </row>
    <row r="33" spans="2:5" x14ac:dyDescent="0.35">
      <c r="C33" t="s">
        <v>12</v>
      </c>
      <c r="D33" t="s">
        <v>13</v>
      </c>
      <c r="E33" t="s">
        <v>14</v>
      </c>
    </row>
    <row r="34" spans="2:5" x14ac:dyDescent="0.35">
      <c r="B34">
        <v>11.23</v>
      </c>
      <c r="C34">
        <f>ROUND(B34,1)</f>
        <v>11.2</v>
      </c>
      <c r="D34">
        <f>ROUNDDOWN(B34,0)</f>
        <v>11</v>
      </c>
      <c r="E34">
        <f>ROUNDUP(B34,0)</f>
        <v>12</v>
      </c>
    </row>
    <row r="35" spans="2:5" x14ac:dyDescent="0.35">
      <c r="B35">
        <v>4.5</v>
      </c>
      <c r="C35">
        <f>ROUND(B35,1)</f>
        <v>4.5</v>
      </c>
      <c r="D35">
        <f>ROUNDDOWN(B35,0)</f>
        <v>4</v>
      </c>
      <c r="E35">
        <f>ROUNDUP(B35,0)</f>
        <v>5</v>
      </c>
    </row>
    <row r="36" spans="2:5" x14ac:dyDescent="0.35">
      <c r="B36">
        <v>55.555999999999997</v>
      </c>
    </row>
    <row r="37" spans="2:5" x14ac:dyDescent="0.35">
      <c r="B37">
        <v>100.1</v>
      </c>
    </row>
    <row r="38" spans="2:5" x14ac:dyDescent="0.35">
      <c r="B38">
        <v>20.78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7CB7-4817-4E93-B667-A79B85CF88E7}">
  <dimension ref="A2:D6"/>
  <sheetViews>
    <sheetView tabSelected="1" workbookViewId="0">
      <selection activeCell="K15" sqref="K15"/>
    </sheetView>
  </sheetViews>
  <sheetFormatPr defaultRowHeight="14.5" x14ac:dyDescent="0.35"/>
  <cols>
    <col min="1" max="1" width="10.08984375" bestFit="1" customWidth="1"/>
    <col min="3" max="3" width="10.08984375" bestFit="1" customWidth="1"/>
  </cols>
  <sheetData>
    <row r="2" spans="1:4" x14ac:dyDescent="0.35">
      <c r="A2" s="3">
        <f ca="1">TODAY()</f>
        <v>46310</v>
      </c>
      <c r="C2" s="3">
        <f ca="1">TODAY()-1</f>
        <v>46309</v>
      </c>
    </row>
    <row r="5" spans="1:4" x14ac:dyDescent="0.35">
      <c r="A5" t="s">
        <v>44</v>
      </c>
      <c r="C5" t="s">
        <v>33</v>
      </c>
    </row>
    <row r="6" spans="1:4" x14ac:dyDescent="0.35">
      <c r="A6" s="3">
        <v>36181</v>
      </c>
      <c r="C6" s="4">
        <f ca="1">TODAY()-A6</f>
        <v>10129</v>
      </c>
      <c r="D6">
        <f ca="1">C6/365</f>
        <v>27.75068493150685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34CD7-85AE-40BB-9FE9-A5EC091877F9}">
  <dimension ref="A1:I10"/>
  <sheetViews>
    <sheetView workbookViewId="0">
      <selection activeCell="K11" sqref="K11"/>
    </sheetView>
  </sheetViews>
  <sheetFormatPr defaultRowHeight="14.5" x14ac:dyDescent="0.35"/>
  <cols>
    <col min="4" max="4" width="14.26953125" customWidth="1"/>
  </cols>
  <sheetData>
    <row r="1" spans="1:9" x14ac:dyDescent="0.35">
      <c r="A1" t="s">
        <v>33</v>
      </c>
      <c r="B1" t="s">
        <v>34</v>
      </c>
      <c r="C1" t="s">
        <v>35</v>
      </c>
      <c r="D1" t="s">
        <v>36</v>
      </c>
      <c r="E1" t="s">
        <v>39</v>
      </c>
      <c r="F1" t="s">
        <v>36</v>
      </c>
      <c r="G1" t="s">
        <v>40</v>
      </c>
    </row>
    <row r="2" spans="1:9" x14ac:dyDescent="0.35">
      <c r="A2">
        <v>23</v>
      </c>
      <c r="B2" t="b">
        <f>A2&gt;=18</f>
        <v>1</v>
      </c>
      <c r="C2" t="b">
        <f>A2&lt;18</f>
        <v>0</v>
      </c>
      <c r="D2" t="str">
        <f>IF(A2&gt;=18,"ADULT","NON-ADULT")</f>
        <v>ADULT</v>
      </c>
      <c r="E2">
        <v>80000</v>
      </c>
      <c r="F2" t="str">
        <f t="shared" ref="F2:F7" si="0">IF(E2&gt;=50000,"HIGH","LOW")</f>
        <v>HIGH</v>
      </c>
      <c r="G2">
        <f>IF(E2&gt;50000,E2*0.1,E2*0.05)</f>
        <v>8000</v>
      </c>
      <c r="I2" t="str" cm="1">
        <f t="array" ref="I2">_xlfn.IFS(A2&gt;60,"OLD",A2&gt;18,"ADULT",A2&lt;18,"MINOR")</f>
        <v>ADULT</v>
      </c>
    </row>
    <row r="3" spans="1:9" x14ac:dyDescent="0.35">
      <c r="A3">
        <v>24</v>
      </c>
      <c r="B3" t="b">
        <f t="shared" ref="B3:B7" si="1">A3&gt;=18</f>
        <v>1</v>
      </c>
      <c r="C3" t="b">
        <f t="shared" ref="C3:C7" si="2">A3&lt;18</f>
        <v>0</v>
      </c>
      <c r="D3" t="str">
        <f t="shared" ref="D3:D7" si="3">IF(A3&gt;=18,"ADULT","NON-ADULT")</f>
        <v>ADULT</v>
      </c>
      <c r="E3">
        <v>70000</v>
      </c>
      <c r="F3" t="str">
        <f t="shared" si="0"/>
        <v>HIGH</v>
      </c>
      <c r="G3">
        <f t="shared" ref="G3:G7" si="4">IF(E3&gt;50000,E3*0.1,E3*0.05)</f>
        <v>7000</v>
      </c>
      <c r="I3" t="str" cm="1">
        <f t="array" ref="I3">_xlfn.IFS(A3&gt;60,"OLD",A3&gt;18,"ADULT",A3&lt;18,"MINOR")</f>
        <v>ADULT</v>
      </c>
    </row>
    <row r="4" spans="1:9" x14ac:dyDescent="0.35">
      <c r="A4">
        <v>25</v>
      </c>
      <c r="B4" t="b">
        <f t="shared" si="1"/>
        <v>1</v>
      </c>
      <c r="C4" t="b">
        <f t="shared" si="2"/>
        <v>0</v>
      </c>
      <c r="D4" t="str">
        <f t="shared" si="3"/>
        <v>ADULT</v>
      </c>
      <c r="E4">
        <v>60000</v>
      </c>
      <c r="F4" t="str">
        <f t="shared" si="0"/>
        <v>HIGH</v>
      </c>
      <c r="G4">
        <f t="shared" si="4"/>
        <v>6000</v>
      </c>
      <c r="I4" t="str" cm="1">
        <f t="array" ref="I4">_xlfn.IFS(A4&gt;60,"OLD",A4&gt;18,"ADULT",A4&lt;18,"MINOR")</f>
        <v>ADULT</v>
      </c>
    </row>
    <row r="5" spans="1:9" x14ac:dyDescent="0.35">
      <c r="A5">
        <v>26</v>
      </c>
      <c r="B5" t="b">
        <f t="shared" si="1"/>
        <v>1</v>
      </c>
      <c r="C5" t="b">
        <f t="shared" si="2"/>
        <v>0</v>
      </c>
      <c r="D5" t="str">
        <f t="shared" si="3"/>
        <v>ADULT</v>
      </c>
      <c r="E5">
        <v>50000</v>
      </c>
      <c r="F5" t="str">
        <f t="shared" si="0"/>
        <v>HIGH</v>
      </c>
      <c r="G5">
        <f t="shared" si="4"/>
        <v>2500</v>
      </c>
      <c r="I5" t="str" cm="1">
        <f t="array" ref="I5">_xlfn.IFS(A5&gt;60,"OLD",A5&gt;18,"ADULT",A5&lt;18,"MINOR")</f>
        <v>ADULT</v>
      </c>
    </row>
    <row r="6" spans="1:9" x14ac:dyDescent="0.35">
      <c r="A6">
        <v>18</v>
      </c>
      <c r="B6" t="b">
        <f t="shared" si="1"/>
        <v>1</v>
      </c>
      <c r="C6" t="b">
        <f t="shared" si="2"/>
        <v>0</v>
      </c>
      <c r="D6" t="str">
        <f t="shared" si="3"/>
        <v>ADULT</v>
      </c>
      <c r="E6">
        <v>49000</v>
      </c>
      <c r="F6" t="str">
        <f t="shared" si="0"/>
        <v>LOW</v>
      </c>
      <c r="G6">
        <f t="shared" si="4"/>
        <v>2450</v>
      </c>
      <c r="I6" t="str" cm="1">
        <f t="array" ref="I6">_xlfn.IFS(A6&gt;60,"OLD",A6&gt;18,"ADULT",A6&lt;=18,"MINOR")</f>
        <v>MINOR</v>
      </c>
    </row>
    <row r="7" spans="1:9" x14ac:dyDescent="0.35">
      <c r="A7">
        <v>60</v>
      </c>
      <c r="B7" t="b">
        <f t="shared" si="1"/>
        <v>1</v>
      </c>
      <c r="C7" t="b">
        <f t="shared" si="2"/>
        <v>0</v>
      </c>
      <c r="D7" t="str">
        <f t="shared" si="3"/>
        <v>ADULT</v>
      </c>
      <c r="E7">
        <v>10000</v>
      </c>
      <c r="F7" t="str">
        <f t="shared" si="0"/>
        <v>LOW</v>
      </c>
      <c r="G7">
        <f t="shared" si="4"/>
        <v>500</v>
      </c>
      <c r="I7" t="str" cm="1">
        <f t="array" ref="I7">_xlfn.IFS(A7&gt;60,"OLD",A7&gt;18,"ADULT",A7&lt;18,"MINOR")</f>
        <v>ADULT</v>
      </c>
    </row>
    <row r="9" spans="1:9" x14ac:dyDescent="0.35">
      <c r="C9" t="s">
        <v>37</v>
      </c>
    </row>
    <row r="10" spans="1:9" x14ac:dyDescent="0.35">
      <c r="C10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F05D5-BCB8-4BB9-9015-113FFC04E355}">
  <dimension ref="A1:E7"/>
  <sheetViews>
    <sheetView workbookViewId="0">
      <selection activeCell="J1" sqref="J1"/>
    </sheetView>
  </sheetViews>
  <sheetFormatPr defaultRowHeight="14.5" x14ac:dyDescent="0.35"/>
  <cols>
    <col min="3" max="3" width="11.90625" bestFit="1" customWidth="1"/>
  </cols>
  <sheetData>
    <row r="1" spans="1:5" x14ac:dyDescent="0.35">
      <c r="A1" t="s">
        <v>39</v>
      </c>
      <c r="B1" t="s">
        <v>41</v>
      </c>
      <c r="C1" t="s">
        <v>42</v>
      </c>
      <c r="E1" t="s">
        <v>43</v>
      </c>
    </row>
    <row r="2" spans="1:5" x14ac:dyDescent="0.35">
      <c r="A2">
        <v>80000</v>
      </c>
      <c r="B2">
        <v>800</v>
      </c>
      <c r="C2" t="b">
        <f>AND(A2&gt;50000,B2&gt;500)</f>
        <v>1</v>
      </c>
      <c r="E2" t="b">
        <f>OR(A2&gt;50000,B2&gt;500)</f>
        <v>1</v>
      </c>
    </row>
    <row r="3" spans="1:5" x14ac:dyDescent="0.35">
      <c r="A3">
        <v>70000</v>
      </c>
      <c r="B3">
        <v>700</v>
      </c>
      <c r="C3" t="b">
        <f t="shared" ref="C3:C7" si="0">AND(A3&gt;50000,B3&gt;500)</f>
        <v>1</v>
      </c>
      <c r="E3" t="b">
        <f t="shared" ref="E3:E7" si="1">OR(A3&gt;50000,B3&gt;500)</f>
        <v>1</v>
      </c>
    </row>
    <row r="4" spans="1:5" x14ac:dyDescent="0.35">
      <c r="A4">
        <v>60000</v>
      </c>
      <c r="B4">
        <v>600</v>
      </c>
      <c r="C4" t="b">
        <f t="shared" si="0"/>
        <v>1</v>
      </c>
      <c r="E4" t="b">
        <f t="shared" si="1"/>
        <v>1</v>
      </c>
    </row>
    <row r="5" spans="1:5" x14ac:dyDescent="0.35">
      <c r="A5">
        <v>50000</v>
      </c>
      <c r="B5">
        <v>700</v>
      </c>
      <c r="C5" t="b">
        <f t="shared" si="0"/>
        <v>0</v>
      </c>
      <c r="E5" t="b">
        <f t="shared" si="1"/>
        <v>1</v>
      </c>
    </row>
    <row r="6" spans="1:5" x14ac:dyDescent="0.35">
      <c r="A6">
        <v>49000</v>
      </c>
      <c r="B6">
        <v>600</v>
      </c>
      <c r="C6" t="b">
        <f t="shared" si="0"/>
        <v>0</v>
      </c>
      <c r="E6" t="b">
        <f t="shared" si="1"/>
        <v>1</v>
      </c>
    </row>
    <row r="7" spans="1:5" x14ac:dyDescent="0.35">
      <c r="A7">
        <v>10000</v>
      </c>
      <c r="B7">
        <v>100</v>
      </c>
      <c r="C7" t="b">
        <f t="shared" si="0"/>
        <v>0</v>
      </c>
      <c r="E7" t="b">
        <f t="shared" si="1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5B9CF3-AC1E-4F3A-A2DF-35DAD13CD1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DATE</vt:lpstr>
      <vt:lpstr>LOGICAL-IF</vt:lpstr>
      <vt:lpstr>LOGICAL-AND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Singh</dc:creator>
  <cp:lastModifiedBy>Adarsh Singh</cp:lastModifiedBy>
  <dcterms:created xsi:type="dcterms:W3CDTF">2026-08-17T06:09:47Z</dcterms:created>
  <dcterms:modified xsi:type="dcterms:W3CDTF">2026-10-15T06:53:31Z</dcterms:modified>
</cp:coreProperties>
</file>