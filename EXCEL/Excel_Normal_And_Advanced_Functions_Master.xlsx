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 Functions" sheetId="1" state="visible" r:id="rId1"/>
    <sheet xmlns:r="http://schemas.openxmlformats.org/officeDocument/2006/relationships" name="Advanced Functions" sheetId="2" state="visible" r:id="rId2"/>
    <sheet xmlns:r="http://schemas.openxmlformats.org/officeDocument/2006/relationships" name="Data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Consolas"/>
      <b val="1"/>
      <color rgb="00A71D2A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4" customWidth="1" min="2" max="2"/>
    <col width="29" customWidth="1" min="3" max="3"/>
    <col width="56" customWidth="1" min="4" max="4"/>
    <col width="29" customWidth="1" min="5" max="5"/>
    <col width="29" customWidth="1" min="6" max="6"/>
  </cols>
  <sheetData>
    <row r="1">
      <c r="A1" s="1" t="inlineStr">
        <is>
          <t>Excel Normal / Basic Functions Guide</t>
        </is>
      </c>
    </row>
    <row r="2">
      <c r="A2" s="2" t="inlineStr">
        <is>
          <t>Yeh sheet daily use hone wale basic/normal Excel functions ke liye hai.</t>
        </is>
      </c>
    </row>
    <row r="3"/>
    <row r="4">
      <c r="A4" s="3" t="inlineStr">
        <is>
          <t>Category</t>
        </is>
      </c>
      <c r="B4" s="3" t="inlineStr">
        <is>
          <t>Function</t>
        </is>
      </c>
      <c r="C4" s="3" t="inlineStr">
        <is>
          <t>Formula Syntax (Tarika)</t>
        </is>
      </c>
      <c r="D4" s="3" t="inlineStr">
        <is>
          <t>Purpose (Kaam)</t>
        </is>
      </c>
      <c r="E4" s="3" t="inlineStr">
        <is>
          <t>Example Formula</t>
        </is>
      </c>
      <c r="F4" s="3" t="inlineStr">
        <is>
          <t>Example Result</t>
        </is>
      </c>
    </row>
    <row r="5">
      <c r="A5" s="4" t="inlineStr">
        <is>
          <t>Math &amp; Basic</t>
        </is>
      </c>
      <c r="B5" s="4" t="inlineStr">
        <is>
          <t>SUM</t>
        </is>
      </c>
      <c r="C5" s="5">
        <f>SUM(number1, [number2], ...)</f>
        <v/>
      </c>
      <c r="D5" s="4" t="inlineStr">
        <is>
          <t>Range ki saari values ka total (jod) nikalta hai.</t>
        </is>
      </c>
      <c r="E5" s="5">
        <f>SUM(C5:C14)</f>
        <v/>
      </c>
      <c r="F5" s="6">
        <f>SUM('Data Sheet'!F5:F14)</f>
        <v/>
      </c>
    </row>
    <row r="6">
      <c r="A6" s="7" t="inlineStr">
        <is>
          <t>Math &amp; Basic</t>
        </is>
      </c>
      <c r="B6" s="7" t="inlineStr">
        <is>
          <t>AVERAGE</t>
        </is>
      </c>
      <c r="C6" s="8">
        <f>AVERAGE(number1, [number2], ...)</f>
        <v/>
      </c>
      <c r="D6" s="7" t="inlineStr">
        <is>
          <t>Values ka ausat (average) nikalta hai.</t>
        </is>
      </c>
      <c r="E6" s="8">
        <f>AVERAGE(C5:C14)</f>
        <v/>
      </c>
      <c r="F6" s="9">
        <f>AVERAGE('Data Sheet'!F5:F14)</f>
        <v/>
      </c>
    </row>
    <row r="7">
      <c r="A7" s="4" t="inlineStr">
        <is>
          <t>Math &amp; Basic</t>
        </is>
      </c>
      <c r="B7" s="4" t="inlineStr">
        <is>
          <t>COUNT</t>
        </is>
      </c>
      <c r="C7" s="5">
        <f>COUNT(value1, [value2], ...)</f>
        <v/>
      </c>
      <c r="D7" s="4" t="inlineStr">
        <is>
          <t>Sirf numbers wali cells ko count karta hai.</t>
        </is>
      </c>
      <c r="E7" s="5">
        <f>COUNT(C5:C14)</f>
        <v/>
      </c>
      <c r="F7" s="6">
        <f>COUNT('Data Sheet'!F5:F14)</f>
        <v/>
      </c>
    </row>
    <row r="8">
      <c r="A8" s="7" t="inlineStr">
        <is>
          <t>Math &amp; Basic</t>
        </is>
      </c>
      <c r="B8" s="7" t="inlineStr">
        <is>
          <t>COUNTA</t>
        </is>
      </c>
      <c r="C8" s="8">
        <f>COUNTA(value1, [value2], ...)</f>
        <v/>
      </c>
      <c r="D8" s="7" t="inlineStr">
        <is>
          <t>Har non-empty (jo khali na ho) cell count karta hai.</t>
        </is>
      </c>
      <c r="E8" s="8">
        <f>COUNTA(A5:A14)</f>
        <v/>
      </c>
      <c r="F8" s="9">
        <f>COUNTA('Data Sheet'!A5:A14)</f>
        <v/>
      </c>
    </row>
    <row r="9">
      <c r="A9" s="4" t="inlineStr">
        <is>
          <t>Math &amp; Basic</t>
        </is>
      </c>
      <c r="B9" s="4" t="inlineStr">
        <is>
          <t>COUNTBLANK</t>
        </is>
      </c>
      <c r="C9" s="5">
        <f>COUNTBLANK(range)</f>
        <v/>
      </c>
      <c r="D9" s="4" t="inlineStr">
        <is>
          <t>Khali (empty) cells ko count karta hai.</t>
        </is>
      </c>
      <c r="E9" s="5">
        <f>COUNTBLANK(C5:C14)</f>
        <v/>
      </c>
      <c r="F9" s="6">
        <f>COUNTBLANK('Data Sheet'!F5:F14)</f>
        <v/>
      </c>
    </row>
    <row r="10">
      <c r="A10" s="7" t="inlineStr">
        <is>
          <t>Math &amp; Basic</t>
        </is>
      </c>
      <c r="B10" s="7" t="inlineStr">
        <is>
          <t>MIN</t>
        </is>
      </c>
      <c r="C10" s="8">
        <f>MIN(number1, [number2], ...)</f>
        <v/>
      </c>
      <c r="D10" s="7" t="inlineStr">
        <is>
          <t>Sabse chhoti value nikalta hai.</t>
        </is>
      </c>
      <c r="E10" s="8">
        <f>MIN(C5:C14)</f>
        <v/>
      </c>
      <c r="F10" s="9">
        <f>MIN('Data Sheet'!F5:F14)</f>
        <v/>
      </c>
    </row>
    <row r="11">
      <c r="A11" s="4" t="inlineStr">
        <is>
          <t>Math &amp; Basic</t>
        </is>
      </c>
      <c r="B11" s="4" t="inlineStr">
        <is>
          <t>MAX</t>
        </is>
      </c>
      <c r="C11" s="5">
        <f>MAX(number1, [number2], ...)</f>
        <v/>
      </c>
      <c r="D11" s="4" t="inlineStr">
        <is>
          <t>Sabse badi value nikalta hai.</t>
        </is>
      </c>
      <c r="E11" s="5">
        <f>MAX(C5:C14)</f>
        <v/>
      </c>
      <c r="F11" s="6">
        <f>MAX('Data Sheet'!F5:F14)</f>
        <v/>
      </c>
    </row>
    <row r="12">
      <c r="A12" s="7" t="inlineStr">
        <is>
          <t>Math &amp; Basic</t>
        </is>
      </c>
      <c r="B12" s="7" t="inlineStr">
        <is>
          <t>ROUND</t>
        </is>
      </c>
      <c r="C12" s="8">
        <f>ROUND(number, num_digits)</f>
        <v/>
      </c>
      <c r="D12" s="7" t="inlineStr">
        <is>
          <t>Number ko decimals par round off karta hai.</t>
        </is>
      </c>
      <c r="E12" s="8">
        <f>ROUND(123.456, 2)</f>
        <v/>
      </c>
      <c r="F12" s="9">
        <f>ROUND(123.456, 2)</f>
        <v/>
      </c>
    </row>
    <row r="13">
      <c r="A13" s="4" t="inlineStr">
        <is>
          <t>Logical</t>
        </is>
      </c>
      <c r="B13" s="4" t="inlineStr">
        <is>
          <t>IF</t>
        </is>
      </c>
      <c r="C13" s="5">
        <f>IF(logical_test, value_if_true, value_if_false)</f>
        <v/>
      </c>
      <c r="D13" s="4" t="inlineStr">
        <is>
          <t>Shart (condition) ke basis par result deta hai.</t>
        </is>
      </c>
      <c r="E13" s="5">
        <f>IF(H5&gt;=50, "Pass", "Fail")</f>
        <v/>
      </c>
      <c r="F13" s="6">
        <f>IF('Data Sheet'!H5&gt;=50, "Pass", "Fail")</f>
        <v/>
      </c>
    </row>
    <row r="14">
      <c r="A14" s="7" t="inlineStr">
        <is>
          <t>Text</t>
        </is>
      </c>
      <c r="B14" s="7" t="inlineStr">
        <is>
          <t>CONCAT / CONCATENATE</t>
        </is>
      </c>
      <c r="C14" s="8">
        <f>CONCAT(text1, [text2], ...)</f>
        <v/>
      </c>
      <c r="D14" s="7" t="inlineStr">
        <is>
          <t>Multiple text values ko ek saath jodta hai.</t>
        </is>
      </c>
      <c r="E14" s="8">
        <f>CONCAT(B5, " ", C5)</f>
        <v/>
      </c>
      <c r="F14" s="9">
        <f>CONCAT('Data Sheet'!B5, " ", 'Data Sheet'!C5)</f>
        <v/>
      </c>
    </row>
    <row r="15">
      <c r="A15" s="4" t="inlineStr">
        <is>
          <t>Text</t>
        </is>
      </c>
      <c r="B15" s="4" t="inlineStr">
        <is>
          <t>LEFT</t>
        </is>
      </c>
      <c r="C15" s="5">
        <f>LEFT(text, [num_chars])</f>
        <v/>
      </c>
      <c r="D15" s="4" t="inlineStr">
        <is>
          <t>Text ke left side se characters nikalta hai.</t>
        </is>
      </c>
      <c r="E15" s="5">
        <f>LEFT(A5, 3)</f>
        <v/>
      </c>
      <c r="F15" s="6">
        <f>LEFT('Data Sheet'!A5, 3)</f>
        <v/>
      </c>
    </row>
    <row r="16">
      <c r="A16" s="7" t="inlineStr">
        <is>
          <t>Text</t>
        </is>
      </c>
      <c r="B16" s="7" t="inlineStr">
        <is>
          <t>RIGHT</t>
        </is>
      </c>
      <c r="C16" s="8">
        <f>RIGHT(text, [num_chars])</f>
        <v/>
      </c>
      <c r="D16" s="7" t="inlineStr">
        <is>
          <t>Text ke right side se characters nikalta hai.</t>
        </is>
      </c>
      <c r="E16" s="8">
        <f>RIGHT(A5, 3)</f>
        <v/>
      </c>
      <c r="F16" s="9">
        <f>RIGHT('Data Sheet'!A5, 3)</f>
        <v/>
      </c>
    </row>
    <row r="17">
      <c r="A17" s="4" t="inlineStr">
        <is>
          <t>Text</t>
        </is>
      </c>
      <c r="B17" s="4" t="inlineStr">
        <is>
          <t>LEN</t>
        </is>
      </c>
      <c r="C17" s="5">
        <f>LEN(text)</f>
        <v/>
      </c>
      <c r="D17" s="4" t="inlineStr">
        <is>
          <t>Text ki total length (characters) batata hai.</t>
        </is>
      </c>
      <c r="E17" s="5">
        <f>LEN(A5)</f>
        <v/>
      </c>
      <c r="F17" s="6">
        <f>LEN('Data Sheet'!A5)</f>
        <v/>
      </c>
    </row>
    <row r="18">
      <c r="A18" s="7" t="inlineStr">
        <is>
          <t>Text</t>
        </is>
      </c>
      <c r="B18" s="7" t="inlineStr">
        <is>
          <t>UPPER</t>
        </is>
      </c>
      <c r="C18" s="8">
        <f>UPPER(text)</f>
        <v/>
      </c>
      <c r="D18" s="7" t="inlineStr">
        <is>
          <t>Text ko CAPITAL letters mein karta hai.</t>
        </is>
      </c>
      <c r="E18" s="8">
        <f>UPPER(B5)</f>
        <v/>
      </c>
      <c r="F18" s="9">
        <f>UPPER('Data Sheet'!B5)</f>
        <v/>
      </c>
    </row>
    <row r="19">
      <c r="A19" s="4" t="inlineStr">
        <is>
          <t>Text</t>
        </is>
      </c>
      <c r="B19" s="4" t="inlineStr">
        <is>
          <t>LOWER</t>
        </is>
      </c>
      <c r="C19" s="5">
        <f>LOWER(text)</f>
        <v/>
      </c>
      <c r="D19" s="4" t="inlineStr">
        <is>
          <t>Text ko small letters mein karta hai.</t>
        </is>
      </c>
      <c r="E19" s="5">
        <f>LOWER(B5)</f>
        <v/>
      </c>
      <c r="F19" s="6">
        <f>LOWER('Data Sheet'!B5)</f>
        <v/>
      </c>
    </row>
    <row r="20">
      <c r="A20" s="7" t="inlineStr">
        <is>
          <t>Text</t>
        </is>
      </c>
      <c r="B20" s="7" t="inlineStr">
        <is>
          <t>PROPER</t>
        </is>
      </c>
      <c r="C20" s="8">
        <f>PROPER(text)</f>
        <v/>
      </c>
      <c r="D20" s="7" t="inlineStr">
        <is>
          <t>Har word ka pehla letter Capital karta hai.</t>
        </is>
      </c>
      <c r="E20" s="8">
        <f>PROPER(B5)</f>
        <v/>
      </c>
      <c r="F20" s="9">
        <f>PROPER('Data Sheet'!B5)</f>
        <v/>
      </c>
    </row>
    <row r="21">
      <c r="A21" s="4" t="inlineStr">
        <is>
          <t>Date &amp; Time</t>
        </is>
      </c>
      <c r="B21" s="4" t="inlineStr">
        <is>
          <t>TODAY</t>
        </is>
      </c>
      <c r="C21" s="5">
        <f>TODAY()</f>
        <v/>
      </c>
      <c r="D21" s="4" t="inlineStr">
        <is>
          <t>Aaj ki date batata hai.</t>
        </is>
      </c>
      <c r="E21" s="5">
        <f>TODAY()</f>
        <v/>
      </c>
      <c r="F21" s="6">
        <f>TODAY()</f>
        <v/>
      </c>
    </row>
    <row r="22">
      <c r="A22" s="7" t="inlineStr">
        <is>
          <t>Date &amp; Time</t>
        </is>
      </c>
      <c r="B22" s="7" t="inlineStr">
        <is>
          <t>NOW</t>
        </is>
      </c>
      <c r="C22" s="8">
        <f>NOW()</f>
        <v/>
      </c>
      <c r="D22" s="7" t="inlineStr">
        <is>
          <t>Aaj ki date aur abhi ka time batata hai.</t>
        </is>
      </c>
      <c r="E22" s="8">
        <f>NOW()</f>
        <v/>
      </c>
      <c r="F22" s="9">
        <f>NOW()</f>
        <v/>
      </c>
    </row>
    <row r="23">
      <c r="A23" s="4" t="inlineStr">
        <is>
          <t>Date &amp; Time</t>
        </is>
      </c>
      <c r="B23" s="4" t="inlineStr">
        <is>
          <t>YEAR</t>
        </is>
      </c>
      <c r="C23" s="5">
        <f>YEAR(serial_number)</f>
        <v/>
      </c>
      <c r="D23" s="4" t="inlineStr">
        <is>
          <t>Date mein se Year alag karta hai.</t>
        </is>
      </c>
      <c r="E23" s="5">
        <f>YEAR(TODAY())</f>
        <v/>
      </c>
      <c r="F23" s="6">
        <f>YEAR(TODAY())</f>
        <v/>
      </c>
    </row>
    <row r="24">
      <c r="A24" s="7" t="inlineStr">
        <is>
          <t>Date &amp; Time</t>
        </is>
      </c>
      <c r="B24" s="7" t="inlineStr">
        <is>
          <t>MONTH</t>
        </is>
      </c>
      <c r="C24" s="8">
        <f>MONTH(serial_number)</f>
        <v/>
      </c>
      <c r="D24" s="7" t="inlineStr">
        <is>
          <t>Date mein se Month number alag karta hai.</t>
        </is>
      </c>
      <c r="E24" s="8">
        <f>MONTH(TODAY())</f>
        <v/>
      </c>
      <c r="F24" s="9">
        <f>MONTH(TODAY())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26" customWidth="1" min="2" max="2"/>
    <col width="29" customWidth="1" min="3" max="3"/>
    <col width="68" customWidth="1" min="4" max="4"/>
    <col width="29" customWidth="1" min="5" max="5"/>
    <col width="29" customWidth="1" min="6" max="6"/>
  </cols>
  <sheetData>
    <row r="1">
      <c r="A1" s="1" t="inlineStr">
        <is>
          <t>Excel Advanced Functions Guide</t>
        </is>
      </c>
    </row>
    <row r="2">
      <c r="A2" s="2" t="inlineStr">
        <is>
          <t>Yeh sheet complex automation, lookup, aur data analysis ke advanced functions ke liye hai.</t>
        </is>
      </c>
    </row>
    <row r="3"/>
    <row r="4">
      <c r="A4" s="3" t="inlineStr">
        <is>
          <t>Category</t>
        </is>
      </c>
      <c r="B4" s="3" t="inlineStr">
        <is>
          <t>Function</t>
        </is>
      </c>
      <c r="C4" s="3" t="inlineStr">
        <is>
          <t>Formula Syntax (Tarika)</t>
        </is>
      </c>
      <c r="D4" s="3" t="inlineStr">
        <is>
          <t>Purpose (Kaam)</t>
        </is>
      </c>
      <c r="E4" s="3" t="inlineStr">
        <is>
          <t>Example Formula</t>
        </is>
      </c>
      <c r="F4" s="3" t="inlineStr">
        <is>
          <t>Example Result</t>
        </is>
      </c>
    </row>
    <row r="5">
      <c r="A5" s="4" t="inlineStr">
        <is>
          <t>Advanced Lookup</t>
        </is>
      </c>
      <c r="B5" s="4" t="inlineStr">
        <is>
          <t>VLOOKUP (Exact)</t>
        </is>
      </c>
      <c r="C5" s="5">
        <f>VLOOKUP(lookup_value, table_array, col_index_num, FALSE)</f>
        <v/>
      </c>
      <c r="D5" s="4" t="inlineStr">
        <is>
          <t>Vertical table mein se exact match value dhoondhta hai.</t>
        </is>
      </c>
      <c r="E5" s="5">
        <f>VLOOKUP("EMP-103", A5:H14, 6, FALSE)</f>
        <v/>
      </c>
      <c r="F5" s="6">
        <f>VLOOKUP("EMP-103", 'Data Sheet'!A5:H14, 6, FALSE)</f>
        <v/>
      </c>
    </row>
    <row r="6">
      <c r="A6" s="7" t="inlineStr">
        <is>
          <t>Advanced Lookup</t>
        </is>
      </c>
      <c r="B6" s="7" t="inlineStr">
        <is>
          <t>XLOOKUP</t>
        </is>
      </c>
      <c r="C6" s="8">
        <f>XLOOKUP(lookup_value, lookup_array, return_array, [if_not_found])</f>
        <v/>
      </c>
      <c r="D6" s="7" t="inlineStr">
        <is>
          <t>Modern &amp; powerful lookup (Left, Right sab jagah kaam karta hai).</t>
        </is>
      </c>
      <c r="E6" s="8">
        <f>XLOOKUP("EMP-106", A5:A14, E5:E14)</f>
        <v/>
      </c>
      <c r="F6" s="9">
        <f>XLOOKUP("EMP-106", 'Data Sheet'!A5:A14, 'Data Sheet'!E5:E14)</f>
        <v/>
      </c>
    </row>
    <row r="7">
      <c r="A7" s="4" t="inlineStr">
        <is>
          <t>Advanced Lookup</t>
        </is>
      </c>
      <c r="B7" s="4" t="inlineStr">
        <is>
          <t>INDEX + MATCH</t>
        </is>
      </c>
      <c r="C7" s="5">
        <f>INDEX(return_range, MATCH(lookup_value, lookup_range, 0))</f>
        <v/>
      </c>
      <c r="D7" s="4" t="inlineStr">
        <is>
          <t>VLOOKUP se zyada flexible aur fast lookup karta hai.</t>
        </is>
      </c>
      <c r="E7" s="5">
        <f>INDEX(D5:D14, MATCH("EMP-104", A5:A14, 0))</f>
        <v/>
      </c>
      <c r="F7" s="6">
        <f>INDEX('Data Sheet'!D5:D14, MATCH("EMP-104", 'Data Sheet'!A5:A14, 0))</f>
        <v/>
      </c>
    </row>
    <row r="8">
      <c r="A8" s="7" t="inlineStr">
        <is>
          <t>Advanced Lookup</t>
        </is>
      </c>
      <c r="B8" s="7" t="inlineStr">
        <is>
          <t>HLOOKUP</t>
        </is>
      </c>
      <c r="C8" s="8">
        <f>HLOOKUP(lookup_value, table_array, row_index_num, FALSE)</f>
        <v/>
      </c>
      <c r="D8" s="7" t="inlineStr">
        <is>
          <t>Horizontal (row-wise) data mein lookup karta hai.</t>
        </is>
      </c>
      <c r="E8" s="8">
        <f>HLOOKUP("Price", A18:E19, 2, FALSE)</f>
        <v/>
      </c>
      <c r="F8" s="9" t="inlineStr">
        <is>
          <t>1200</t>
        </is>
      </c>
    </row>
    <row r="9">
      <c r="A9" s="4" t="inlineStr">
        <is>
          <t>Conditional Math</t>
        </is>
      </c>
      <c r="B9" s="4" t="inlineStr">
        <is>
          <t>SUMIF</t>
        </is>
      </c>
      <c r="C9" s="5">
        <f>SUMIF(range, criteria, [sum_range])</f>
        <v/>
      </c>
      <c r="D9" s="4" t="inlineStr">
        <is>
          <t>Ek condition ke basis par sum nikalta hai.</t>
        </is>
      </c>
      <c r="E9" s="5">
        <f>SUMIF(D5:D14, "IT", F5:F14)</f>
        <v/>
      </c>
      <c r="F9" s="6">
        <f>SUMIF('Data Sheet'!D5:D14, "IT", 'Data Sheet'!F5:F14)</f>
        <v/>
      </c>
    </row>
    <row r="10">
      <c r="A10" s="7" t="inlineStr">
        <is>
          <t>Conditional Math</t>
        </is>
      </c>
      <c r="B10" s="7" t="inlineStr">
        <is>
          <t>SUMIFS</t>
        </is>
      </c>
      <c r="C10" s="8">
        <f>SUMIFS(sum_range, criteria_range1, criteria1, ...)</f>
        <v/>
      </c>
      <c r="D10" s="7" t="inlineStr">
        <is>
          <t>Multiple conditions ke basis par total nikalta hai.</t>
        </is>
      </c>
      <c r="E10" s="8">
        <f>SUMIFS(F5:F14, D5:D14, "IT", E5:E14, "Delhi")</f>
        <v/>
      </c>
      <c r="F10" s="9">
        <f>SUMIFS('Data Sheet'!F5:F14, 'Data Sheet'!D5:D14, "IT", 'Data Sheet'!E5:E14, "Delhi")</f>
        <v/>
      </c>
    </row>
    <row r="11">
      <c r="A11" s="4" t="inlineStr">
        <is>
          <t>Conditional Math</t>
        </is>
      </c>
      <c r="B11" s="4" t="inlineStr">
        <is>
          <t>COUNTIF</t>
        </is>
      </c>
      <c r="C11" s="5">
        <f>COUNTIF(range, criteria)</f>
        <v/>
      </c>
      <c r="D11" s="4" t="inlineStr">
        <is>
          <t>Ek condition ke basis par cells count karta hai.</t>
        </is>
      </c>
      <c r="E11" s="5">
        <f>COUNTIF(D5:D14, "HR")</f>
        <v/>
      </c>
      <c r="F11" s="6">
        <f>COUNTIF('Data Sheet'!D5:D14, "HR")</f>
        <v/>
      </c>
    </row>
    <row r="12">
      <c r="A12" s="7" t="inlineStr">
        <is>
          <t>Conditional Math</t>
        </is>
      </c>
      <c r="B12" s="7" t="inlineStr">
        <is>
          <t>COUNTIFS</t>
        </is>
      </c>
      <c r="C12" s="8">
        <f>COUNTIFS(criteria_range1, criteria1, ...)</f>
        <v/>
      </c>
      <c r="D12" s="7" t="inlineStr">
        <is>
          <t>Multiple conditions ke basis par cells count karta hai.</t>
        </is>
      </c>
      <c r="E12" s="8">
        <f>COUNTIFS(D5:D14, "IT", E5:E14, "Delhi")</f>
        <v/>
      </c>
      <c r="F12" s="9">
        <f>COUNTIFS('Data Sheet'!D5:D14, "IT", 'Data Sheet'!E5:E14, "Delhi")</f>
        <v/>
      </c>
    </row>
    <row r="13">
      <c r="A13" s="4" t="inlineStr">
        <is>
          <t>Conditional Math</t>
        </is>
      </c>
      <c r="B13" s="4" t="inlineStr">
        <is>
          <t>AVERAGEIF / AVERAGEIFS</t>
        </is>
      </c>
      <c r="C13" s="5">
        <f>AVERAGEIFS(average_range, criteria_range1, criteria1, ...)</f>
        <v/>
      </c>
      <c r="D13" s="4" t="inlineStr">
        <is>
          <t>Condition ke basis par average nikalta hai.</t>
        </is>
      </c>
      <c r="E13" s="5">
        <f>AVERAGEIF(D5:D14, "IT", F5:F14)</f>
        <v/>
      </c>
      <c r="F13" s="6">
        <f>AVERAGEIF('Data Sheet'!D5:D14, "IT", 'Data Sheet'!F5:F14)</f>
        <v/>
      </c>
    </row>
    <row r="14">
      <c r="A14" s="7" t="inlineStr">
        <is>
          <t>Logical &amp; Error</t>
        </is>
      </c>
      <c r="B14" s="7" t="inlineStr">
        <is>
          <t>IFERROR</t>
        </is>
      </c>
      <c r="C14" s="8">
        <f>IFERROR(value, value_if_error)</f>
        <v/>
      </c>
      <c r="D14" s="7" t="inlineStr">
        <is>
          <t>Formula mein error aane par custom message dikhata hai.</t>
        </is>
      </c>
      <c r="E14" s="8">
        <f>IFERROR(VLOOKUP("EMP-999", A5:H14, 2, FALSE), "Not Found")</f>
        <v/>
      </c>
      <c r="F14" s="9">
        <f>IFERROR(VLOOKUP("EMP-999", 'Data Sheet'!A5:H14, 2, FALSE), "Not Found")</f>
        <v/>
      </c>
    </row>
    <row r="15">
      <c r="A15" s="4" t="inlineStr">
        <is>
          <t>Logical &amp; Error</t>
        </is>
      </c>
      <c r="B15" s="4" t="inlineStr">
        <is>
          <t>AND / OR</t>
        </is>
      </c>
      <c r="C15" s="5">
        <f>IF(AND(condition1, condition2), true_val, false_val)</f>
        <v/>
      </c>
      <c r="D15" s="4" t="inlineStr">
        <is>
          <t>Multiple conditions test karta hai (All True / Any True).</t>
        </is>
      </c>
      <c r="E15" s="5">
        <f>IF(AND(F5&gt;60000, H5&gt;80), "Bonus", "No Bonus")</f>
        <v/>
      </c>
      <c r="F15" s="6">
        <f>IF(AND('Data Sheet'!F5&gt;60000, 'Data Sheet'!H5&gt;80), "Bonus", "No Bonus")</f>
        <v/>
      </c>
    </row>
    <row r="16">
      <c r="A16" s="7" t="inlineStr">
        <is>
          <t>Advanced Text</t>
        </is>
      </c>
      <c r="B16" s="7" t="inlineStr">
        <is>
          <t>TEXTJOIN</t>
        </is>
      </c>
      <c r="C16" s="8">
        <f>TEXTJOIN(delimiter, ignore_empty, text1, ...)</f>
        <v/>
      </c>
      <c r="D16" s="7" t="inlineStr">
        <is>
          <t>Custom delimiter (jaise space/comma) se text ko jodta hai.</t>
        </is>
      </c>
      <c r="E16" s="8">
        <f>TEXTJOIN(", ", TRUE, B5, C5, D5)</f>
        <v/>
      </c>
      <c r="F16" s="9">
        <f>TEXTJOIN(", ", TRUE, 'Data Sheet'!B5, 'Data Sheet'!C5, 'Data Sheet'!D5)</f>
        <v/>
      </c>
    </row>
    <row r="17">
      <c r="A17" s="4" t="inlineStr">
        <is>
          <t>Advanced Text</t>
        </is>
      </c>
      <c r="B17" s="4" t="inlineStr">
        <is>
          <t>TRIM</t>
        </is>
      </c>
      <c r="C17" s="5">
        <f>TRIM(text)</f>
        <v/>
      </c>
      <c r="D17" s="4" t="inlineStr">
        <is>
          <t>Text ke faltu/extra spaces ko hatata hai.</t>
        </is>
      </c>
      <c r="E17" s="5">
        <f>TRIM(A5)</f>
        <v/>
      </c>
      <c r="F17" s="6">
        <f>TRIM('Data Sheet'!A5)</f>
        <v/>
      </c>
    </row>
    <row r="18">
      <c r="A18" s="7" t="inlineStr">
        <is>
          <t>Advanced Text</t>
        </is>
      </c>
      <c r="B18" s="7" t="inlineStr">
        <is>
          <t>TEXT</t>
        </is>
      </c>
      <c r="C18" s="8">
        <f>TEXT(value, format_text)</f>
        <v/>
      </c>
      <c r="D18" s="7" t="inlineStr">
        <is>
          <t>Number/Date ko custom formatted text banata hai.</t>
        </is>
      </c>
      <c r="E18" s="8">
        <f>TEXT(TODAY(), "dd-mmm-yyyy")</f>
        <v/>
      </c>
      <c r="F18" s="9">
        <f>TEXT(TODAY(), "dd-mmm-yyyy")</f>
        <v/>
      </c>
    </row>
    <row r="19">
      <c r="A19" s="4" t="inlineStr">
        <is>
          <t>Advanced Math</t>
        </is>
      </c>
      <c r="B19" s="4" t="inlineStr">
        <is>
          <t>SUMPRODUCT</t>
        </is>
      </c>
      <c r="C19" s="5">
        <f>SUMPRODUCT(array1, [array2], ...)</f>
        <v/>
      </c>
      <c r="D19" s="4" t="inlineStr">
        <is>
          <t>Arrays ka multiply karke unka sum nikalta hai.</t>
        </is>
      </c>
      <c r="E19" s="5">
        <f>SUMPRODUCT(F5:F14, H5:H14)</f>
        <v/>
      </c>
      <c r="F19" s="6">
        <f>SUMPRODUCT('Data Sheet'!F5:F14, 'Data Sheet'!H5:H14)</f>
        <v/>
      </c>
    </row>
    <row r="20">
      <c r="A20" s="7" t="inlineStr">
        <is>
          <t>Advanced Date</t>
        </is>
      </c>
      <c r="B20" s="7" t="inlineStr">
        <is>
          <t>DATEDIF</t>
        </is>
      </c>
      <c r="C20" s="8">
        <f>DATEDIF(start_date, end_date, unit)</f>
        <v/>
      </c>
      <c r="D20" s="7" t="inlineStr">
        <is>
          <t>Do dates ke beech ka antar (Years, Months, Days) nikalta hai.</t>
        </is>
      </c>
      <c r="E20" s="8">
        <f>DATEDIF(G5, TODAY(), "Y")</f>
        <v/>
      </c>
      <c r="F20" s="9">
        <f>DATEDIF('Data Sheet'!G5, TODAY(), "Y")</f>
        <v/>
      </c>
    </row>
    <row r="21">
      <c r="A21" s="4" t="inlineStr">
        <is>
          <t>Advanced Date</t>
        </is>
      </c>
      <c r="B21" s="4" t="inlineStr">
        <is>
          <t>NETWORKDAYS</t>
        </is>
      </c>
      <c r="C21" s="5">
        <f>NETWORKDAYS(start_date, end_date)</f>
        <v/>
      </c>
      <c r="D21" s="4" t="inlineStr">
        <is>
          <t>Weekends aur Holidays hata kar working days count karta hai.</t>
        </is>
      </c>
      <c r="E21" s="5">
        <f>NETWORKDAYS("2026-10-01", "2026-10-31")</f>
        <v/>
      </c>
      <c r="F21" s="6">
        <f>NETWORKDAYS("2026-10-01", "2026-10-31")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3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s="1" t="inlineStr">
        <is>
          <t>Master Sample Data Table</t>
        </is>
      </c>
    </row>
    <row r="2">
      <c r="A2" s="2" t="inlineStr">
        <is>
          <t>Yeh sample data upar ke 'Normal Functions' aur 'Advanced Functions' sheets mein formulas ke dwara access kiya gaya hai.</t>
        </is>
      </c>
    </row>
    <row r="3"/>
    <row r="4">
      <c r="A4" s="3" t="inlineStr">
        <is>
          <t>Emp ID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Department</t>
        </is>
      </c>
      <c r="E4" s="3" t="inlineStr">
        <is>
          <t>City</t>
        </is>
      </c>
      <c r="F4" s="3" t="inlineStr">
        <is>
          <t>Salary (INR)</t>
        </is>
      </c>
      <c r="G4" s="3" t="inlineStr">
        <is>
          <t>Join Date</t>
        </is>
      </c>
      <c r="H4" s="3" t="inlineStr">
        <is>
          <t>Score</t>
        </is>
      </c>
    </row>
    <row r="5">
      <c r="A5" s="4" t="inlineStr">
        <is>
          <t>EMP-101</t>
        </is>
      </c>
      <c r="B5" s="4" t="inlineStr">
        <is>
          <t>Aarav</t>
        </is>
      </c>
      <c r="C5" s="4" t="inlineStr">
        <is>
          <t>Sharma</t>
        </is>
      </c>
      <c r="D5" s="4" t="inlineStr">
        <is>
          <t>IT</t>
        </is>
      </c>
      <c r="E5" s="4" t="inlineStr">
        <is>
          <t>Delhi</t>
        </is>
      </c>
      <c r="F5" s="10" t="n">
        <v>75000</v>
      </c>
      <c r="G5" s="4" t="inlineStr">
        <is>
          <t>2021-05-10</t>
        </is>
      </c>
      <c r="H5" s="4" t="n">
        <v>85</v>
      </c>
    </row>
    <row r="6">
      <c r="A6" s="4" t="inlineStr">
        <is>
          <t>EMP-102</t>
        </is>
      </c>
      <c r="B6" s="4" t="inlineStr">
        <is>
          <t>Priya</t>
        </is>
      </c>
      <c r="C6" s="4" t="inlineStr">
        <is>
          <t>Verma</t>
        </is>
      </c>
      <c r="D6" s="4" t="inlineStr">
        <is>
          <t>HR</t>
        </is>
      </c>
      <c r="E6" s="4" t="inlineStr">
        <is>
          <t>Mumbai</t>
        </is>
      </c>
      <c r="F6" s="10" t="n">
        <v>62000</v>
      </c>
      <c r="G6" s="4" t="inlineStr">
        <is>
          <t>2020-03-15</t>
        </is>
      </c>
      <c r="H6" s="4" t="n">
        <v>92</v>
      </c>
    </row>
    <row r="7">
      <c r="A7" s="4" t="inlineStr">
        <is>
          <t>EMP-103</t>
        </is>
      </c>
      <c r="B7" s="4" t="inlineStr">
        <is>
          <t>Rahul</t>
        </is>
      </c>
      <c r="C7" s="4" t="inlineStr">
        <is>
          <t>Mehta</t>
        </is>
      </c>
      <c r="D7" s="4" t="inlineStr">
        <is>
          <t>Finance</t>
        </is>
      </c>
      <c r="E7" s="4" t="inlineStr">
        <is>
          <t>Bangalore</t>
        </is>
      </c>
      <c r="F7" s="10" t="n">
        <v>85000</v>
      </c>
      <c r="G7" s="4" t="inlineStr">
        <is>
          <t>2019-11-20</t>
        </is>
      </c>
      <c r="H7" s="4" t="n">
        <v>78</v>
      </c>
    </row>
    <row r="8">
      <c r="A8" s="4" t="inlineStr">
        <is>
          <t>EMP-104</t>
        </is>
      </c>
      <c r="B8" s="4" t="inlineStr">
        <is>
          <t>Sneha</t>
        </is>
      </c>
      <c r="C8" s="4" t="inlineStr">
        <is>
          <t>Gupta</t>
        </is>
      </c>
      <c r="D8" s="4" t="inlineStr">
        <is>
          <t>Marketing</t>
        </is>
      </c>
      <c r="E8" s="4" t="inlineStr">
        <is>
          <t>Delhi</t>
        </is>
      </c>
      <c r="F8" s="10" t="n">
        <v>58000</v>
      </c>
      <c r="G8" s="4" t="inlineStr">
        <is>
          <t>2022-01-10</t>
        </is>
      </c>
      <c r="H8" s="4" t="n">
        <v>64</v>
      </c>
    </row>
    <row r="9">
      <c r="A9" s="4" t="inlineStr">
        <is>
          <t>EMP-105</t>
        </is>
      </c>
      <c r="B9" s="4" t="inlineStr">
        <is>
          <t>Vikram</t>
        </is>
      </c>
      <c r="C9" s="4" t="inlineStr">
        <is>
          <t>Singh</t>
        </is>
      </c>
      <c r="D9" s="4" t="inlineStr">
        <is>
          <t>Sales</t>
        </is>
      </c>
      <c r="E9" s="4" t="inlineStr">
        <is>
          <t>Pune</t>
        </is>
      </c>
      <c r="F9" s="10" t="n">
        <v>68000</v>
      </c>
      <c r="G9" s="4" t="inlineStr">
        <is>
          <t>2018-08-05</t>
        </is>
      </c>
      <c r="H9" s="4" t="n">
        <v>45</v>
      </c>
    </row>
    <row r="10">
      <c r="A10" s="4" t="inlineStr">
        <is>
          <t>EMP-106</t>
        </is>
      </c>
      <c r="B10" s="4" t="inlineStr">
        <is>
          <t>Ananya</t>
        </is>
      </c>
      <c r="C10" s="4" t="inlineStr">
        <is>
          <t>Iyer</t>
        </is>
      </c>
      <c r="D10" s="4" t="inlineStr">
        <is>
          <t>IT</t>
        </is>
      </c>
      <c r="E10" s="4" t="inlineStr">
        <is>
          <t>Chennai</t>
        </is>
      </c>
      <c r="F10" s="10" t="n">
        <v>92000</v>
      </c>
      <c r="G10" s="4" t="inlineStr">
        <is>
          <t>2017-04-12</t>
        </is>
      </c>
      <c r="H10" s="4" t="n">
        <v>88</v>
      </c>
    </row>
    <row r="11">
      <c r="A11" s="4" t="inlineStr">
        <is>
          <t>EMP-107</t>
        </is>
      </c>
      <c r="B11" s="4" t="inlineStr">
        <is>
          <t>Rohan</t>
        </is>
      </c>
      <c r="C11" s="4" t="inlineStr">
        <is>
          <t>Das</t>
        </is>
      </c>
      <c r="D11" s="4" t="inlineStr">
        <is>
          <t>Finance</t>
        </is>
      </c>
      <c r="E11" s="4" t="inlineStr">
        <is>
          <t>Kolkata</t>
        </is>
      </c>
      <c r="F11" s="10" t="n">
        <v>71000</v>
      </c>
      <c r="G11" s="4" t="inlineStr">
        <is>
          <t>2021-09-01</t>
        </is>
      </c>
      <c r="H11" s="4" t="n">
        <v>59</v>
      </c>
    </row>
    <row r="12">
      <c r="A12" s="4" t="inlineStr">
        <is>
          <t>EMP-108</t>
        </is>
      </c>
      <c r="B12" s="4" t="inlineStr">
        <is>
          <t>Neha</t>
        </is>
      </c>
      <c r="C12" s="4" t="inlineStr">
        <is>
          <t>Patel</t>
        </is>
      </c>
      <c r="D12" s="4" t="inlineStr">
        <is>
          <t>HR</t>
        </is>
      </c>
      <c r="E12" s="4" t="inlineStr">
        <is>
          <t>Ahmedabad</t>
        </is>
      </c>
      <c r="F12" s="10" t="n">
        <v>64000</v>
      </c>
      <c r="G12" s="4" t="inlineStr">
        <is>
          <t>2020-06-18</t>
        </is>
      </c>
      <c r="H12" s="4" t="n">
        <v>95</v>
      </c>
    </row>
    <row r="13">
      <c r="A13" s="4" t="inlineStr">
        <is>
          <t>EMP-109</t>
        </is>
      </c>
      <c r="B13" s="4" t="inlineStr">
        <is>
          <t>Karan</t>
        </is>
      </c>
      <c r="C13" s="4" t="inlineStr">
        <is>
          <t>Joshi</t>
        </is>
      </c>
      <c r="D13" s="4" t="inlineStr">
        <is>
          <t>Sales</t>
        </is>
      </c>
      <c r="E13" s="4" t="inlineStr">
        <is>
          <t>Delhi</t>
        </is>
      </c>
      <c r="F13" s="10" t="n">
        <v>79000</v>
      </c>
      <c r="G13" s="4" t="inlineStr">
        <is>
          <t>2019-02-28</t>
        </is>
      </c>
      <c r="H13" s="4" t="n">
        <v>38</v>
      </c>
    </row>
    <row r="14">
      <c r="A14" s="4" t="inlineStr">
        <is>
          <t>EMP-110</t>
        </is>
      </c>
      <c r="B14" s="4" t="inlineStr">
        <is>
          <t>Pooja</t>
        </is>
      </c>
      <c r="C14" s="4" t="inlineStr">
        <is>
          <t>Reddy</t>
        </is>
      </c>
      <c r="D14" s="4" t="inlineStr">
        <is>
          <t>Marketing</t>
        </is>
      </c>
      <c r="E14" s="4" t="inlineStr">
        <is>
          <t>Hyderabad</t>
        </is>
      </c>
      <c r="F14" s="10" t="n">
        <v>67000</v>
      </c>
      <c r="G14" s="4" t="inlineStr">
        <is>
          <t>2022-07-14</t>
        </is>
      </c>
      <c r="H14" s="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2026-10-18T08:50:24Z</dcterms:created>
  <dcterms:modified xmlns:dcterms="http://purl.org/dc/terms/" xmlns:xsi="http://www.w3.org/2001/XMLSchema-instance" xsi:type="dcterms:W3CDTF">2026-10-18T08:50:24Z</dcterms:modified>
</cp:coreProperties>
</file>